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jptco.sharepoint.com/sites/MJPT/Shared Documents/Data/Accounts/Pristine Worldwide Private Limited/F.Y 2025-26/Data/MIS/12. Mar 2026/"/>
    </mc:Choice>
  </mc:AlternateContent>
  <xr:revisionPtr revIDLastSave="378" documentId="13_ncr:1_{5ACF4C0D-C9E1-41FC-999A-DBA09206F4B0}" xr6:coauthVersionLast="47" xr6:coauthVersionMax="47" xr10:uidLastSave="{DEBAF450-05BE-4D9E-B625-EC3C4589B66B}"/>
  <bookViews>
    <workbookView xWindow="-120" yWindow="-120" windowWidth="20730" windowHeight="11160" xr2:uid="{00000000-000D-0000-FFFF-FFFF00000000}"/>
  </bookViews>
  <sheets>
    <sheet name="P&amp;L" sheetId="11" r:id="rId1"/>
    <sheet name="Marketing Expenses" sheetId="20" r:id="rId2"/>
    <sheet name="Stock" sheetId="18" r:id="rId3"/>
    <sheet name="Drs_Crs" sheetId="16" r:id="rId4"/>
    <sheet name="COGS" sheetId="1" r:id="rId5"/>
    <sheet name="P&amp;L Summary" sheetId="15" r:id="rId6"/>
    <sheet name="List of Ledgers " sheetId="2" r:id="rId7"/>
    <sheet name="Pivot" sheetId="17" r:id="rId8"/>
    <sheet name="TB " sheetId="3" r:id="rId9"/>
    <sheet name="TB YTD" sheetId="12" r:id="rId10"/>
    <sheet name="Stk " sheetId="5" r:id="rId11"/>
    <sheet name="Stk YTD" sheetId="13" r:id="rId12"/>
    <sheet name="Shares FIFO YTD" sheetId="14" r:id="rId13"/>
    <sheet name="Shares(FIFO) " sheetId="9" r:id="rId14"/>
    <sheet name="Expense" sheetId="19" r:id="rId15"/>
  </sheets>
  <definedNames>
    <definedName name="_xlnm._FilterDatabase" localSheetId="3" hidden="1">Drs_Crs!$A$28:$N$168</definedName>
    <definedName name="_xlnm._FilterDatabase" localSheetId="6" hidden="1">'List of Ledgers '!$A$4:$T$1034</definedName>
    <definedName name="_xlnm._FilterDatabase" localSheetId="1" hidden="1">'Marketing Expenses'!$A$2:$L$12</definedName>
    <definedName name="_xlnm._FilterDatabase" localSheetId="10" hidden="1">'Stk '!$A$4:$F$74</definedName>
    <definedName name="_xlnm._FilterDatabase" localSheetId="11" hidden="1">'Stk YTD'!$A$4:$F$90</definedName>
    <definedName name="_xlnm._FilterDatabase" localSheetId="8" hidden="1">'TB '!$A$4:$J$481</definedName>
    <definedName name="_xlnm._FilterDatabase" localSheetId="9" hidden="1">'TB YTD'!$A$4:$J$755</definedName>
    <definedName name="_xlnm.Print_Area" localSheetId="6">'List of Ledgers '!$A$1:$K$4</definedName>
    <definedName name="_xlnm.Print_Area" localSheetId="0">'P&amp;L'!$A$1:$X$84</definedName>
    <definedName name="_xlnm.Print_Area" localSheetId="10">'Stk '!$A$1:$F$4</definedName>
  </definedNames>
  <calcPr calcId="191028"/>
  <pivotCaches>
    <pivotCache cacheId="105" r:id="rId16"/>
    <pivotCache cacheId="106" r:id="rId17"/>
    <pivotCache cacheId="107" r:id="rId18"/>
    <pivotCache cacheId="108" r:id="rId19"/>
    <pivotCache cacheId="109" r:id="rId20"/>
    <pivotCache cacheId="110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11" l="1"/>
  <c r="S22" i="11"/>
  <c r="R22" i="11"/>
  <c r="Q22" i="11"/>
  <c r="P22" i="11"/>
  <c r="O22" i="11"/>
  <c r="N22" i="11"/>
  <c r="W22" i="11"/>
  <c r="I22" i="11"/>
  <c r="G22" i="11"/>
  <c r="F22" i="11"/>
  <c r="E22" i="11"/>
  <c r="D22" i="11"/>
  <c r="C22" i="11"/>
  <c r="B22" i="11"/>
  <c r="K22" i="11"/>
  <c r="Q1034" i="2"/>
  <c r="K430" i="16" s="1"/>
  <c r="P1034" i="2"/>
  <c r="J430" i="16" s="1"/>
  <c r="O1034" i="2"/>
  <c r="I430" i="16" s="1"/>
  <c r="N1034" i="2"/>
  <c r="H430" i="16" s="1"/>
  <c r="K1034" i="2"/>
  <c r="E430" i="16" s="1"/>
  <c r="J1034" i="2"/>
  <c r="D430" i="16" s="1"/>
  <c r="Q1033" i="2"/>
  <c r="K429" i="16" s="1"/>
  <c r="P1033" i="2"/>
  <c r="J429" i="16" s="1"/>
  <c r="O1033" i="2"/>
  <c r="I429" i="16" s="1"/>
  <c r="N1033" i="2"/>
  <c r="H429" i="16" s="1"/>
  <c r="K1033" i="2"/>
  <c r="E429" i="16" s="1"/>
  <c r="J1033" i="2"/>
  <c r="D429" i="16" s="1"/>
  <c r="Q1032" i="2"/>
  <c r="P1032" i="2"/>
  <c r="O1032" i="2"/>
  <c r="N1032" i="2"/>
  <c r="K1032" i="2"/>
  <c r="J1032" i="2"/>
  <c r="Q1031" i="2"/>
  <c r="P1031" i="2"/>
  <c r="O1031" i="2"/>
  <c r="N1031" i="2"/>
  <c r="K1031" i="2"/>
  <c r="J1031" i="2"/>
  <c r="Q1030" i="2"/>
  <c r="K168" i="16" s="1"/>
  <c r="P1030" i="2"/>
  <c r="J168" i="16" s="1"/>
  <c r="O1030" i="2"/>
  <c r="I168" i="16" s="1"/>
  <c r="N1030" i="2"/>
  <c r="H168" i="16" s="1"/>
  <c r="K1030" i="2"/>
  <c r="E168" i="16" s="1"/>
  <c r="J1030" i="2"/>
  <c r="D168" i="16" s="1"/>
  <c r="Q1029" i="2"/>
  <c r="P1029" i="2"/>
  <c r="O1029" i="2"/>
  <c r="N1029" i="2"/>
  <c r="K1029" i="2"/>
  <c r="J1029" i="2"/>
  <c r="Q1028" i="2"/>
  <c r="K428" i="16" s="1"/>
  <c r="P1028" i="2"/>
  <c r="J428" i="16" s="1"/>
  <c r="O1028" i="2"/>
  <c r="I428" i="16" s="1"/>
  <c r="N1028" i="2"/>
  <c r="H428" i="16" s="1"/>
  <c r="K1028" i="2"/>
  <c r="E428" i="16" s="1"/>
  <c r="J1028" i="2"/>
  <c r="D428" i="16" s="1"/>
  <c r="Q1027" i="2"/>
  <c r="K427" i="16" s="1"/>
  <c r="P1027" i="2"/>
  <c r="J427" i="16" s="1"/>
  <c r="O1027" i="2"/>
  <c r="I427" i="16" s="1"/>
  <c r="N1027" i="2"/>
  <c r="H427" i="16" s="1"/>
  <c r="K1027" i="2"/>
  <c r="E427" i="16" s="1"/>
  <c r="J1027" i="2"/>
  <c r="D427" i="16" s="1"/>
  <c r="Q1026" i="2"/>
  <c r="K426" i="16" s="1"/>
  <c r="P1026" i="2"/>
  <c r="J426" i="16" s="1"/>
  <c r="O1026" i="2"/>
  <c r="I426" i="16" s="1"/>
  <c r="N1026" i="2"/>
  <c r="H426" i="16" s="1"/>
  <c r="K1026" i="2"/>
  <c r="E426" i="16" s="1"/>
  <c r="J1026" i="2"/>
  <c r="D426" i="16" s="1"/>
  <c r="Q1025" i="2"/>
  <c r="K425" i="16" s="1"/>
  <c r="P1025" i="2"/>
  <c r="J425" i="16" s="1"/>
  <c r="O1025" i="2"/>
  <c r="I425" i="16" s="1"/>
  <c r="N1025" i="2"/>
  <c r="H425" i="16" s="1"/>
  <c r="K1025" i="2"/>
  <c r="E425" i="16" s="1"/>
  <c r="J1025" i="2"/>
  <c r="D425" i="16" s="1"/>
  <c r="Q1024" i="2"/>
  <c r="K167" i="16" s="1"/>
  <c r="P1024" i="2"/>
  <c r="J167" i="16" s="1"/>
  <c r="O1024" i="2"/>
  <c r="I167" i="16" s="1"/>
  <c r="N1024" i="2"/>
  <c r="H167" i="16" s="1"/>
  <c r="K1024" i="2"/>
  <c r="E167" i="16" s="1"/>
  <c r="J1024" i="2"/>
  <c r="D167" i="16" s="1"/>
  <c r="Q1023" i="2"/>
  <c r="K424" i="16" s="1"/>
  <c r="P1023" i="2"/>
  <c r="J424" i="16" s="1"/>
  <c r="O1023" i="2"/>
  <c r="I424" i="16" s="1"/>
  <c r="N1023" i="2"/>
  <c r="H424" i="16" s="1"/>
  <c r="K1023" i="2"/>
  <c r="E424" i="16" s="1"/>
  <c r="J1023" i="2"/>
  <c r="D424" i="16" s="1"/>
  <c r="Q1022" i="2"/>
  <c r="K166" i="16" s="1"/>
  <c r="P1022" i="2"/>
  <c r="J166" i="16" s="1"/>
  <c r="O1022" i="2"/>
  <c r="I166" i="16" s="1"/>
  <c r="N1022" i="2"/>
  <c r="H166" i="16" s="1"/>
  <c r="K1022" i="2"/>
  <c r="E166" i="16" s="1"/>
  <c r="J1022" i="2"/>
  <c r="D166" i="16" s="1"/>
  <c r="Q1021" i="2"/>
  <c r="K423" i="16" s="1"/>
  <c r="P1021" i="2"/>
  <c r="J423" i="16" s="1"/>
  <c r="O1021" i="2"/>
  <c r="I423" i="16" s="1"/>
  <c r="N1021" i="2"/>
  <c r="H423" i="16" s="1"/>
  <c r="K1021" i="2"/>
  <c r="E423" i="16" s="1"/>
  <c r="J1021" i="2"/>
  <c r="D423" i="16" s="1"/>
  <c r="Q1020" i="2"/>
  <c r="K165" i="16" s="1"/>
  <c r="P1020" i="2"/>
  <c r="J165" i="16" s="1"/>
  <c r="O1020" i="2"/>
  <c r="I165" i="16" s="1"/>
  <c r="N1020" i="2"/>
  <c r="H165" i="16" s="1"/>
  <c r="K1020" i="2"/>
  <c r="E165" i="16" s="1"/>
  <c r="J1020" i="2"/>
  <c r="D165" i="16" s="1"/>
  <c r="Q1019" i="2"/>
  <c r="P1019" i="2"/>
  <c r="O1019" i="2"/>
  <c r="N1019" i="2"/>
  <c r="K1019" i="2"/>
  <c r="J1019" i="2"/>
  <c r="Q1018" i="2"/>
  <c r="P1018" i="2"/>
  <c r="O1018" i="2"/>
  <c r="N1018" i="2"/>
  <c r="K1018" i="2"/>
  <c r="J1018" i="2"/>
  <c r="Q1017" i="2"/>
  <c r="K164" i="16" s="1"/>
  <c r="P1017" i="2"/>
  <c r="J164" i="16" s="1"/>
  <c r="O1017" i="2"/>
  <c r="I164" i="16" s="1"/>
  <c r="N1017" i="2"/>
  <c r="H164" i="16" s="1"/>
  <c r="K1017" i="2"/>
  <c r="E164" i="16" s="1"/>
  <c r="J1017" i="2"/>
  <c r="D164" i="16" s="1"/>
  <c r="Q1016" i="2"/>
  <c r="K163" i="16" s="1"/>
  <c r="P1016" i="2"/>
  <c r="J163" i="16" s="1"/>
  <c r="O1016" i="2"/>
  <c r="I163" i="16" s="1"/>
  <c r="N1016" i="2"/>
  <c r="H163" i="16" s="1"/>
  <c r="K1016" i="2"/>
  <c r="E163" i="16" s="1"/>
  <c r="J1016" i="2"/>
  <c r="D163" i="16" s="1"/>
  <c r="Q1015" i="2"/>
  <c r="K422" i="16" s="1"/>
  <c r="P1015" i="2"/>
  <c r="J422" i="16" s="1"/>
  <c r="O1015" i="2"/>
  <c r="I422" i="16" s="1"/>
  <c r="N1015" i="2"/>
  <c r="H422" i="16" s="1"/>
  <c r="K1015" i="2"/>
  <c r="E422" i="16" s="1"/>
  <c r="J1015" i="2"/>
  <c r="D422" i="16" s="1"/>
  <c r="Q1014" i="2"/>
  <c r="K162" i="16" s="1"/>
  <c r="P1014" i="2"/>
  <c r="J162" i="16" s="1"/>
  <c r="O1014" i="2"/>
  <c r="I162" i="16" s="1"/>
  <c r="N1014" i="2"/>
  <c r="H162" i="16" s="1"/>
  <c r="K1014" i="2"/>
  <c r="E162" i="16" s="1"/>
  <c r="J1014" i="2"/>
  <c r="D162" i="16" s="1"/>
  <c r="Q1013" i="2"/>
  <c r="K421" i="16" s="1"/>
  <c r="P1013" i="2"/>
  <c r="J421" i="16" s="1"/>
  <c r="O1013" i="2"/>
  <c r="I421" i="16" s="1"/>
  <c r="N1013" i="2"/>
  <c r="H421" i="16" s="1"/>
  <c r="K1013" i="2"/>
  <c r="E421" i="16" s="1"/>
  <c r="J1013" i="2"/>
  <c r="D421" i="16" s="1"/>
  <c r="Q1012" i="2"/>
  <c r="P1012" i="2"/>
  <c r="O1012" i="2"/>
  <c r="N1012" i="2"/>
  <c r="K1012" i="2"/>
  <c r="J1012" i="2"/>
  <c r="Q1011" i="2"/>
  <c r="P1011" i="2"/>
  <c r="O1011" i="2"/>
  <c r="N1011" i="2"/>
  <c r="K1011" i="2"/>
  <c r="J1011" i="2"/>
  <c r="Q1010" i="2"/>
  <c r="P1010" i="2"/>
  <c r="O1010" i="2"/>
  <c r="N1010" i="2"/>
  <c r="K1010" i="2"/>
  <c r="J1010" i="2"/>
  <c r="Q1009" i="2"/>
  <c r="P1009" i="2"/>
  <c r="O1009" i="2"/>
  <c r="N1009" i="2"/>
  <c r="K1009" i="2"/>
  <c r="J1009" i="2"/>
  <c r="Q1008" i="2"/>
  <c r="K420" i="16" s="1"/>
  <c r="P1008" i="2"/>
  <c r="J420" i="16" s="1"/>
  <c r="O1008" i="2"/>
  <c r="I420" i="16" s="1"/>
  <c r="N1008" i="2"/>
  <c r="H420" i="16" s="1"/>
  <c r="K1008" i="2"/>
  <c r="E420" i="16" s="1"/>
  <c r="J1008" i="2"/>
  <c r="D420" i="16" s="1"/>
  <c r="Q1007" i="2"/>
  <c r="K161" i="16" s="1"/>
  <c r="P1007" i="2"/>
  <c r="J161" i="16" s="1"/>
  <c r="O1007" i="2"/>
  <c r="I161" i="16" s="1"/>
  <c r="N1007" i="2"/>
  <c r="H161" i="16" s="1"/>
  <c r="K1007" i="2"/>
  <c r="E161" i="16" s="1"/>
  <c r="J1007" i="2"/>
  <c r="D161" i="16" s="1"/>
  <c r="Q1006" i="2"/>
  <c r="P1006" i="2"/>
  <c r="O1006" i="2"/>
  <c r="N1006" i="2"/>
  <c r="K1006" i="2"/>
  <c r="J1006" i="2"/>
  <c r="Q1005" i="2"/>
  <c r="P1005" i="2"/>
  <c r="O1005" i="2"/>
  <c r="N1005" i="2"/>
  <c r="K1005" i="2"/>
  <c r="J1005" i="2"/>
  <c r="Q1004" i="2"/>
  <c r="K160" i="16" s="1"/>
  <c r="P1004" i="2"/>
  <c r="J160" i="16" s="1"/>
  <c r="O1004" i="2"/>
  <c r="I160" i="16" s="1"/>
  <c r="N1004" i="2"/>
  <c r="H160" i="16" s="1"/>
  <c r="K1004" i="2"/>
  <c r="E160" i="16" s="1"/>
  <c r="J1004" i="2"/>
  <c r="D160" i="16" s="1"/>
  <c r="Q1003" i="2"/>
  <c r="K419" i="16" s="1"/>
  <c r="P1003" i="2"/>
  <c r="J419" i="16" s="1"/>
  <c r="O1003" i="2"/>
  <c r="I419" i="16" s="1"/>
  <c r="N1003" i="2"/>
  <c r="H419" i="16" s="1"/>
  <c r="K1003" i="2"/>
  <c r="E419" i="16" s="1"/>
  <c r="J1003" i="2"/>
  <c r="D419" i="16" s="1"/>
  <c r="Q1002" i="2"/>
  <c r="K418" i="16" s="1"/>
  <c r="P1002" i="2"/>
  <c r="J418" i="16" s="1"/>
  <c r="O1002" i="2"/>
  <c r="I418" i="16" s="1"/>
  <c r="N1002" i="2"/>
  <c r="H418" i="16" s="1"/>
  <c r="K1002" i="2"/>
  <c r="E418" i="16" s="1"/>
  <c r="J1002" i="2"/>
  <c r="D418" i="16" s="1"/>
  <c r="Q1001" i="2"/>
  <c r="K159" i="16" s="1"/>
  <c r="P1001" i="2"/>
  <c r="J159" i="16" s="1"/>
  <c r="O1001" i="2"/>
  <c r="I159" i="16" s="1"/>
  <c r="N1001" i="2"/>
  <c r="H159" i="16" s="1"/>
  <c r="K1001" i="2"/>
  <c r="E159" i="16" s="1"/>
  <c r="J1001" i="2"/>
  <c r="D159" i="16" s="1"/>
  <c r="Q1000" i="2"/>
  <c r="P1000" i="2"/>
  <c r="O1000" i="2"/>
  <c r="N1000" i="2"/>
  <c r="K1000" i="2"/>
  <c r="J1000" i="2"/>
  <c r="Q999" i="2"/>
  <c r="P999" i="2"/>
  <c r="O999" i="2"/>
  <c r="N999" i="2"/>
  <c r="K999" i="2"/>
  <c r="J999" i="2"/>
  <c r="Q998" i="2"/>
  <c r="P998" i="2"/>
  <c r="O998" i="2"/>
  <c r="N998" i="2"/>
  <c r="K998" i="2"/>
  <c r="J998" i="2"/>
  <c r="Q997" i="2"/>
  <c r="P997" i="2"/>
  <c r="O997" i="2"/>
  <c r="N997" i="2"/>
  <c r="K997" i="2"/>
  <c r="J997" i="2"/>
  <c r="Q996" i="2"/>
  <c r="P996" i="2"/>
  <c r="O996" i="2"/>
  <c r="N996" i="2"/>
  <c r="K996" i="2"/>
  <c r="J996" i="2"/>
  <c r="Q995" i="2"/>
  <c r="K417" i="16" s="1"/>
  <c r="P995" i="2"/>
  <c r="J417" i="16" s="1"/>
  <c r="O995" i="2"/>
  <c r="I417" i="16" s="1"/>
  <c r="N995" i="2"/>
  <c r="H417" i="16" s="1"/>
  <c r="K995" i="2"/>
  <c r="E417" i="16" s="1"/>
  <c r="J995" i="2"/>
  <c r="D417" i="16" s="1"/>
  <c r="Q994" i="2"/>
  <c r="P994" i="2"/>
  <c r="O994" i="2"/>
  <c r="N994" i="2"/>
  <c r="K994" i="2"/>
  <c r="J994" i="2"/>
  <c r="Q993" i="2"/>
  <c r="P993" i="2"/>
  <c r="O993" i="2"/>
  <c r="N993" i="2"/>
  <c r="K993" i="2"/>
  <c r="J993" i="2"/>
  <c r="Q992" i="2"/>
  <c r="T22" i="11" s="1"/>
  <c r="P992" i="2"/>
  <c r="O992" i="2"/>
  <c r="N992" i="2"/>
  <c r="K992" i="2"/>
  <c r="J992" i="2"/>
  <c r="Q991" i="2"/>
  <c r="P991" i="2"/>
  <c r="O991" i="2"/>
  <c r="N991" i="2"/>
  <c r="K991" i="2"/>
  <c r="J991" i="2"/>
  <c r="Q990" i="2"/>
  <c r="P990" i="2"/>
  <c r="O990" i="2"/>
  <c r="N990" i="2"/>
  <c r="K990" i="2"/>
  <c r="J990" i="2"/>
  <c r="Q989" i="2"/>
  <c r="P989" i="2"/>
  <c r="O989" i="2"/>
  <c r="N989" i="2"/>
  <c r="K989" i="2"/>
  <c r="J989" i="2"/>
  <c r="Q988" i="2"/>
  <c r="K416" i="16" s="1"/>
  <c r="P988" i="2"/>
  <c r="J416" i="16" s="1"/>
  <c r="O988" i="2"/>
  <c r="I416" i="16" s="1"/>
  <c r="N988" i="2"/>
  <c r="H416" i="16" s="1"/>
  <c r="K988" i="2"/>
  <c r="E416" i="16" s="1"/>
  <c r="J988" i="2"/>
  <c r="D416" i="16" s="1"/>
  <c r="Q987" i="2"/>
  <c r="K415" i="16" s="1"/>
  <c r="P987" i="2"/>
  <c r="J415" i="16" s="1"/>
  <c r="O987" i="2"/>
  <c r="I415" i="16" s="1"/>
  <c r="N987" i="2"/>
  <c r="H415" i="16" s="1"/>
  <c r="K987" i="2"/>
  <c r="E415" i="16" s="1"/>
  <c r="J987" i="2"/>
  <c r="D415" i="16" s="1"/>
  <c r="Q986" i="2"/>
  <c r="P986" i="2"/>
  <c r="O986" i="2"/>
  <c r="N986" i="2"/>
  <c r="K986" i="2"/>
  <c r="J986" i="2"/>
  <c r="Q985" i="2"/>
  <c r="K414" i="16" s="1"/>
  <c r="P985" i="2"/>
  <c r="J414" i="16" s="1"/>
  <c r="O985" i="2"/>
  <c r="I414" i="16" s="1"/>
  <c r="N985" i="2"/>
  <c r="H414" i="16" s="1"/>
  <c r="K985" i="2"/>
  <c r="E414" i="16" s="1"/>
  <c r="J985" i="2"/>
  <c r="D414" i="16" s="1"/>
  <c r="Q984" i="2"/>
  <c r="P984" i="2"/>
  <c r="O984" i="2"/>
  <c r="N984" i="2"/>
  <c r="K984" i="2"/>
  <c r="J984" i="2"/>
  <c r="Q983" i="2"/>
  <c r="K413" i="16" s="1"/>
  <c r="P983" i="2"/>
  <c r="J413" i="16" s="1"/>
  <c r="O983" i="2"/>
  <c r="I413" i="16" s="1"/>
  <c r="N983" i="2"/>
  <c r="H413" i="16" s="1"/>
  <c r="K983" i="2"/>
  <c r="E413" i="16" s="1"/>
  <c r="J983" i="2"/>
  <c r="D413" i="16" s="1"/>
  <c r="Q982" i="2"/>
  <c r="P982" i="2"/>
  <c r="O982" i="2"/>
  <c r="N982" i="2"/>
  <c r="K982" i="2"/>
  <c r="J982" i="2"/>
  <c r="Q981" i="2"/>
  <c r="P981" i="2"/>
  <c r="O981" i="2"/>
  <c r="N981" i="2"/>
  <c r="K981" i="2"/>
  <c r="J981" i="2"/>
  <c r="Q980" i="2"/>
  <c r="K412" i="16" s="1"/>
  <c r="P980" i="2"/>
  <c r="J412" i="16" s="1"/>
  <c r="O980" i="2"/>
  <c r="I412" i="16" s="1"/>
  <c r="N980" i="2"/>
  <c r="H412" i="16" s="1"/>
  <c r="K980" i="2"/>
  <c r="E412" i="16" s="1"/>
  <c r="J980" i="2"/>
  <c r="D412" i="16" s="1"/>
  <c r="Q979" i="2"/>
  <c r="K411" i="16" s="1"/>
  <c r="P979" i="2"/>
  <c r="J411" i="16" s="1"/>
  <c r="O979" i="2"/>
  <c r="I411" i="16" s="1"/>
  <c r="N979" i="2"/>
  <c r="H411" i="16" s="1"/>
  <c r="K979" i="2"/>
  <c r="E411" i="16" s="1"/>
  <c r="J979" i="2"/>
  <c r="D411" i="16" s="1"/>
  <c r="Q978" i="2"/>
  <c r="P978" i="2"/>
  <c r="O978" i="2"/>
  <c r="N978" i="2"/>
  <c r="K978" i="2"/>
  <c r="J978" i="2"/>
  <c r="Q977" i="2"/>
  <c r="K410" i="16" s="1"/>
  <c r="P977" i="2"/>
  <c r="J410" i="16" s="1"/>
  <c r="O977" i="2"/>
  <c r="I410" i="16" s="1"/>
  <c r="N977" i="2"/>
  <c r="H410" i="16" s="1"/>
  <c r="K977" i="2"/>
  <c r="E410" i="16" s="1"/>
  <c r="J977" i="2"/>
  <c r="D410" i="16" s="1"/>
  <c r="Q976" i="2"/>
  <c r="P976" i="2"/>
  <c r="O976" i="2"/>
  <c r="N976" i="2"/>
  <c r="K976" i="2"/>
  <c r="J976" i="2"/>
  <c r="Q975" i="2"/>
  <c r="K409" i="16" s="1"/>
  <c r="P975" i="2"/>
  <c r="J409" i="16" s="1"/>
  <c r="O975" i="2"/>
  <c r="I409" i="16" s="1"/>
  <c r="N975" i="2"/>
  <c r="H409" i="16" s="1"/>
  <c r="K975" i="2"/>
  <c r="E409" i="16" s="1"/>
  <c r="J975" i="2"/>
  <c r="D409" i="16" s="1"/>
  <c r="F2" i="13"/>
  <c r="E2" i="13"/>
  <c r="D2" i="13"/>
  <c r="C2" i="13"/>
  <c r="F2" i="5"/>
  <c r="E2" i="5"/>
  <c r="D2" i="5"/>
  <c r="C2" i="5"/>
  <c r="F3" i="5"/>
  <c r="E3" i="5"/>
  <c r="D3" i="5"/>
  <c r="C3" i="5"/>
  <c r="J3" i="12"/>
  <c r="I3" i="12"/>
  <c r="H3" i="12"/>
  <c r="G3" i="12"/>
  <c r="J3" i="3"/>
  <c r="I3" i="3"/>
  <c r="H3" i="3"/>
  <c r="G3" i="3"/>
  <c r="C24" i="15"/>
  <c r="J7" i="15"/>
  <c r="J24" i="15"/>
  <c r="V22" i="11" l="1"/>
  <c r="N1" i="20"/>
  <c r="L1" i="20"/>
  <c r="B14" i="11"/>
  <c r="C14" i="11"/>
  <c r="E14" i="11"/>
  <c r="F14" i="11"/>
  <c r="H14" i="11"/>
  <c r="I14" i="11"/>
  <c r="K14" i="11"/>
  <c r="N14" i="11"/>
  <c r="Q14" i="11"/>
  <c r="R14" i="11"/>
  <c r="T14" i="11"/>
  <c r="U14" i="11"/>
  <c r="M3" i="2"/>
  <c r="H3" i="2"/>
  <c r="Q974" i="2"/>
  <c r="K408" i="16" s="1"/>
  <c r="P974" i="2"/>
  <c r="J408" i="16" s="1"/>
  <c r="O974" i="2"/>
  <c r="I408" i="16" s="1"/>
  <c r="N974" i="2"/>
  <c r="H408" i="16" s="1"/>
  <c r="K974" i="2"/>
  <c r="E408" i="16" s="1"/>
  <c r="J974" i="2"/>
  <c r="D408" i="16" s="1"/>
  <c r="Q973" i="2"/>
  <c r="K407" i="16" s="1"/>
  <c r="P973" i="2"/>
  <c r="J407" i="16" s="1"/>
  <c r="O973" i="2"/>
  <c r="I407" i="16" s="1"/>
  <c r="N973" i="2"/>
  <c r="H407" i="16" s="1"/>
  <c r="K973" i="2"/>
  <c r="E407" i="16" s="1"/>
  <c r="J973" i="2"/>
  <c r="D407" i="16" s="1"/>
  <c r="Q972" i="2"/>
  <c r="P972" i="2"/>
  <c r="O972" i="2"/>
  <c r="N972" i="2"/>
  <c r="K972" i="2"/>
  <c r="J972" i="2"/>
  <c r="Q971" i="2"/>
  <c r="P971" i="2"/>
  <c r="O971" i="2"/>
  <c r="N971" i="2"/>
  <c r="K971" i="2"/>
  <c r="J971" i="2"/>
  <c r="Q970" i="2"/>
  <c r="P970" i="2"/>
  <c r="O970" i="2"/>
  <c r="N970" i="2"/>
  <c r="K970" i="2"/>
  <c r="J970" i="2"/>
  <c r="Q969" i="2"/>
  <c r="P969" i="2"/>
  <c r="O969" i="2"/>
  <c r="N969" i="2"/>
  <c r="K969" i="2"/>
  <c r="J969" i="2"/>
  <c r="Q968" i="2"/>
  <c r="K406" i="16" s="1"/>
  <c r="P968" i="2"/>
  <c r="J406" i="16" s="1"/>
  <c r="O968" i="2"/>
  <c r="I406" i="16" s="1"/>
  <c r="N968" i="2"/>
  <c r="H406" i="16" s="1"/>
  <c r="K968" i="2"/>
  <c r="E406" i="16" s="1"/>
  <c r="J968" i="2"/>
  <c r="D406" i="16" s="1"/>
  <c r="Q967" i="2"/>
  <c r="K158" i="16" s="1"/>
  <c r="P967" i="2"/>
  <c r="J158" i="16" s="1"/>
  <c r="O967" i="2"/>
  <c r="I158" i="16" s="1"/>
  <c r="N967" i="2"/>
  <c r="H158" i="16" s="1"/>
  <c r="K967" i="2"/>
  <c r="E158" i="16" s="1"/>
  <c r="J967" i="2"/>
  <c r="D158" i="16" s="1"/>
  <c r="Q966" i="2"/>
  <c r="K405" i="16" s="1"/>
  <c r="P966" i="2"/>
  <c r="J405" i="16" s="1"/>
  <c r="O966" i="2"/>
  <c r="I405" i="16" s="1"/>
  <c r="N966" i="2"/>
  <c r="H405" i="16" s="1"/>
  <c r="K966" i="2"/>
  <c r="E405" i="16" s="1"/>
  <c r="J966" i="2"/>
  <c r="D405" i="16" s="1"/>
  <c r="Q965" i="2"/>
  <c r="K404" i="16" s="1"/>
  <c r="P965" i="2"/>
  <c r="J404" i="16" s="1"/>
  <c r="O965" i="2"/>
  <c r="I404" i="16" s="1"/>
  <c r="N965" i="2"/>
  <c r="H404" i="16" s="1"/>
  <c r="K965" i="2"/>
  <c r="E404" i="16" s="1"/>
  <c r="J965" i="2"/>
  <c r="D404" i="16" s="1"/>
  <c r="Q964" i="2"/>
  <c r="K403" i="16" s="1"/>
  <c r="P964" i="2"/>
  <c r="J403" i="16" s="1"/>
  <c r="O964" i="2"/>
  <c r="I403" i="16" s="1"/>
  <c r="N964" i="2"/>
  <c r="H403" i="16" s="1"/>
  <c r="K964" i="2"/>
  <c r="E403" i="16" s="1"/>
  <c r="J964" i="2"/>
  <c r="D403" i="16" s="1"/>
  <c r="Q963" i="2"/>
  <c r="K402" i="16" s="1"/>
  <c r="P963" i="2"/>
  <c r="J402" i="16" s="1"/>
  <c r="O963" i="2"/>
  <c r="I402" i="16" s="1"/>
  <c r="N963" i="2"/>
  <c r="H402" i="16" s="1"/>
  <c r="K963" i="2"/>
  <c r="E402" i="16" s="1"/>
  <c r="J963" i="2"/>
  <c r="D402" i="16" s="1"/>
  <c r="Q962" i="2"/>
  <c r="K401" i="16" s="1"/>
  <c r="P962" i="2"/>
  <c r="J401" i="16" s="1"/>
  <c r="O962" i="2"/>
  <c r="I401" i="16" s="1"/>
  <c r="N962" i="2"/>
  <c r="H401" i="16" s="1"/>
  <c r="K962" i="2"/>
  <c r="E401" i="16" s="1"/>
  <c r="J962" i="2"/>
  <c r="D401" i="16" s="1"/>
  <c r="Q961" i="2"/>
  <c r="K400" i="16" s="1"/>
  <c r="P961" i="2"/>
  <c r="J400" i="16" s="1"/>
  <c r="O961" i="2"/>
  <c r="I400" i="16" s="1"/>
  <c r="N961" i="2"/>
  <c r="H400" i="16" s="1"/>
  <c r="K961" i="2"/>
  <c r="E400" i="16" s="1"/>
  <c r="J961" i="2"/>
  <c r="D400" i="16" s="1"/>
  <c r="Q960" i="2"/>
  <c r="K399" i="16" s="1"/>
  <c r="P960" i="2"/>
  <c r="J399" i="16" s="1"/>
  <c r="O960" i="2"/>
  <c r="I399" i="16" s="1"/>
  <c r="N960" i="2"/>
  <c r="H399" i="16" s="1"/>
  <c r="K960" i="2"/>
  <c r="E399" i="16" s="1"/>
  <c r="J960" i="2"/>
  <c r="D399" i="16" s="1"/>
  <c r="Q959" i="2"/>
  <c r="K398" i="16" s="1"/>
  <c r="P959" i="2"/>
  <c r="J398" i="16" s="1"/>
  <c r="O959" i="2"/>
  <c r="I398" i="16" s="1"/>
  <c r="N959" i="2"/>
  <c r="H398" i="16" s="1"/>
  <c r="K959" i="2"/>
  <c r="E398" i="16" s="1"/>
  <c r="J959" i="2"/>
  <c r="D398" i="16" s="1"/>
  <c r="Q958" i="2"/>
  <c r="K397" i="16" s="1"/>
  <c r="P958" i="2"/>
  <c r="J397" i="16" s="1"/>
  <c r="O958" i="2"/>
  <c r="I397" i="16" s="1"/>
  <c r="N958" i="2"/>
  <c r="H397" i="16" s="1"/>
  <c r="K958" i="2"/>
  <c r="E397" i="16" s="1"/>
  <c r="J958" i="2"/>
  <c r="D397" i="16" s="1"/>
  <c r="Q957" i="2"/>
  <c r="P957" i="2"/>
  <c r="O957" i="2"/>
  <c r="N957" i="2"/>
  <c r="K957" i="2"/>
  <c r="J957" i="2"/>
  <c r="Q956" i="2"/>
  <c r="P956" i="2"/>
  <c r="O956" i="2"/>
  <c r="N956" i="2"/>
  <c r="K956" i="2"/>
  <c r="J956" i="2"/>
  <c r="Q955" i="2"/>
  <c r="K157" i="16" s="1"/>
  <c r="P955" i="2"/>
  <c r="J157" i="16" s="1"/>
  <c r="O955" i="2"/>
  <c r="I157" i="16" s="1"/>
  <c r="N955" i="2"/>
  <c r="H157" i="16" s="1"/>
  <c r="K955" i="2"/>
  <c r="E157" i="16" s="1"/>
  <c r="J955" i="2"/>
  <c r="D157" i="16" s="1"/>
  <c r="Q954" i="2"/>
  <c r="P954" i="2"/>
  <c r="O954" i="2"/>
  <c r="N954" i="2"/>
  <c r="K954" i="2"/>
  <c r="J954" i="2"/>
  <c r="Q953" i="2"/>
  <c r="P953" i="2"/>
  <c r="O953" i="2"/>
  <c r="N953" i="2"/>
  <c r="K953" i="2"/>
  <c r="J953" i="2"/>
  <c r="Q952" i="2"/>
  <c r="K396" i="16" s="1"/>
  <c r="P952" i="2"/>
  <c r="J396" i="16" s="1"/>
  <c r="O952" i="2"/>
  <c r="I396" i="16" s="1"/>
  <c r="N952" i="2"/>
  <c r="H396" i="16" s="1"/>
  <c r="K952" i="2"/>
  <c r="E396" i="16" s="1"/>
  <c r="J952" i="2"/>
  <c r="D396" i="16" s="1"/>
  <c r="Q951" i="2"/>
  <c r="K395" i="16" s="1"/>
  <c r="P951" i="2"/>
  <c r="J395" i="16" s="1"/>
  <c r="O951" i="2"/>
  <c r="I395" i="16" s="1"/>
  <c r="N951" i="2"/>
  <c r="H395" i="16" s="1"/>
  <c r="K951" i="2"/>
  <c r="E395" i="16" s="1"/>
  <c r="J951" i="2"/>
  <c r="D395" i="16" s="1"/>
  <c r="Q950" i="2"/>
  <c r="K394" i="16" s="1"/>
  <c r="P950" i="2"/>
  <c r="J394" i="16" s="1"/>
  <c r="O950" i="2"/>
  <c r="I394" i="16" s="1"/>
  <c r="N950" i="2"/>
  <c r="H394" i="16" s="1"/>
  <c r="K950" i="2"/>
  <c r="E394" i="16" s="1"/>
  <c r="J950" i="2"/>
  <c r="D394" i="16" s="1"/>
  <c r="Q949" i="2"/>
  <c r="K393" i="16" s="1"/>
  <c r="P949" i="2"/>
  <c r="J393" i="16" s="1"/>
  <c r="O949" i="2"/>
  <c r="I393" i="16" s="1"/>
  <c r="N949" i="2"/>
  <c r="H393" i="16" s="1"/>
  <c r="K949" i="2"/>
  <c r="E393" i="16" s="1"/>
  <c r="J949" i="2"/>
  <c r="D393" i="16" s="1"/>
  <c r="Q948" i="2"/>
  <c r="P948" i="2"/>
  <c r="O948" i="2"/>
  <c r="N948" i="2"/>
  <c r="K948" i="2"/>
  <c r="J948" i="2"/>
  <c r="Q947" i="2"/>
  <c r="K392" i="16" s="1"/>
  <c r="P947" i="2"/>
  <c r="J392" i="16" s="1"/>
  <c r="O947" i="2"/>
  <c r="I392" i="16" s="1"/>
  <c r="N947" i="2"/>
  <c r="H392" i="16" s="1"/>
  <c r="K947" i="2"/>
  <c r="E392" i="16" s="1"/>
  <c r="J947" i="2"/>
  <c r="D392" i="16" s="1"/>
  <c r="Q946" i="2"/>
  <c r="K156" i="16" s="1"/>
  <c r="P946" i="2"/>
  <c r="J156" i="16" s="1"/>
  <c r="O946" i="2"/>
  <c r="I156" i="16" s="1"/>
  <c r="N946" i="2"/>
  <c r="H156" i="16" s="1"/>
  <c r="K946" i="2"/>
  <c r="E156" i="16" s="1"/>
  <c r="J946" i="2"/>
  <c r="D156" i="16" s="1"/>
  <c r="Q945" i="2"/>
  <c r="K391" i="16" s="1"/>
  <c r="P945" i="2"/>
  <c r="J391" i="16" s="1"/>
  <c r="O945" i="2"/>
  <c r="I391" i="16" s="1"/>
  <c r="N945" i="2"/>
  <c r="H391" i="16" s="1"/>
  <c r="K945" i="2"/>
  <c r="E391" i="16" s="1"/>
  <c r="J945" i="2"/>
  <c r="D391" i="16" s="1"/>
  <c r="Q944" i="2"/>
  <c r="P944" i="2"/>
  <c r="O944" i="2"/>
  <c r="N944" i="2"/>
  <c r="K944" i="2"/>
  <c r="J944" i="2"/>
  <c r="Q943" i="2"/>
  <c r="P943" i="2"/>
  <c r="O943" i="2"/>
  <c r="N943" i="2"/>
  <c r="K943" i="2"/>
  <c r="J943" i="2"/>
  <c r="Q942" i="2"/>
  <c r="P942" i="2"/>
  <c r="O942" i="2"/>
  <c r="N942" i="2"/>
  <c r="K942" i="2"/>
  <c r="J942" i="2"/>
  <c r="Q941" i="2"/>
  <c r="K390" i="16" s="1"/>
  <c r="P941" i="2"/>
  <c r="J390" i="16" s="1"/>
  <c r="O941" i="2"/>
  <c r="I390" i="16" s="1"/>
  <c r="N941" i="2"/>
  <c r="H390" i="16" s="1"/>
  <c r="K941" i="2"/>
  <c r="E390" i="16" s="1"/>
  <c r="J941" i="2"/>
  <c r="D390" i="16" s="1"/>
  <c r="Q940" i="2"/>
  <c r="P940" i="2"/>
  <c r="O940" i="2"/>
  <c r="N940" i="2"/>
  <c r="K940" i="2"/>
  <c r="J940" i="2"/>
  <c r="Q939" i="2"/>
  <c r="P939" i="2"/>
  <c r="O939" i="2"/>
  <c r="N939" i="2"/>
  <c r="K939" i="2"/>
  <c r="J939" i="2"/>
  <c r="Q938" i="2"/>
  <c r="P938" i="2"/>
  <c r="O938" i="2"/>
  <c r="N938" i="2"/>
  <c r="K938" i="2"/>
  <c r="J938" i="2"/>
  <c r="Q937" i="2"/>
  <c r="K389" i="16" s="1"/>
  <c r="P937" i="2"/>
  <c r="J389" i="16" s="1"/>
  <c r="O937" i="2"/>
  <c r="I389" i="16" s="1"/>
  <c r="N937" i="2"/>
  <c r="H389" i="16" s="1"/>
  <c r="K937" i="2"/>
  <c r="E389" i="16" s="1"/>
  <c r="J937" i="2"/>
  <c r="D389" i="16" s="1"/>
  <c r="Q936" i="2"/>
  <c r="P936" i="2"/>
  <c r="O936" i="2"/>
  <c r="N936" i="2"/>
  <c r="K936" i="2"/>
  <c r="J936" i="2"/>
  <c r="Q935" i="2"/>
  <c r="K438" i="16" s="1"/>
  <c r="P935" i="2"/>
  <c r="J438" i="16" s="1"/>
  <c r="O935" i="2"/>
  <c r="I438" i="16" s="1"/>
  <c r="N935" i="2"/>
  <c r="H438" i="16" s="1"/>
  <c r="K935" i="2"/>
  <c r="E438" i="16" s="1"/>
  <c r="J935" i="2"/>
  <c r="D438" i="16" s="1"/>
  <c r="Y68" i="11"/>
  <c r="Y35" i="11"/>
  <c r="Y34" i="11"/>
  <c r="Y33" i="11"/>
  <c r="Y29" i="11"/>
  <c r="Y19" i="11"/>
  <c r="Y18" i="11"/>
  <c r="Y15" i="11"/>
  <c r="G65" i="11"/>
  <c r="I28" i="11"/>
  <c r="H28" i="11"/>
  <c r="G28" i="11"/>
  <c r="F28" i="11"/>
  <c r="E28" i="11"/>
  <c r="D28" i="11"/>
  <c r="C28" i="11"/>
  <c r="B28" i="11"/>
  <c r="N28" i="11"/>
  <c r="O28" i="11"/>
  <c r="P28" i="11"/>
  <c r="Q28" i="11"/>
  <c r="R28" i="11"/>
  <c r="S28" i="11"/>
  <c r="T28" i="11"/>
  <c r="U28" i="11"/>
  <c r="V28" i="11"/>
  <c r="J28" i="11" l="1"/>
  <c r="B67" i="11" l="1"/>
  <c r="I37" i="11"/>
  <c r="H37" i="11"/>
  <c r="G37" i="11"/>
  <c r="F37" i="11"/>
  <c r="E37" i="11"/>
  <c r="C37" i="11"/>
  <c r="B37" i="11"/>
  <c r="B36" i="11"/>
  <c r="I36" i="11"/>
  <c r="F36" i="11"/>
  <c r="E36" i="11"/>
  <c r="D36" i="11"/>
  <c r="C36" i="11"/>
  <c r="I23" i="11"/>
  <c r="K21" i="11"/>
  <c r="U27" i="11"/>
  <c r="T27" i="11"/>
  <c r="S27" i="11"/>
  <c r="R27" i="11"/>
  <c r="Q27" i="11"/>
  <c r="P27" i="11"/>
  <c r="O27" i="11"/>
  <c r="N27" i="11"/>
  <c r="W25" i="11"/>
  <c r="U26" i="11"/>
  <c r="T26" i="11"/>
  <c r="S26" i="11"/>
  <c r="R26" i="11"/>
  <c r="Q26" i="11"/>
  <c r="P26" i="11"/>
  <c r="O26" i="11"/>
  <c r="N26" i="11"/>
  <c r="U25" i="11"/>
  <c r="T25" i="11"/>
  <c r="R25" i="11"/>
  <c r="Q25" i="11"/>
  <c r="P25" i="11"/>
  <c r="O25" i="11"/>
  <c r="N25" i="11"/>
  <c r="W23" i="11"/>
  <c r="W21" i="11"/>
  <c r="U24" i="11"/>
  <c r="T24" i="11"/>
  <c r="S24" i="11"/>
  <c r="R24" i="11"/>
  <c r="Q24" i="11"/>
  <c r="P24" i="11"/>
  <c r="O24" i="11"/>
  <c r="N24" i="11"/>
  <c r="U23" i="11"/>
  <c r="T23" i="11"/>
  <c r="S23" i="11"/>
  <c r="R23" i="11"/>
  <c r="Q23" i="11"/>
  <c r="O23" i="11"/>
  <c r="N23" i="11"/>
  <c r="U21" i="11"/>
  <c r="T21" i="11"/>
  <c r="R21" i="11"/>
  <c r="Q21" i="11"/>
  <c r="P21" i="11"/>
  <c r="O21" i="11"/>
  <c r="N21" i="11"/>
  <c r="I27" i="11"/>
  <c r="H27" i="11"/>
  <c r="G27" i="11"/>
  <c r="F27" i="11"/>
  <c r="E27" i="11"/>
  <c r="D27" i="11"/>
  <c r="C27" i="11"/>
  <c r="B27" i="11"/>
  <c r="I26" i="11"/>
  <c r="H26" i="11"/>
  <c r="G26" i="11"/>
  <c r="F26" i="11"/>
  <c r="E26" i="11"/>
  <c r="D26" i="11"/>
  <c r="C26" i="11"/>
  <c r="B26" i="11"/>
  <c r="I25" i="11"/>
  <c r="H25" i="11"/>
  <c r="F25" i="11"/>
  <c r="E25" i="11"/>
  <c r="D25" i="11"/>
  <c r="C25" i="11"/>
  <c r="B25" i="11"/>
  <c r="I24" i="11"/>
  <c r="H24" i="11"/>
  <c r="G24" i="11"/>
  <c r="F24" i="11"/>
  <c r="E24" i="11"/>
  <c r="D24" i="11"/>
  <c r="C24" i="11"/>
  <c r="B24" i="11"/>
  <c r="H23" i="11"/>
  <c r="G23" i="11"/>
  <c r="F23" i="11"/>
  <c r="E23" i="11"/>
  <c r="C23" i="11"/>
  <c r="B23" i="11"/>
  <c r="I21" i="11"/>
  <c r="H21" i="11"/>
  <c r="F21" i="11"/>
  <c r="E21" i="11"/>
  <c r="D21" i="11"/>
  <c r="C21" i="11"/>
  <c r="B21" i="11"/>
  <c r="U13" i="11"/>
  <c r="T13" i="11"/>
  <c r="S13" i="11"/>
  <c r="R13" i="11"/>
  <c r="Q13" i="11"/>
  <c r="O13" i="11"/>
  <c r="N13" i="11"/>
  <c r="T12" i="11"/>
  <c r="S12" i="11"/>
  <c r="R12" i="11"/>
  <c r="Q12" i="11"/>
  <c r="U11" i="11"/>
  <c r="T11" i="11"/>
  <c r="R11" i="11"/>
  <c r="O11" i="11"/>
  <c r="N11" i="11"/>
  <c r="T10" i="11"/>
  <c r="S10" i="11"/>
  <c r="R10" i="11"/>
  <c r="Q10" i="11"/>
  <c r="O10" i="11"/>
  <c r="N10" i="11"/>
  <c r="O360" i="2"/>
  <c r="K13" i="11"/>
  <c r="K12" i="11"/>
  <c r="K11" i="11"/>
  <c r="K27" i="11" s="1"/>
  <c r="I13" i="11"/>
  <c r="I11" i="11"/>
  <c r="H13" i="11"/>
  <c r="H12" i="11"/>
  <c r="H11" i="11"/>
  <c r="G13" i="11"/>
  <c r="G12" i="11"/>
  <c r="F13" i="11"/>
  <c r="F12" i="11"/>
  <c r="F11" i="11"/>
  <c r="E13" i="11"/>
  <c r="E12" i="11"/>
  <c r="C13" i="11"/>
  <c r="C11" i="11"/>
  <c r="B13" i="11"/>
  <c r="B11" i="11"/>
  <c r="K10" i="11"/>
  <c r="K26" i="11" s="1"/>
  <c r="H10" i="11"/>
  <c r="G10" i="11"/>
  <c r="F10" i="11"/>
  <c r="E10" i="11"/>
  <c r="C10" i="11"/>
  <c r="B10" i="11"/>
  <c r="L9" i="15"/>
  <c r="L26" i="15"/>
  <c r="D26" i="15"/>
  <c r="J9" i="15"/>
  <c r="H9" i="15"/>
  <c r="B9" i="15"/>
  <c r="C9" i="15"/>
  <c r="B26" i="15"/>
  <c r="C26" i="15"/>
  <c r="J26" i="15"/>
  <c r="H26" i="15"/>
  <c r="I9" i="15"/>
  <c r="I26" i="15"/>
  <c r="D9" i="15"/>
  <c r="N20" i="11" l="1"/>
  <c r="R20" i="11"/>
  <c r="U20" i="11"/>
  <c r="Q20" i="11"/>
  <c r="O20" i="11"/>
  <c r="T20" i="11"/>
  <c r="E20" i="11"/>
  <c r="J26" i="11"/>
  <c r="L26" i="11" s="1"/>
  <c r="J27" i="11"/>
  <c r="L27" i="11" s="1"/>
  <c r="C20" i="11"/>
  <c r="J24" i="11"/>
  <c r="V24" i="11"/>
  <c r="B20" i="11"/>
  <c r="F20" i="11"/>
  <c r="I20" i="11"/>
  <c r="V27" i="11"/>
  <c r="V26" i="11"/>
  <c r="T9" i="11"/>
  <c r="R9" i="11"/>
  <c r="F9" i="11"/>
  <c r="K9" i="11"/>
  <c r="K25" i="11" s="1"/>
  <c r="H9" i="11"/>
  <c r="K26" i="15"/>
  <c r="M26" i="15" s="1"/>
  <c r="K9" i="15"/>
  <c r="M9" i="15" s="1"/>
  <c r="B38" i="11" l="1"/>
  <c r="B39" i="11"/>
  <c r="B41" i="11"/>
  <c r="B42" i="11"/>
  <c r="B43" i="11"/>
  <c r="B44" i="11"/>
  <c r="B45" i="11"/>
  <c r="B46" i="11"/>
  <c r="B47" i="11"/>
  <c r="B49" i="11"/>
  <c r="B50" i="11"/>
  <c r="B51" i="11"/>
  <c r="B54" i="11"/>
  <c r="B55" i="11"/>
  <c r="B56" i="11"/>
  <c r="B57" i="11"/>
  <c r="B59" i="11"/>
  <c r="B61" i="11"/>
  <c r="B62" i="11"/>
  <c r="B64" i="11"/>
  <c r="B65" i="11"/>
  <c r="B66" i="11"/>
  <c r="Q918" i="2"/>
  <c r="P918" i="2"/>
  <c r="O918" i="2"/>
  <c r="N918" i="2"/>
  <c r="K918" i="2"/>
  <c r="J918" i="2"/>
  <c r="Q916" i="2"/>
  <c r="P916" i="2"/>
  <c r="O916" i="2"/>
  <c r="N916" i="2"/>
  <c r="K916" i="2"/>
  <c r="J916" i="2"/>
  <c r="Q914" i="2"/>
  <c r="P914" i="2"/>
  <c r="O914" i="2"/>
  <c r="N914" i="2"/>
  <c r="K914" i="2"/>
  <c r="J914" i="2"/>
  <c r="Q912" i="2"/>
  <c r="P912" i="2"/>
  <c r="O912" i="2"/>
  <c r="N912" i="2"/>
  <c r="K912" i="2"/>
  <c r="J912" i="2"/>
  <c r="Q910" i="2"/>
  <c r="P910" i="2"/>
  <c r="O910" i="2"/>
  <c r="N910" i="2"/>
  <c r="K910" i="2"/>
  <c r="J910" i="2"/>
  <c r="Q908" i="2"/>
  <c r="P908" i="2"/>
  <c r="O908" i="2"/>
  <c r="N908" i="2"/>
  <c r="K908" i="2"/>
  <c r="J908" i="2"/>
  <c r="Q906" i="2"/>
  <c r="P906" i="2"/>
  <c r="O906" i="2"/>
  <c r="N906" i="2"/>
  <c r="K906" i="2"/>
  <c r="J906" i="2"/>
  <c r="Q904" i="2"/>
  <c r="P904" i="2"/>
  <c r="O904" i="2"/>
  <c r="N904" i="2"/>
  <c r="K904" i="2"/>
  <c r="J904" i="2"/>
  <c r="O5" i="9"/>
  <c r="N5" i="9"/>
  <c r="P5" i="9"/>
  <c r="M5" i="9"/>
  <c r="L5" i="9"/>
  <c r="K5" i="9"/>
  <c r="J5" i="9"/>
  <c r="I5" i="9"/>
  <c r="H5" i="9"/>
  <c r="G5" i="9"/>
  <c r="F5" i="9"/>
  <c r="E5" i="9"/>
  <c r="C5" i="9"/>
  <c r="D5" i="9"/>
  <c r="B5" i="9"/>
  <c r="K247" i="16"/>
  <c r="J247" i="16"/>
  <c r="I247" i="16"/>
  <c r="H247" i="16"/>
  <c r="K234" i="16"/>
  <c r="J234" i="16"/>
  <c r="I234" i="16"/>
  <c r="H234" i="16"/>
  <c r="F247" i="16"/>
  <c r="E247" i="16"/>
  <c r="D247" i="16"/>
  <c r="C247" i="16"/>
  <c r="F234" i="16"/>
  <c r="E234" i="16"/>
  <c r="D234" i="16"/>
  <c r="C234" i="16"/>
  <c r="Q902" i="2" l="1"/>
  <c r="P902" i="2"/>
  <c r="O902" i="2"/>
  <c r="N902" i="2"/>
  <c r="K902" i="2"/>
  <c r="J902" i="2"/>
  <c r="Q900" i="2"/>
  <c r="P900" i="2"/>
  <c r="O900" i="2"/>
  <c r="N900" i="2"/>
  <c r="K900" i="2"/>
  <c r="J900" i="2"/>
  <c r="Q898" i="2"/>
  <c r="P898" i="2"/>
  <c r="O898" i="2"/>
  <c r="N898" i="2"/>
  <c r="K898" i="2"/>
  <c r="J898" i="2"/>
  <c r="Q896" i="2"/>
  <c r="P896" i="2"/>
  <c r="O896" i="2"/>
  <c r="N896" i="2"/>
  <c r="K896" i="2"/>
  <c r="J896" i="2"/>
  <c r="Q894" i="2"/>
  <c r="P894" i="2"/>
  <c r="O894" i="2"/>
  <c r="N894" i="2"/>
  <c r="K894" i="2"/>
  <c r="J894" i="2"/>
  <c r="Q892" i="2"/>
  <c r="P892" i="2"/>
  <c r="O892" i="2"/>
  <c r="N892" i="2"/>
  <c r="K892" i="2"/>
  <c r="J892" i="2"/>
  <c r="Q890" i="2"/>
  <c r="P890" i="2"/>
  <c r="O890" i="2"/>
  <c r="N890" i="2"/>
  <c r="K890" i="2"/>
  <c r="J890" i="2"/>
  <c r="Q889" i="2"/>
  <c r="K375" i="16" s="1"/>
  <c r="P889" i="2"/>
  <c r="J375" i="16" s="1"/>
  <c r="O889" i="2"/>
  <c r="I375" i="16" s="1"/>
  <c r="N889" i="2"/>
  <c r="H375" i="16" s="1"/>
  <c r="K889" i="2"/>
  <c r="E375" i="16" s="1"/>
  <c r="J889" i="2"/>
  <c r="D375" i="16" s="1"/>
  <c r="Q851" i="2"/>
  <c r="K154" i="16" s="1"/>
  <c r="P851" i="2"/>
  <c r="J154" i="16" s="1"/>
  <c r="O851" i="2"/>
  <c r="I154" i="16" s="1"/>
  <c r="N851" i="2"/>
  <c r="H154" i="16" s="1"/>
  <c r="K851" i="2"/>
  <c r="E154" i="16" s="1"/>
  <c r="J851" i="2"/>
  <c r="D154" i="16" s="1"/>
  <c r="Q886" i="2"/>
  <c r="K384" i="16" s="1"/>
  <c r="P886" i="2"/>
  <c r="J384" i="16" s="1"/>
  <c r="O886" i="2"/>
  <c r="I384" i="16" s="1"/>
  <c r="N886" i="2"/>
  <c r="H384" i="16" s="1"/>
  <c r="K886" i="2"/>
  <c r="E384" i="16" s="1"/>
  <c r="J886" i="2"/>
  <c r="D384" i="16" s="1"/>
  <c r="Q847" i="2"/>
  <c r="P847" i="2"/>
  <c r="O847" i="2"/>
  <c r="N847" i="2"/>
  <c r="K847" i="2"/>
  <c r="J847" i="2"/>
  <c r="Q846" i="2"/>
  <c r="P846" i="2"/>
  <c r="O846" i="2"/>
  <c r="N846" i="2"/>
  <c r="K846" i="2"/>
  <c r="J846" i="2"/>
  <c r="Q844" i="2"/>
  <c r="K153" i="16" s="1"/>
  <c r="P844" i="2"/>
  <c r="J153" i="16" s="1"/>
  <c r="O844" i="2"/>
  <c r="I153" i="16" s="1"/>
  <c r="N844" i="2"/>
  <c r="H153" i="16" s="1"/>
  <c r="K844" i="2"/>
  <c r="E153" i="16" s="1"/>
  <c r="J844" i="2"/>
  <c r="D153" i="16" s="1"/>
  <c r="Q885" i="2"/>
  <c r="K374" i="16" s="1"/>
  <c r="P885" i="2"/>
  <c r="J374" i="16" s="1"/>
  <c r="O885" i="2"/>
  <c r="I374" i="16" s="1"/>
  <c r="N885" i="2"/>
  <c r="H374" i="16" s="1"/>
  <c r="K885" i="2"/>
  <c r="E374" i="16" s="1"/>
  <c r="J885" i="2"/>
  <c r="D374" i="16" s="1"/>
  <c r="Q536" i="2"/>
  <c r="P536" i="2"/>
  <c r="O536" i="2"/>
  <c r="N536" i="2"/>
  <c r="K536" i="2"/>
  <c r="J536" i="2"/>
  <c r="Q883" i="2"/>
  <c r="K373" i="16" s="1"/>
  <c r="P883" i="2"/>
  <c r="J373" i="16" s="1"/>
  <c r="O883" i="2"/>
  <c r="I373" i="16" s="1"/>
  <c r="N883" i="2"/>
  <c r="H373" i="16" s="1"/>
  <c r="K883" i="2"/>
  <c r="E373" i="16" s="1"/>
  <c r="J883" i="2"/>
  <c r="D373" i="16" s="1"/>
  <c r="Q880" i="2"/>
  <c r="K372" i="16" s="1"/>
  <c r="P880" i="2"/>
  <c r="J372" i="16" s="1"/>
  <c r="O880" i="2"/>
  <c r="I372" i="16" s="1"/>
  <c r="N880" i="2"/>
  <c r="H372" i="16" s="1"/>
  <c r="K880" i="2"/>
  <c r="E372" i="16" s="1"/>
  <c r="J880" i="2"/>
  <c r="D372" i="16" s="1"/>
  <c r="Q75" i="2"/>
  <c r="P75" i="2"/>
  <c r="O75" i="2"/>
  <c r="N75" i="2"/>
  <c r="K75" i="2"/>
  <c r="J75" i="2"/>
  <c r="Q873" i="2"/>
  <c r="K371" i="16" s="1"/>
  <c r="P873" i="2"/>
  <c r="J371" i="16" s="1"/>
  <c r="O873" i="2"/>
  <c r="I371" i="16" s="1"/>
  <c r="N873" i="2"/>
  <c r="H371" i="16" s="1"/>
  <c r="K873" i="2"/>
  <c r="E371" i="16" s="1"/>
  <c r="J873" i="2"/>
  <c r="D371" i="16" s="1"/>
  <c r="Q312" i="2"/>
  <c r="P312" i="2"/>
  <c r="O312" i="2"/>
  <c r="N312" i="2"/>
  <c r="K312" i="2"/>
  <c r="J312" i="2"/>
  <c r="Q310" i="2"/>
  <c r="P310" i="2"/>
  <c r="O310" i="2"/>
  <c r="N310" i="2"/>
  <c r="K310" i="2"/>
  <c r="J310" i="2"/>
  <c r="Q308" i="2"/>
  <c r="K370" i="16" s="1"/>
  <c r="P308" i="2"/>
  <c r="J370" i="16" s="1"/>
  <c r="O308" i="2"/>
  <c r="I370" i="16" s="1"/>
  <c r="N308" i="2"/>
  <c r="H370" i="16" s="1"/>
  <c r="K308" i="2"/>
  <c r="E370" i="16" s="1"/>
  <c r="J308" i="2"/>
  <c r="D370" i="16" s="1"/>
  <c r="Q306" i="2"/>
  <c r="P306" i="2"/>
  <c r="O306" i="2"/>
  <c r="N306" i="2"/>
  <c r="K306" i="2"/>
  <c r="J306" i="2"/>
  <c r="Q488" i="2"/>
  <c r="K369" i="16" s="1"/>
  <c r="P488" i="2"/>
  <c r="J369" i="16" s="1"/>
  <c r="O488" i="2"/>
  <c r="I369" i="16" s="1"/>
  <c r="N488" i="2"/>
  <c r="H369" i="16" s="1"/>
  <c r="K488" i="2"/>
  <c r="E369" i="16" s="1"/>
  <c r="J488" i="2"/>
  <c r="D369" i="16" s="1"/>
  <c r="Q197" i="2"/>
  <c r="P197" i="2"/>
  <c r="O197" i="2"/>
  <c r="N197" i="2"/>
  <c r="K197" i="2"/>
  <c r="J197" i="2"/>
  <c r="Q872" i="2"/>
  <c r="K368" i="16" s="1"/>
  <c r="P872" i="2"/>
  <c r="J368" i="16" s="1"/>
  <c r="O872" i="2"/>
  <c r="I368" i="16" s="1"/>
  <c r="N872" i="2"/>
  <c r="H368" i="16" s="1"/>
  <c r="K872" i="2"/>
  <c r="E368" i="16" s="1"/>
  <c r="J872" i="2"/>
  <c r="D368" i="16" s="1"/>
  <c r="Q921" i="2"/>
  <c r="P921" i="2"/>
  <c r="O921" i="2"/>
  <c r="N921" i="2"/>
  <c r="K921" i="2"/>
  <c r="J921" i="2"/>
  <c r="Q929" i="2"/>
  <c r="K383" i="16" s="1"/>
  <c r="P929" i="2"/>
  <c r="J383" i="16" s="1"/>
  <c r="O929" i="2"/>
  <c r="I383" i="16" s="1"/>
  <c r="N929" i="2"/>
  <c r="H383" i="16" s="1"/>
  <c r="K929" i="2"/>
  <c r="E383" i="16" s="1"/>
  <c r="J929" i="2"/>
  <c r="D383" i="16" s="1"/>
  <c r="Q425" i="2"/>
  <c r="P425" i="2"/>
  <c r="O425" i="2"/>
  <c r="N425" i="2"/>
  <c r="K425" i="2"/>
  <c r="J425" i="2"/>
  <c r="Q927" i="2"/>
  <c r="K367" i="16" s="1"/>
  <c r="P927" i="2"/>
  <c r="J367" i="16" s="1"/>
  <c r="O927" i="2"/>
  <c r="I367" i="16" s="1"/>
  <c r="N927" i="2"/>
  <c r="H367" i="16" s="1"/>
  <c r="K927" i="2"/>
  <c r="E367" i="16" s="1"/>
  <c r="J927" i="2"/>
  <c r="D367" i="16" s="1"/>
  <c r="Q486" i="2"/>
  <c r="K366" i="16" s="1"/>
  <c r="P486" i="2"/>
  <c r="J366" i="16" s="1"/>
  <c r="O486" i="2"/>
  <c r="I366" i="16" s="1"/>
  <c r="N486" i="2"/>
  <c r="H366" i="16" s="1"/>
  <c r="K486" i="2"/>
  <c r="E366" i="16" s="1"/>
  <c r="J486" i="2"/>
  <c r="D366" i="16" s="1"/>
  <c r="Q925" i="2"/>
  <c r="K382" i="16" s="1"/>
  <c r="P925" i="2"/>
  <c r="J382" i="16" s="1"/>
  <c r="O925" i="2"/>
  <c r="I382" i="16" s="1"/>
  <c r="N925" i="2"/>
  <c r="H382" i="16" s="1"/>
  <c r="K925" i="2"/>
  <c r="E382" i="16" s="1"/>
  <c r="J925" i="2"/>
  <c r="D382" i="16" s="1"/>
  <c r="Q712" i="2"/>
  <c r="P712" i="2"/>
  <c r="O712" i="2"/>
  <c r="N712" i="2"/>
  <c r="K712" i="2"/>
  <c r="J712" i="2"/>
  <c r="Q710" i="2"/>
  <c r="P710" i="2"/>
  <c r="O710" i="2"/>
  <c r="N710" i="2"/>
  <c r="K710" i="2"/>
  <c r="J710" i="2"/>
  <c r="Q708" i="2"/>
  <c r="P708" i="2"/>
  <c r="O708" i="2"/>
  <c r="N708" i="2"/>
  <c r="K708" i="2"/>
  <c r="J708" i="2"/>
  <c r="Q706" i="2"/>
  <c r="P706" i="2"/>
  <c r="O706" i="2"/>
  <c r="N706" i="2"/>
  <c r="K706" i="2"/>
  <c r="J706" i="2"/>
  <c r="Q704" i="2"/>
  <c r="P704" i="2"/>
  <c r="O704" i="2"/>
  <c r="N704" i="2"/>
  <c r="K704" i="2"/>
  <c r="J704" i="2"/>
  <c r="Q702" i="2"/>
  <c r="P702" i="2"/>
  <c r="O702" i="2"/>
  <c r="N702" i="2"/>
  <c r="K702" i="2"/>
  <c r="J702" i="2"/>
  <c r="Q700" i="2"/>
  <c r="P700" i="2"/>
  <c r="O700" i="2"/>
  <c r="N700" i="2"/>
  <c r="K700" i="2"/>
  <c r="J700" i="2"/>
  <c r="Q698" i="2"/>
  <c r="P698" i="2"/>
  <c r="O698" i="2"/>
  <c r="N698" i="2"/>
  <c r="K698" i="2"/>
  <c r="J698" i="2"/>
  <c r="Q696" i="2"/>
  <c r="P696" i="2"/>
  <c r="O696" i="2"/>
  <c r="N696" i="2"/>
  <c r="K696" i="2"/>
  <c r="J696" i="2"/>
  <c r="Q694" i="2"/>
  <c r="P694" i="2"/>
  <c r="O694" i="2"/>
  <c r="N694" i="2"/>
  <c r="K694" i="2"/>
  <c r="J694" i="2"/>
  <c r="Q692" i="2"/>
  <c r="P692" i="2"/>
  <c r="O692" i="2"/>
  <c r="N692" i="2"/>
  <c r="K692" i="2"/>
  <c r="J692" i="2"/>
  <c r="Q690" i="2"/>
  <c r="P690" i="2"/>
  <c r="O690" i="2"/>
  <c r="N690" i="2"/>
  <c r="K690" i="2"/>
  <c r="J690" i="2"/>
  <c r="Q688" i="2"/>
  <c r="P688" i="2"/>
  <c r="O688" i="2"/>
  <c r="N688" i="2"/>
  <c r="K688" i="2"/>
  <c r="J688" i="2"/>
  <c r="Q686" i="2"/>
  <c r="P686" i="2"/>
  <c r="O686" i="2"/>
  <c r="N686" i="2"/>
  <c r="K686" i="2"/>
  <c r="J686" i="2"/>
  <c r="Q684" i="2"/>
  <c r="P684" i="2"/>
  <c r="O684" i="2"/>
  <c r="N684" i="2"/>
  <c r="K684" i="2"/>
  <c r="J684" i="2"/>
  <c r="Q682" i="2"/>
  <c r="P682" i="2"/>
  <c r="O682" i="2"/>
  <c r="N682" i="2"/>
  <c r="K682" i="2"/>
  <c r="J682" i="2"/>
  <c r="Q680" i="2"/>
  <c r="P680" i="2"/>
  <c r="O680" i="2"/>
  <c r="N680" i="2"/>
  <c r="K680" i="2"/>
  <c r="J680" i="2"/>
  <c r="Q678" i="2"/>
  <c r="P678" i="2"/>
  <c r="O678" i="2"/>
  <c r="N678" i="2"/>
  <c r="K678" i="2"/>
  <c r="J678" i="2"/>
  <c r="Q676" i="2"/>
  <c r="P676" i="2"/>
  <c r="O676" i="2"/>
  <c r="N676" i="2"/>
  <c r="K676" i="2"/>
  <c r="J676" i="2"/>
  <c r="Q674" i="2"/>
  <c r="P674" i="2"/>
  <c r="O674" i="2"/>
  <c r="N674" i="2"/>
  <c r="K674" i="2"/>
  <c r="J674" i="2"/>
  <c r="Q672" i="2"/>
  <c r="P672" i="2"/>
  <c r="O672" i="2"/>
  <c r="N672" i="2"/>
  <c r="K672" i="2"/>
  <c r="J672" i="2"/>
  <c r="Q670" i="2"/>
  <c r="P670" i="2"/>
  <c r="O670" i="2"/>
  <c r="N670" i="2"/>
  <c r="K670" i="2"/>
  <c r="J670" i="2"/>
  <c r="Q668" i="2"/>
  <c r="K152" i="16" s="1"/>
  <c r="P668" i="2"/>
  <c r="J152" i="16" s="1"/>
  <c r="O668" i="2"/>
  <c r="I152" i="16" s="1"/>
  <c r="N668" i="2"/>
  <c r="H152" i="16" s="1"/>
  <c r="K668" i="2"/>
  <c r="E152" i="16" s="1"/>
  <c r="J668" i="2"/>
  <c r="D152" i="16" s="1"/>
  <c r="Q666" i="2"/>
  <c r="P666" i="2"/>
  <c r="O666" i="2"/>
  <c r="N666" i="2"/>
  <c r="K666" i="2"/>
  <c r="J666" i="2"/>
  <c r="Q664" i="2"/>
  <c r="P664" i="2"/>
  <c r="O664" i="2"/>
  <c r="N664" i="2"/>
  <c r="K664" i="2"/>
  <c r="J664" i="2"/>
  <c r="Q662" i="2"/>
  <c r="P662" i="2"/>
  <c r="O662" i="2"/>
  <c r="N662" i="2"/>
  <c r="K662" i="2"/>
  <c r="J662" i="2"/>
  <c r="Q660" i="2"/>
  <c r="P660" i="2"/>
  <c r="O660" i="2"/>
  <c r="N660" i="2"/>
  <c r="K660" i="2"/>
  <c r="J660" i="2"/>
  <c r="Q658" i="2"/>
  <c r="P658" i="2"/>
  <c r="O658" i="2"/>
  <c r="N658" i="2"/>
  <c r="K658" i="2"/>
  <c r="J658" i="2"/>
  <c r="Q656" i="2"/>
  <c r="P656" i="2"/>
  <c r="O656" i="2"/>
  <c r="N656" i="2"/>
  <c r="K656" i="2"/>
  <c r="J656" i="2"/>
  <c r="Q654" i="2"/>
  <c r="P654" i="2"/>
  <c r="O654" i="2"/>
  <c r="N654" i="2"/>
  <c r="K654" i="2"/>
  <c r="J654" i="2"/>
  <c r="Q652" i="2"/>
  <c r="P652" i="2"/>
  <c r="O652" i="2"/>
  <c r="N652" i="2"/>
  <c r="K652" i="2"/>
  <c r="J652" i="2"/>
  <c r="Q650" i="2"/>
  <c r="P650" i="2"/>
  <c r="O650" i="2"/>
  <c r="N650" i="2"/>
  <c r="K650" i="2"/>
  <c r="J650" i="2"/>
  <c r="Q31" i="2"/>
  <c r="K365" i="16" s="1"/>
  <c r="P31" i="2"/>
  <c r="J365" i="16" s="1"/>
  <c r="O31" i="2"/>
  <c r="I365" i="16" s="1"/>
  <c r="N31" i="2"/>
  <c r="H365" i="16" s="1"/>
  <c r="K31" i="2"/>
  <c r="E365" i="16" s="1"/>
  <c r="J31" i="2"/>
  <c r="D365" i="16" s="1"/>
  <c r="Q23" i="2"/>
  <c r="K381" i="16" s="1"/>
  <c r="P23" i="2"/>
  <c r="J381" i="16" s="1"/>
  <c r="O23" i="2"/>
  <c r="I381" i="16" s="1"/>
  <c r="N23" i="2"/>
  <c r="H381" i="16" s="1"/>
  <c r="K23" i="2"/>
  <c r="E381" i="16" s="1"/>
  <c r="J23" i="2"/>
  <c r="D381" i="16" s="1"/>
  <c r="Q849" i="2"/>
  <c r="K364" i="16" s="1"/>
  <c r="P849" i="2"/>
  <c r="J364" i="16" s="1"/>
  <c r="O849" i="2"/>
  <c r="I364" i="16" s="1"/>
  <c r="N849" i="2"/>
  <c r="H364" i="16" s="1"/>
  <c r="K849" i="2"/>
  <c r="E364" i="16" s="1"/>
  <c r="J849" i="2"/>
  <c r="D364" i="16" s="1"/>
  <c r="Q934" i="2"/>
  <c r="P934" i="2"/>
  <c r="O934" i="2"/>
  <c r="N934" i="2"/>
  <c r="K934" i="2"/>
  <c r="J934" i="2"/>
  <c r="Q933" i="2"/>
  <c r="K151" i="16" s="1"/>
  <c r="P933" i="2"/>
  <c r="J151" i="16" s="1"/>
  <c r="O933" i="2"/>
  <c r="I151" i="16" s="1"/>
  <c r="N933" i="2"/>
  <c r="H151" i="16" s="1"/>
  <c r="K933" i="2"/>
  <c r="E151" i="16" s="1"/>
  <c r="J933" i="2"/>
  <c r="D151" i="16" s="1"/>
  <c r="Q932" i="2"/>
  <c r="P932" i="2"/>
  <c r="O932" i="2"/>
  <c r="N932" i="2"/>
  <c r="K932" i="2"/>
  <c r="J932" i="2"/>
  <c r="A932" i="2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J523" i="2"/>
  <c r="F3" i="13"/>
  <c r="E3" i="13"/>
  <c r="D3" i="13"/>
  <c r="C3" i="13"/>
  <c r="A2" i="3"/>
  <c r="Q550" i="2"/>
  <c r="Q931" i="2"/>
  <c r="P931" i="2"/>
  <c r="O931" i="2"/>
  <c r="N931" i="2"/>
  <c r="K931" i="2"/>
  <c r="J931" i="2"/>
  <c r="Q930" i="2"/>
  <c r="P930" i="2"/>
  <c r="O930" i="2"/>
  <c r="N930" i="2"/>
  <c r="K930" i="2"/>
  <c r="J930" i="2"/>
  <c r="J928" i="2"/>
  <c r="K928" i="2"/>
  <c r="N928" i="2"/>
  <c r="O928" i="2"/>
  <c r="P928" i="2"/>
  <c r="Q928" i="2"/>
  <c r="Q926" i="2"/>
  <c r="P926" i="2"/>
  <c r="O926" i="2"/>
  <c r="N926" i="2"/>
  <c r="K926" i="2"/>
  <c r="J926" i="2"/>
  <c r="U36" i="11"/>
  <c r="T36" i="11"/>
  <c r="W36" i="11"/>
  <c r="R36" i="11"/>
  <c r="Q36" i="11"/>
  <c r="P36" i="11"/>
  <c r="O36" i="11"/>
  <c r="N36" i="11"/>
  <c r="K36" i="11"/>
  <c r="N6" i="2"/>
  <c r="N7" i="2"/>
  <c r="N8" i="2"/>
  <c r="H188" i="16" s="1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H175" i="16" s="1"/>
  <c r="N22" i="2"/>
  <c r="N24" i="2"/>
  <c r="H177" i="16" s="1"/>
  <c r="N25" i="2"/>
  <c r="H178" i="16" s="1"/>
  <c r="N26" i="2"/>
  <c r="H179" i="16" s="1"/>
  <c r="N27" i="2"/>
  <c r="H180" i="16" s="1"/>
  <c r="N28" i="2"/>
  <c r="N29" i="2"/>
  <c r="H176" i="16" s="1"/>
  <c r="N30" i="2"/>
  <c r="H182" i="16" s="1"/>
  <c r="N32" i="2"/>
  <c r="H183" i="16" s="1"/>
  <c r="N33" i="2"/>
  <c r="H181" i="16" s="1"/>
  <c r="N34" i="2"/>
  <c r="N35" i="2"/>
  <c r="H184" i="16" s="1"/>
  <c r="N36" i="2"/>
  <c r="N37" i="2"/>
  <c r="H185" i="16" s="1"/>
  <c r="N38" i="2"/>
  <c r="H332" i="16" s="1"/>
  <c r="N39" i="2"/>
  <c r="H186" i="16" s="1"/>
  <c r="N40" i="2"/>
  <c r="H187" i="16" s="1"/>
  <c r="N41" i="2"/>
  <c r="N42" i="2"/>
  <c r="N43" i="2"/>
  <c r="N44" i="2"/>
  <c r="N45" i="2"/>
  <c r="H196" i="16" s="1"/>
  <c r="N46" i="2"/>
  <c r="H197" i="16" s="1"/>
  <c r="N47" i="2"/>
  <c r="N48" i="2"/>
  <c r="N49" i="2"/>
  <c r="N50" i="2"/>
  <c r="N51" i="2"/>
  <c r="H189" i="16" s="1"/>
  <c r="N52" i="2"/>
  <c r="N53" i="2"/>
  <c r="N54" i="2"/>
  <c r="H190" i="16" s="1"/>
  <c r="N55" i="2"/>
  <c r="H191" i="16" s="1"/>
  <c r="N56" i="2"/>
  <c r="H192" i="16" s="1"/>
  <c r="N57" i="2"/>
  <c r="N58" i="2"/>
  <c r="H193" i="16" s="1"/>
  <c r="N59" i="2"/>
  <c r="H194" i="16" s="1"/>
  <c r="N60" i="2"/>
  <c r="N61" i="2"/>
  <c r="N62" i="2"/>
  <c r="N63" i="2"/>
  <c r="N64" i="2"/>
  <c r="N65" i="2"/>
  <c r="N66" i="2"/>
  <c r="N67" i="2"/>
  <c r="N68" i="2"/>
  <c r="H431" i="16" s="1"/>
  <c r="N69" i="2"/>
  <c r="H195" i="16" s="1"/>
  <c r="N70" i="2"/>
  <c r="H199" i="16" s="1"/>
  <c r="N71" i="2"/>
  <c r="H198" i="16" s="1"/>
  <c r="N72" i="2"/>
  <c r="N73" i="2"/>
  <c r="H203" i="16" s="1"/>
  <c r="N74" i="2"/>
  <c r="N76" i="2"/>
  <c r="H208" i="16" s="1"/>
  <c r="N77" i="2"/>
  <c r="N78" i="2"/>
  <c r="N79" i="2"/>
  <c r="N80" i="2"/>
  <c r="N81" i="2"/>
  <c r="N82" i="2"/>
  <c r="N83" i="2"/>
  <c r="H200" i="16" s="1"/>
  <c r="N84" i="2"/>
  <c r="H201" i="16" s="1"/>
  <c r="N85" i="2"/>
  <c r="N86" i="2"/>
  <c r="N87" i="2"/>
  <c r="N88" i="2"/>
  <c r="N89" i="2"/>
  <c r="H202" i="16" s="1"/>
  <c r="N90" i="2"/>
  <c r="N91" i="2"/>
  <c r="N92" i="2"/>
  <c r="N93" i="2"/>
  <c r="N94" i="2"/>
  <c r="H216" i="16" s="1"/>
  <c r="N95" i="2"/>
  <c r="H204" i="16" s="1"/>
  <c r="N96" i="2"/>
  <c r="H205" i="16" s="1"/>
  <c r="N97" i="2"/>
  <c r="N98" i="2"/>
  <c r="N99" i="2"/>
  <c r="N100" i="2"/>
  <c r="N101" i="2"/>
  <c r="N102" i="2"/>
  <c r="N103" i="2"/>
  <c r="H206" i="16" s="1"/>
  <c r="N104" i="2"/>
  <c r="N105" i="2"/>
  <c r="N106" i="2"/>
  <c r="N107" i="2"/>
  <c r="H207" i="16" s="1"/>
  <c r="N108" i="2"/>
  <c r="N109" i="2"/>
  <c r="N110" i="2"/>
  <c r="N111" i="2"/>
  <c r="N112" i="2"/>
  <c r="N113" i="2"/>
  <c r="N114" i="2"/>
  <c r="N115" i="2"/>
  <c r="N116" i="2"/>
  <c r="N117" i="2"/>
  <c r="H209" i="16" s="1"/>
  <c r="N118" i="2"/>
  <c r="N119" i="2"/>
  <c r="N120" i="2"/>
  <c r="N121" i="2"/>
  <c r="N122" i="2"/>
  <c r="H210" i="16" s="1"/>
  <c r="N123" i="2"/>
  <c r="H211" i="16" s="1"/>
  <c r="N124" i="2"/>
  <c r="N125" i="2"/>
  <c r="N126" i="2"/>
  <c r="N127" i="2"/>
  <c r="N128" i="2"/>
  <c r="N129" i="2"/>
  <c r="N130" i="2"/>
  <c r="N131" i="2"/>
  <c r="N132" i="2"/>
  <c r="N133" i="2"/>
  <c r="H212" i="16" s="1"/>
  <c r="N134" i="2"/>
  <c r="H432" i="16" s="1"/>
  <c r="N135" i="2"/>
  <c r="H433" i="16" s="1"/>
  <c r="N136" i="2"/>
  <c r="N137" i="2"/>
  <c r="H213" i="16" s="1"/>
  <c r="N138" i="2"/>
  <c r="H214" i="16" s="1"/>
  <c r="N139" i="2"/>
  <c r="H215" i="16" s="1"/>
  <c r="N140" i="2"/>
  <c r="H224" i="16" s="1"/>
  <c r="N141" i="2"/>
  <c r="H217" i="16" s="1"/>
  <c r="N142" i="2"/>
  <c r="N143" i="2"/>
  <c r="N144" i="2"/>
  <c r="N145" i="2"/>
  <c r="N146" i="2"/>
  <c r="N147" i="2"/>
  <c r="N148" i="2"/>
  <c r="H218" i="16" s="1"/>
  <c r="N149" i="2"/>
  <c r="N150" i="2"/>
  <c r="H219" i="16" s="1"/>
  <c r="N151" i="2"/>
  <c r="N152" i="2"/>
  <c r="N153" i="2"/>
  <c r="N154" i="2"/>
  <c r="N155" i="2"/>
  <c r="N156" i="2"/>
  <c r="N157" i="2"/>
  <c r="N158" i="2"/>
  <c r="N159" i="2"/>
  <c r="N160" i="2"/>
  <c r="N161" i="2"/>
  <c r="H223" i="16" s="1"/>
  <c r="N162" i="2"/>
  <c r="N163" i="2"/>
  <c r="N164" i="2"/>
  <c r="N165" i="2"/>
  <c r="N166" i="2"/>
  <c r="N167" i="2"/>
  <c r="H220" i="16" s="1"/>
  <c r="N168" i="2"/>
  <c r="H221" i="16" s="1"/>
  <c r="N169" i="2"/>
  <c r="N170" i="2"/>
  <c r="N171" i="2"/>
  <c r="N172" i="2"/>
  <c r="N173" i="2"/>
  <c r="N174" i="2"/>
  <c r="N175" i="2"/>
  <c r="N176" i="2"/>
  <c r="N177" i="2"/>
  <c r="N178" i="2"/>
  <c r="H333" i="16" s="1"/>
  <c r="N179" i="2"/>
  <c r="N180" i="2"/>
  <c r="N181" i="2"/>
  <c r="H222" i="16" s="1"/>
  <c r="N182" i="2"/>
  <c r="N183" i="2"/>
  <c r="N184" i="2"/>
  <c r="N185" i="2"/>
  <c r="N186" i="2"/>
  <c r="N187" i="2"/>
  <c r="N188" i="2"/>
  <c r="N189" i="2"/>
  <c r="N190" i="2"/>
  <c r="N191" i="2"/>
  <c r="N192" i="2"/>
  <c r="H334" i="16" s="1"/>
  <c r="N193" i="2"/>
  <c r="N194" i="2"/>
  <c r="N195" i="2"/>
  <c r="H227" i="16" s="1"/>
  <c r="N196" i="2"/>
  <c r="H225" i="16" s="1"/>
  <c r="N198" i="2"/>
  <c r="N199" i="2"/>
  <c r="N200" i="2"/>
  <c r="N201" i="2"/>
  <c r="N202" i="2"/>
  <c r="N203" i="2"/>
  <c r="N204" i="2"/>
  <c r="N205" i="2"/>
  <c r="H226" i="16" s="1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H229" i="16" s="1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H228" i="16" s="1"/>
  <c r="N274" i="2"/>
  <c r="H236" i="16" s="1"/>
  <c r="N275" i="2"/>
  <c r="N276" i="2"/>
  <c r="N277" i="2"/>
  <c r="N278" i="2"/>
  <c r="N279" i="2"/>
  <c r="N280" i="2"/>
  <c r="N281" i="2"/>
  <c r="H230" i="16" s="1"/>
  <c r="N282" i="2"/>
  <c r="N283" i="2"/>
  <c r="N284" i="2"/>
  <c r="N285" i="2"/>
  <c r="N286" i="2"/>
  <c r="N287" i="2"/>
  <c r="N288" i="2"/>
  <c r="N289" i="2"/>
  <c r="N290" i="2"/>
  <c r="H231" i="16" s="1"/>
  <c r="N291" i="2"/>
  <c r="N292" i="2"/>
  <c r="H232" i="16" s="1"/>
  <c r="N293" i="2"/>
  <c r="N294" i="2"/>
  <c r="H335" i="16" s="1"/>
  <c r="N295" i="2"/>
  <c r="H233" i="16" s="1"/>
  <c r="N296" i="2"/>
  <c r="N297" i="2"/>
  <c r="H155" i="16" s="1"/>
  <c r="N298" i="2"/>
  <c r="N299" i="2"/>
  <c r="H235" i="16" s="1"/>
  <c r="N300" i="2"/>
  <c r="N301" i="2"/>
  <c r="N302" i="2"/>
  <c r="N303" i="2"/>
  <c r="N304" i="2"/>
  <c r="H256" i="16" s="1"/>
  <c r="N305" i="2"/>
  <c r="N307" i="2"/>
  <c r="N309" i="2"/>
  <c r="N311" i="2"/>
  <c r="H341" i="16" s="1"/>
  <c r="N313" i="2"/>
  <c r="N314" i="2"/>
  <c r="N315" i="2"/>
  <c r="H237" i="16" s="1"/>
  <c r="N316" i="2"/>
  <c r="H269" i="16" s="1"/>
  <c r="N317" i="2"/>
  <c r="H434" i="16" s="1"/>
  <c r="N318" i="2"/>
  <c r="H385" i="16" s="1"/>
  <c r="N319" i="2"/>
  <c r="H238" i="16" s="1"/>
  <c r="N320" i="2"/>
  <c r="H239" i="16" s="1"/>
  <c r="N321" i="2"/>
  <c r="H240" i="16" s="1"/>
  <c r="N322" i="2"/>
  <c r="H241" i="16" s="1"/>
  <c r="N323" i="2"/>
  <c r="H242" i="16" s="1"/>
  <c r="N324" i="2"/>
  <c r="H243" i="16" s="1"/>
  <c r="N325" i="2"/>
  <c r="N326" i="2"/>
  <c r="N327" i="2"/>
  <c r="N328" i="2"/>
  <c r="N329" i="2"/>
  <c r="N330" i="2"/>
  <c r="N331" i="2"/>
  <c r="N332" i="2"/>
  <c r="N333" i="2"/>
  <c r="N334" i="2"/>
  <c r="N335" i="2"/>
  <c r="H244" i="16" s="1"/>
  <c r="N336" i="2"/>
  <c r="H245" i="16" s="1"/>
  <c r="N337" i="2"/>
  <c r="N338" i="2"/>
  <c r="H246" i="16" s="1"/>
  <c r="N339" i="2"/>
  <c r="N340" i="2"/>
  <c r="N341" i="2"/>
  <c r="N342" i="2"/>
  <c r="N343" i="2"/>
  <c r="N344" i="2"/>
  <c r="N345" i="2"/>
  <c r="N346" i="2"/>
  <c r="N347" i="2"/>
  <c r="N348" i="2"/>
  <c r="N349" i="2"/>
  <c r="H248" i="16" s="1"/>
  <c r="N350" i="2"/>
  <c r="N351" i="2"/>
  <c r="H249" i="16" s="1"/>
  <c r="N352" i="2"/>
  <c r="H250" i="16" s="1"/>
  <c r="N353" i="2"/>
  <c r="H251" i="16" s="1"/>
  <c r="N354" i="2"/>
  <c r="H342" i="16" s="1"/>
  <c r="N355" i="2"/>
  <c r="H253" i="16" s="1"/>
  <c r="N356" i="2"/>
  <c r="H252" i="16" s="1"/>
  <c r="N357" i="2"/>
  <c r="N358" i="2"/>
  <c r="N359" i="2"/>
  <c r="H254" i="16" s="1"/>
  <c r="N360" i="2"/>
  <c r="N361" i="2"/>
  <c r="N362" i="2"/>
  <c r="N363" i="2"/>
  <c r="N364" i="2"/>
  <c r="N365" i="2"/>
  <c r="N366" i="2"/>
  <c r="N367" i="2"/>
  <c r="N368" i="2"/>
  <c r="H255" i="16" s="1"/>
  <c r="N369" i="2"/>
  <c r="H336" i="16" s="1"/>
  <c r="N370" i="2"/>
  <c r="H337" i="16" s="1"/>
  <c r="N371" i="2"/>
  <c r="N372" i="2"/>
  <c r="N373" i="2"/>
  <c r="N374" i="2"/>
  <c r="N375" i="2"/>
  <c r="N376" i="2"/>
  <c r="N377" i="2"/>
  <c r="N378" i="2"/>
  <c r="N379" i="2"/>
  <c r="N380" i="2"/>
  <c r="N381" i="2"/>
  <c r="H272" i="16" s="1"/>
  <c r="N382" i="2"/>
  <c r="H257" i="16" s="1"/>
  <c r="N383" i="2"/>
  <c r="H258" i="16" s="1"/>
  <c r="N384" i="2"/>
  <c r="H259" i="16" s="1"/>
  <c r="N385" i="2"/>
  <c r="H260" i="16" s="1"/>
  <c r="N386" i="2"/>
  <c r="H261" i="16" s="1"/>
  <c r="N387" i="2"/>
  <c r="N388" i="2"/>
  <c r="N389" i="2"/>
  <c r="N390" i="2"/>
  <c r="N391" i="2"/>
  <c r="N392" i="2"/>
  <c r="N393" i="2"/>
  <c r="N394" i="2"/>
  <c r="H262" i="16" s="1"/>
  <c r="N395" i="2"/>
  <c r="H435" i="16" s="1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H263" i="16" s="1"/>
  <c r="N415" i="2"/>
  <c r="N416" i="2"/>
  <c r="N417" i="2"/>
  <c r="H264" i="16" s="1"/>
  <c r="N418" i="2"/>
  <c r="H265" i="16" s="1"/>
  <c r="N419" i="2"/>
  <c r="H266" i="16" s="1"/>
  <c r="N420" i="2"/>
  <c r="N421" i="2"/>
  <c r="N422" i="2"/>
  <c r="N423" i="2"/>
  <c r="H267" i="16" s="1"/>
  <c r="N424" i="2"/>
  <c r="N426" i="2"/>
  <c r="N427" i="2"/>
  <c r="N428" i="2"/>
  <c r="N429" i="2"/>
  <c r="N430" i="2"/>
  <c r="N431" i="2"/>
  <c r="H343" i="16" s="1"/>
  <c r="N432" i="2"/>
  <c r="H268" i="16" s="1"/>
  <c r="N433" i="2"/>
  <c r="H296" i="16" s="1"/>
  <c r="N434" i="2"/>
  <c r="H270" i="16" s="1"/>
  <c r="N435" i="2"/>
  <c r="N436" i="2"/>
  <c r="N437" i="2"/>
  <c r="H271" i="16" s="1"/>
  <c r="N438" i="2"/>
  <c r="N439" i="2"/>
  <c r="N440" i="2"/>
  <c r="H301" i="16" s="1"/>
  <c r="N441" i="2"/>
  <c r="N442" i="2"/>
  <c r="H273" i="16" s="1"/>
  <c r="N443" i="2"/>
  <c r="H274" i="16" s="1"/>
  <c r="N444" i="2"/>
  <c r="N445" i="2"/>
  <c r="N446" i="2"/>
  <c r="N447" i="2"/>
  <c r="N448" i="2"/>
  <c r="N449" i="2"/>
  <c r="N450" i="2"/>
  <c r="N451" i="2"/>
  <c r="N452" i="2"/>
  <c r="H275" i="16" s="1"/>
  <c r="N453" i="2"/>
  <c r="H276" i="16" s="1"/>
  <c r="N454" i="2"/>
  <c r="H277" i="16" s="1"/>
  <c r="N455" i="2"/>
  <c r="H278" i="16" s="1"/>
  <c r="N456" i="2"/>
  <c r="N457" i="2"/>
  <c r="H279" i="16" s="1"/>
  <c r="N458" i="2"/>
  <c r="N459" i="2"/>
  <c r="N460" i="2"/>
  <c r="N461" i="2"/>
  <c r="N462" i="2"/>
  <c r="H344" i="16" s="1"/>
  <c r="N463" i="2"/>
  <c r="N464" i="2"/>
  <c r="N465" i="2"/>
  <c r="N466" i="2"/>
  <c r="H280" i="16" s="1"/>
  <c r="N467" i="2"/>
  <c r="N468" i="2"/>
  <c r="N469" i="2"/>
  <c r="H281" i="16" s="1"/>
  <c r="N470" i="2"/>
  <c r="H282" i="16" s="1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H283" i="16" s="1"/>
  <c r="N485" i="2"/>
  <c r="N487" i="2"/>
  <c r="H284" i="16" s="1"/>
  <c r="N489" i="2"/>
  <c r="N490" i="2"/>
  <c r="N491" i="2"/>
  <c r="N492" i="2"/>
  <c r="N493" i="2"/>
  <c r="N494" i="2"/>
  <c r="H285" i="16" s="1"/>
  <c r="N495" i="2"/>
  <c r="N496" i="2"/>
  <c r="H286" i="16" s="1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H287" i="16" s="1"/>
  <c r="N525" i="2"/>
  <c r="H288" i="16" s="1"/>
  <c r="N526" i="2"/>
  <c r="H289" i="16" s="1"/>
  <c r="N527" i="2"/>
  <c r="N528" i="2"/>
  <c r="H290" i="16" s="1"/>
  <c r="N529" i="2"/>
  <c r="N530" i="2"/>
  <c r="H291" i="16" s="1"/>
  <c r="N531" i="2"/>
  <c r="N532" i="2"/>
  <c r="N533" i="2"/>
  <c r="N534" i="2"/>
  <c r="H292" i="16" s="1"/>
  <c r="N535" i="2"/>
  <c r="H293" i="16" s="1"/>
  <c r="N537" i="2"/>
  <c r="H294" i="16" s="1"/>
  <c r="N538" i="2"/>
  <c r="H295" i="16" s="1"/>
  <c r="N539" i="2"/>
  <c r="H302" i="16" s="1"/>
  <c r="N540" i="2"/>
  <c r="H297" i="16" s="1"/>
  <c r="N541" i="2"/>
  <c r="H298" i="16" s="1"/>
  <c r="N542" i="2"/>
  <c r="N543" i="2"/>
  <c r="N544" i="2"/>
  <c r="N545" i="2"/>
  <c r="N546" i="2"/>
  <c r="N547" i="2"/>
  <c r="N548" i="2"/>
  <c r="H299" i="16" s="1"/>
  <c r="N549" i="2"/>
  <c r="N550" i="2"/>
  <c r="N551" i="2"/>
  <c r="N552" i="2"/>
  <c r="H300" i="16" s="1"/>
  <c r="N553" i="2"/>
  <c r="N554" i="2"/>
  <c r="N555" i="2"/>
  <c r="N556" i="2"/>
  <c r="N557" i="2"/>
  <c r="N558" i="2"/>
  <c r="N559" i="2"/>
  <c r="H307" i="16" s="1"/>
  <c r="N560" i="2"/>
  <c r="H338" i="16" s="1"/>
  <c r="N561" i="2"/>
  <c r="H308" i="16" s="1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H303" i="16" s="1"/>
  <c r="N577" i="2"/>
  <c r="H304" i="16" s="1"/>
  <c r="N578" i="2"/>
  <c r="N579" i="2"/>
  <c r="N580" i="2"/>
  <c r="N581" i="2"/>
  <c r="N582" i="2"/>
  <c r="N583" i="2"/>
  <c r="N584" i="2"/>
  <c r="N585" i="2"/>
  <c r="N586" i="2"/>
  <c r="N587" i="2"/>
  <c r="H305" i="16" s="1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H309" i="16" s="1"/>
  <c r="N634" i="2"/>
  <c r="H310" i="16" s="1"/>
  <c r="N635" i="2"/>
  <c r="N636" i="2"/>
  <c r="H306" i="16" s="1"/>
  <c r="N637" i="2"/>
  <c r="N638" i="2"/>
  <c r="N639" i="2"/>
  <c r="H329" i="16" s="1"/>
  <c r="N640" i="2"/>
  <c r="N641" i="2"/>
  <c r="N642" i="2"/>
  <c r="N643" i="2"/>
  <c r="N644" i="2"/>
  <c r="N645" i="2"/>
  <c r="H386" i="16" s="1"/>
  <c r="N646" i="2"/>
  <c r="H345" i="16" s="1"/>
  <c r="N647" i="2"/>
  <c r="N648" i="2"/>
  <c r="H311" i="16" s="1"/>
  <c r="N649" i="2"/>
  <c r="N651" i="2"/>
  <c r="H436" i="16" s="1"/>
  <c r="N653" i="2"/>
  <c r="N655" i="2"/>
  <c r="N657" i="2"/>
  <c r="H313" i="16" s="1"/>
  <c r="N659" i="2"/>
  <c r="H312" i="16" s="1"/>
  <c r="N661" i="2"/>
  <c r="H314" i="16" s="1"/>
  <c r="N663" i="2"/>
  <c r="N665" i="2"/>
  <c r="H315" i="16" s="1"/>
  <c r="N667" i="2"/>
  <c r="N669" i="2"/>
  <c r="H316" i="16" s="1"/>
  <c r="N671" i="2"/>
  <c r="N673" i="2"/>
  <c r="N675" i="2"/>
  <c r="N677" i="2"/>
  <c r="N679" i="2"/>
  <c r="N681" i="2"/>
  <c r="H317" i="16" s="1"/>
  <c r="N683" i="2"/>
  <c r="H318" i="16" s="1"/>
  <c r="N685" i="2"/>
  <c r="H346" i="16" s="1"/>
  <c r="N687" i="2"/>
  <c r="N689" i="2"/>
  <c r="N691" i="2"/>
  <c r="N693" i="2"/>
  <c r="N695" i="2"/>
  <c r="N697" i="2"/>
  <c r="N699" i="2"/>
  <c r="N701" i="2"/>
  <c r="N703" i="2"/>
  <c r="N705" i="2"/>
  <c r="N707" i="2"/>
  <c r="N709" i="2"/>
  <c r="N711" i="2"/>
  <c r="N713" i="2"/>
  <c r="N714" i="2"/>
  <c r="N715" i="2"/>
  <c r="H319" i="16" s="1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H339" i="16" s="1"/>
  <c r="N765" i="2"/>
  <c r="N766" i="2"/>
  <c r="N767" i="2"/>
  <c r="N768" i="2"/>
  <c r="N769" i="2"/>
  <c r="N770" i="2"/>
  <c r="H340" i="16" s="1"/>
  <c r="N771" i="2"/>
  <c r="N772" i="2"/>
  <c r="N773" i="2"/>
  <c r="N774" i="2"/>
  <c r="N775" i="2"/>
  <c r="N776" i="2"/>
  <c r="N777" i="2"/>
  <c r="N778" i="2"/>
  <c r="N779" i="2"/>
  <c r="N780" i="2"/>
  <c r="N781" i="2"/>
  <c r="N782" i="2"/>
  <c r="H320" i="16" s="1"/>
  <c r="N783" i="2"/>
  <c r="H321" i="16" s="1"/>
  <c r="N784" i="2"/>
  <c r="N785" i="2"/>
  <c r="N786" i="2"/>
  <c r="N787" i="2"/>
  <c r="N788" i="2"/>
  <c r="N789" i="2"/>
  <c r="N790" i="2"/>
  <c r="N791" i="2"/>
  <c r="N792" i="2"/>
  <c r="N793" i="2"/>
  <c r="N794" i="2"/>
  <c r="H322" i="16" s="1"/>
  <c r="N795" i="2"/>
  <c r="H323" i="16" s="1"/>
  <c r="N796" i="2"/>
  <c r="N797" i="2"/>
  <c r="H324" i="16" s="1"/>
  <c r="N798" i="2"/>
  <c r="H347" i="16" s="1"/>
  <c r="N799" i="2"/>
  <c r="N800" i="2"/>
  <c r="N801" i="2"/>
  <c r="N802" i="2"/>
  <c r="N803" i="2"/>
  <c r="N804" i="2"/>
  <c r="H325" i="16" s="1"/>
  <c r="N805" i="2"/>
  <c r="N806" i="2"/>
  <c r="N807" i="2"/>
  <c r="H326" i="16" s="1"/>
  <c r="N808" i="2"/>
  <c r="N809" i="2"/>
  <c r="N810" i="2"/>
  <c r="N811" i="2"/>
  <c r="N812" i="2"/>
  <c r="N813" i="2"/>
  <c r="N814" i="2"/>
  <c r="N815" i="2"/>
  <c r="N816" i="2"/>
  <c r="N817" i="2"/>
  <c r="H348" i="16" s="1"/>
  <c r="N818" i="2"/>
  <c r="N819" i="2"/>
  <c r="N820" i="2"/>
  <c r="H327" i="16" s="1"/>
  <c r="N821" i="2"/>
  <c r="H328" i="16" s="1"/>
  <c r="N822" i="2"/>
  <c r="H388" i="16" s="1"/>
  <c r="N823" i="2"/>
  <c r="N824" i="2"/>
  <c r="H330" i="16" s="1"/>
  <c r="N825" i="2"/>
  <c r="N826" i="2"/>
  <c r="N827" i="2"/>
  <c r="N828" i="2"/>
  <c r="H331" i="16" s="1"/>
  <c r="N829" i="2"/>
  <c r="N830" i="2"/>
  <c r="N831" i="2"/>
  <c r="N832" i="2"/>
  <c r="N833" i="2"/>
  <c r="N834" i="2"/>
  <c r="H349" i="16" s="1"/>
  <c r="N835" i="2"/>
  <c r="N836" i="2"/>
  <c r="N837" i="2"/>
  <c r="N838" i="2"/>
  <c r="N839" i="2"/>
  <c r="N840" i="2"/>
  <c r="N841" i="2"/>
  <c r="H376" i="16" s="1"/>
  <c r="N842" i="2"/>
  <c r="H350" i="16" s="1"/>
  <c r="N843" i="2"/>
  <c r="N845" i="2"/>
  <c r="N848" i="2"/>
  <c r="H351" i="16" s="1"/>
  <c r="N850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H377" i="16" s="1"/>
  <c r="N865" i="2"/>
  <c r="H387" i="16" s="1"/>
  <c r="N866" i="2"/>
  <c r="H437" i="16" s="1"/>
  <c r="N867" i="2"/>
  <c r="H352" i="16" s="1"/>
  <c r="N868" i="2"/>
  <c r="N869" i="2"/>
  <c r="N870" i="2"/>
  <c r="N871" i="2"/>
  <c r="H378" i="16" s="1"/>
  <c r="N874" i="2"/>
  <c r="H353" i="16" s="1"/>
  <c r="N875" i="2"/>
  <c r="N876" i="2"/>
  <c r="N877" i="2"/>
  <c r="N878" i="2"/>
  <c r="N879" i="2"/>
  <c r="H354" i="16" s="1"/>
  <c r="N881" i="2"/>
  <c r="N882" i="2"/>
  <c r="H355" i="16" s="1"/>
  <c r="N884" i="2"/>
  <c r="H356" i="16" s="1"/>
  <c r="N887" i="2"/>
  <c r="H357" i="16" s="1"/>
  <c r="N888" i="2"/>
  <c r="H358" i="16" s="1"/>
  <c r="N891" i="2"/>
  <c r="H359" i="16" s="1"/>
  <c r="N893" i="2"/>
  <c r="H360" i="16" s="1"/>
  <c r="N895" i="2"/>
  <c r="N897" i="2"/>
  <c r="N899" i="2"/>
  <c r="N901" i="2"/>
  <c r="H149" i="16" s="1"/>
  <c r="N903" i="2"/>
  <c r="H150" i="16" s="1"/>
  <c r="N905" i="2"/>
  <c r="N907" i="2"/>
  <c r="N909" i="2"/>
  <c r="N911" i="2"/>
  <c r="N913" i="2"/>
  <c r="N915" i="2"/>
  <c r="N917" i="2"/>
  <c r="N919" i="2"/>
  <c r="H361" i="16" s="1"/>
  <c r="N920" i="2"/>
  <c r="H362" i="16" s="1"/>
  <c r="N922" i="2"/>
  <c r="H379" i="16" s="1"/>
  <c r="N923" i="2"/>
  <c r="H363" i="16" s="1"/>
  <c r="N924" i="2"/>
  <c r="H380" i="16" s="1"/>
  <c r="Q924" i="2"/>
  <c r="K380" i="16" s="1"/>
  <c r="P924" i="2"/>
  <c r="J380" i="16" s="1"/>
  <c r="O924" i="2"/>
  <c r="I380" i="16" s="1"/>
  <c r="K924" i="2"/>
  <c r="E380" i="16" s="1"/>
  <c r="J924" i="2"/>
  <c r="D380" i="16" s="1"/>
  <c r="Q923" i="2"/>
  <c r="K363" i="16" s="1"/>
  <c r="P923" i="2"/>
  <c r="J363" i="16" s="1"/>
  <c r="O923" i="2"/>
  <c r="I363" i="16" s="1"/>
  <c r="K923" i="2"/>
  <c r="E363" i="16" s="1"/>
  <c r="J923" i="2"/>
  <c r="D363" i="16" s="1"/>
  <c r="Q922" i="2"/>
  <c r="K379" i="16" s="1"/>
  <c r="P922" i="2"/>
  <c r="J379" i="16" s="1"/>
  <c r="O922" i="2"/>
  <c r="I379" i="16" s="1"/>
  <c r="K922" i="2"/>
  <c r="E379" i="16" s="1"/>
  <c r="J922" i="2"/>
  <c r="D379" i="16" s="1"/>
  <c r="Q920" i="2"/>
  <c r="K362" i="16" s="1"/>
  <c r="P920" i="2"/>
  <c r="J362" i="16" s="1"/>
  <c r="O920" i="2"/>
  <c r="I362" i="16" s="1"/>
  <c r="K920" i="2"/>
  <c r="E362" i="16" s="1"/>
  <c r="J920" i="2"/>
  <c r="D362" i="16" s="1"/>
  <c r="Q919" i="2"/>
  <c r="K361" i="16" s="1"/>
  <c r="P919" i="2"/>
  <c r="J361" i="16" s="1"/>
  <c r="O919" i="2"/>
  <c r="I361" i="16" s="1"/>
  <c r="K919" i="2"/>
  <c r="E361" i="16" s="1"/>
  <c r="J919" i="2"/>
  <c r="D361" i="16" s="1"/>
  <c r="I7" i="15"/>
  <c r="I30" i="15"/>
  <c r="I13" i="15"/>
  <c r="I14" i="15"/>
  <c r="I24" i="15"/>
  <c r="I31" i="15"/>
  <c r="I8" i="15"/>
  <c r="I25" i="15"/>
  <c r="H14" i="15"/>
  <c r="I1034" i="2" l="1"/>
  <c r="C430" i="16" s="1"/>
  <c r="I1033" i="2"/>
  <c r="C429" i="16" s="1"/>
  <c r="I1032" i="2"/>
  <c r="I1031" i="2"/>
  <c r="I1030" i="2"/>
  <c r="C168" i="16" s="1"/>
  <c r="I1029" i="2"/>
  <c r="I1028" i="2"/>
  <c r="C428" i="16" s="1"/>
  <c r="I1027" i="2"/>
  <c r="C427" i="16" s="1"/>
  <c r="I1026" i="2"/>
  <c r="C426" i="16" s="1"/>
  <c r="I1025" i="2"/>
  <c r="C425" i="16" s="1"/>
  <c r="I1024" i="2"/>
  <c r="C167" i="16" s="1"/>
  <c r="I1023" i="2"/>
  <c r="C424" i="16" s="1"/>
  <c r="I1022" i="2"/>
  <c r="C166" i="16" s="1"/>
  <c r="I1021" i="2"/>
  <c r="C423" i="16" s="1"/>
  <c r="I1020" i="2"/>
  <c r="C165" i="16" s="1"/>
  <c r="I1019" i="2"/>
  <c r="I1018" i="2"/>
  <c r="I1017" i="2"/>
  <c r="C164" i="16" s="1"/>
  <c r="I1016" i="2"/>
  <c r="C163" i="16" s="1"/>
  <c r="I1015" i="2"/>
  <c r="C422" i="16" s="1"/>
  <c r="I1014" i="2"/>
  <c r="C162" i="16" s="1"/>
  <c r="I1013" i="2"/>
  <c r="C421" i="16" s="1"/>
  <c r="L1034" i="2"/>
  <c r="F430" i="16" s="1"/>
  <c r="L1033" i="2"/>
  <c r="F429" i="16" s="1"/>
  <c r="L1032" i="2"/>
  <c r="L1031" i="2"/>
  <c r="L1030" i="2"/>
  <c r="F168" i="16" s="1"/>
  <c r="L1029" i="2"/>
  <c r="L1028" i="2"/>
  <c r="F428" i="16" s="1"/>
  <c r="L1027" i="2"/>
  <c r="F427" i="16" s="1"/>
  <c r="L1026" i="2"/>
  <c r="F426" i="16" s="1"/>
  <c r="L1025" i="2"/>
  <c r="F425" i="16" s="1"/>
  <c r="L1024" i="2"/>
  <c r="F167" i="16" s="1"/>
  <c r="L1023" i="2"/>
  <c r="F424" i="16" s="1"/>
  <c r="L1022" i="2"/>
  <c r="F166" i="16" s="1"/>
  <c r="L1021" i="2"/>
  <c r="F423" i="16" s="1"/>
  <c r="L1020" i="2"/>
  <c r="F165" i="16" s="1"/>
  <c r="L1019" i="2"/>
  <c r="L1018" i="2"/>
  <c r="L1017" i="2"/>
  <c r="F164" i="16" s="1"/>
  <c r="L1016" i="2"/>
  <c r="F163" i="16" s="1"/>
  <c r="L1015" i="2"/>
  <c r="F422" i="16" s="1"/>
  <c r="L1014" i="2"/>
  <c r="F162" i="16" s="1"/>
  <c r="L1013" i="2"/>
  <c r="F421" i="16" s="1"/>
  <c r="L1012" i="2"/>
  <c r="L1011" i="2"/>
  <c r="L1010" i="2"/>
  <c r="L1009" i="2"/>
  <c r="L1008" i="2"/>
  <c r="F420" i="16" s="1"/>
  <c r="L1007" i="2"/>
  <c r="F161" i="16" s="1"/>
  <c r="L1006" i="2"/>
  <c r="L1005" i="2"/>
  <c r="L1004" i="2"/>
  <c r="F160" i="16" s="1"/>
  <c r="L1003" i="2"/>
  <c r="F419" i="16" s="1"/>
  <c r="L1002" i="2"/>
  <c r="F418" i="16" s="1"/>
  <c r="L1001" i="2"/>
  <c r="F159" i="16" s="1"/>
  <c r="L1000" i="2"/>
  <c r="L999" i="2"/>
  <c r="L998" i="2"/>
  <c r="L997" i="2"/>
  <c r="L996" i="2"/>
  <c r="L995" i="2"/>
  <c r="F417" i="16" s="1"/>
  <c r="L994" i="2"/>
  <c r="L993" i="2"/>
  <c r="L992" i="2"/>
  <c r="H22" i="11" s="1"/>
  <c r="L991" i="2"/>
  <c r="L990" i="2"/>
  <c r="L989" i="2"/>
  <c r="L988" i="2"/>
  <c r="F416" i="16" s="1"/>
  <c r="L987" i="2"/>
  <c r="F415" i="16" s="1"/>
  <c r="L986" i="2"/>
  <c r="L985" i="2"/>
  <c r="F414" i="16" s="1"/>
  <c r="L984" i="2"/>
  <c r="L983" i="2"/>
  <c r="F413" i="16" s="1"/>
  <c r="L982" i="2"/>
  <c r="L981" i="2"/>
  <c r="L980" i="2"/>
  <c r="F412" i="16" s="1"/>
  <c r="L979" i="2"/>
  <c r="F411" i="16" s="1"/>
  <c r="L978" i="2"/>
  <c r="L977" i="2"/>
  <c r="F410" i="16" s="1"/>
  <c r="L976" i="2"/>
  <c r="L975" i="2"/>
  <c r="F409" i="16" s="1"/>
  <c r="I1012" i="2"/>
  <c r="I1011" i="2"/>
  <c r="I1010" i="2"/>
  <c r="I1009" i="2"/>
  <c r="I1008" i="2"/>
  <c r="C420" i="16" s="1"/>
  <c r="I1007" i="2"/>
  <c r="C161" i="16" s="1"/>
  <c r="I1006" i="2"/>
  <c r="I1005" i="2"/>
  <c r="I1004" i="2"/>
  <c r="C160" i="16" s="1"/>
  <c r="I1003" i="2"/>
  <c r="C419" i="16" s="1"/>
  <c r="I1002" i="2"/>
  <c r="C418" i="16" s="1"/>
  <c r="I1001" i="2"/>
  <c r="C159" i="16" s="1"/>
  <c r="I1000" i="2"/>
  <c r="I999" i="2"/>
  <c r="I998" i="2"/>
  <c r="I997" i="2"/>
  <c r="I996" i="2"/>
  <c r="I995" i="2"/>
  <c r="C417" i="16" s="1"/>
  <c r="I994" i="2"/>
  <c r="I993" i="2"/>
  <c r="I992" i="2"/>
  <c r="I991" i="2"/>
  <c r="I990" i="2"/>
  <c r="I989" i="2"/>
  <c r="I988" i="2"/>
  <c r="C416" i="16" s="1"/>
  <c r="I987" i="2"/>
  <c r="C415" i="16" s="1"/>
  <c r="I983" i="2"/>
  <c r="C413" i="16" s="1"/>
  <c r="I979" i="2"/>
  <c r="C411" i="16" s="1"/>
  <c r="I975" i="2"/>
  <c r="C409" i="16" s="1"/>
  <c r="I984" i="2"/>
  <c r="I980" i="2"/>
  <c r="C412" i="16" s="1"/>
  <c r="I976" i="2"/>
  <c r="I985" i="2"/>
  <c r="C414" i="16" s="1"/>
  <c r="I981" i="2"/>
  <c r="I977" i="2"/>
  <c r="C410" i="16" s="1"/>
  <c r="I986" i="2"/>
  <c r="I982" i="2"/>
  <c r="I978" i="2"/>
  <c r="I974" i="2"/>
  <c r="C408" i="16" s="1"/>
  <c r="I973" i="2"/>
  <c r="C407" i="16" s="1"/>
  <c r="I972" i="2"/>
  <c r="I971" i="2"/>
  <c r="I970" i="2"/>
  <c r="I969" i="2"/>
  <c r="I968" i="2"/>
  <c r="C406" i="16" s="1"/>
  <c r="I967" i="2"/>
  <c r="C158" i="16" s="1"/>
  <c r="I966" i="2"/>
  <c r="C405" i="16" s="1"/>
  <c r="I965" i="2"/>
  <c r="C404" i="16" s="1"/>
  <c r="I964" i="2"/>
  <c r="C403" i="16" s="1"/>
  <c r="I963" i="2"/>
  <c r="C402" i="16" s="1"/>
  <c r="I962" i="2"/>
  <c r="C401" i="16" s="1"/>
  <c r="I961" i="2"/>
  <c r="C400" i="16" s="1"/>
  <c r="I960" i="2"/>
  <c r="C399" i="16" s="1"/>
  <c r="I959" i="2"/>
  <c r="C398" i="16" s="1"/>
  <c r="I958" i="2"/>
  <c r="C397" i="16" s="1"/>
  <c r="I957" i="2"/>
  <c r="I956" i="2"/>
  <c r="I955" i="2"/>
  <c r="C157" i="16" s="1"/>
  <c r="I954" i="2"/>
  <c r="I953" i="2"/>
  <c r="I952" i="2"/>
  <c r="C396" i="16" s="1"/>
  <c r="I951" i="2"/>
  <c r="C395" i="16" s="1"/>
  <c r="I950" i="2"/>
  <c r="C394" i="16" s="1"/>
  <c r="I949" i="2"/>
  <c r="C393" i="16" s="1"/>
  <c r="I948" i="2"/>
  <c r="I947" i="2"/>
  <c r="C392" i="16" s="1"/>
  <c r="I946" i="2"/>
  <c r="C156" i="16" s="1"/>
  <c r="I945" i="2"/>
  <c r="C391" i="16" s="1"/>
  <c r="I944" i="2"/>
  <c r="I943" i="2"/>
  <c r="I942" i="2"/>
  <c r="I941" i="2"/>
  <c r="C390" i="16" s="1"/>
  <c r="I940" i="2"/>
  <c r="I939" i="2"/>
  <c r="I938" i="2"/>
  <c r="I937" i="2"/>
  <c r="C389" i="16" s="1"/>
  <c r="I936" i="2"/>
  <c r="I935" i="2"/>
  <c r="C438" i="16" s="1"/>
  <c r="L959" i="2"/>
  <c r="F398" i="16" s="1"/>
  <c r="L958" i="2"/>
  <c r="F397" i="16" s="1"/>
  <c r="L957" i="2"/>
  <c r="L956" i="2"/>
  <c r="L955" i="2"/>
  <c r="F157" i="16" s="1"/>
  <c r="L954" i="2"/>
  <c r="L953" i="2"/>
  <c r="L952" i="2"/>
  <c r="F396" i="16" s="1"/>
  <c r="L951" i="2"/>
  <c r="F395" i="16" s="1"/>
  <c r="L950" i="2"/>
  <c r="F394" i="16" s="1"/>
  <c r="L949" i="2"/>
  <c r="F393" i="16" s="1"/>
  <c r="L948" i="2"/>
  <c r="L947" i="2"/>
  <c r="F392" i="16" s="1"/>
  <c r="L946" i="2"/>
  <c r="F156" i="16" s="1"/>
  <c r="L945" i="2"/>
  <c r="F391" i="16" s="1"/>
  <c r="L944" i="2"/>
  <c r="L943" i="2"/>
  <c r="L942" i="2"/>
  <c r="L941" i="2"/>
  <c r="F390" i="16" s="1"/>
  <c r="L940" i="2"/>
  <c r="L939" i="2"/>
  <c r="L938" i="2"/>
  <c r="L937" i="2"/>
  <c r="F389" i="16" s="1"/>
  <c r="L936" i="2"/>
  <c r="H36" i="11" s="1"/>
  <c r="L935" i="2"/>
  <c r="F438" i="16" s="1"/>
  <c r="L974" i="2"/>
  <c r="F408" i="16" s="1"/>
  <c r="L973" i="2"/>
  <c r="F407" i="16" s="1"/>
  <c r="L972" i="2"/>
  <c r="L971" i="2"/>
  <c r="L970" i="2"/>
  <c r="L969" i="2"/>
  <c r="L968" i="2"/>
  <c r="F406" i="16" s="1"/>
  <c r="L967" i="2"/>
  <c r="F158" i="16" s="1"/>
  <c r="L966" i="2"/>
  <c r="F405" i="16" s="1"/>
  <c r="L965" i="2"/>
  <c r="F404" i="16" s="1"/>
  <c r="L964" i="2"/>
  <c r="F403" i="16" s="1"/>
  <c r="L963" i="2"/>
  <c r="F402" i="16" s="1"/>
  <c r="L962" i="2"/>
  <c r="F401" i="16" s="1"/>
  <c r="L961" i="2"/>
  <c r="F400" i="16" s="1"/>
  <c r="L960" i="2"/>
  <c r="F399" i="16" s="1"/>
  <c r="L918" i="2"/>
  <c r="L916" i="2"/>
  <c r="L908" i="2"/>
  <c r="L900" i="2"/>
  <c r="L892" i="2"/>
  <c r="L849" i="2"/>
  <c r="F364" i="16" s="1"/>
  <c r="L842" i="2"/>
  <c r="F350" i="16" s="1"/>
  <c r="L75" i="2"/>
  <c r="L308" i="2"/>
  <c r="F370" i="16" s="1"/>
  <c r="L195" i="2"/>
  <c r="F227" i="16" s="1"/>
  <c r="L423" i="2"/>
  <c r="F267" i="16" s="1"/>
  <c r="L710" i="2"/>
  <c r="L702" i="2"/>
  <c r="L694" i="2"/>
  <c r="L686" i="2"/>
  <c r="L678" i="2"/>
  <c r="L670" i="2"/>
  <c r="L662" i="2"/>
  <c r="L654" i="2"/>
  <c r="L294" i="2"/>
  <c r="F335" i="16" s="1"/>
  <c r="L932" i="2"/>
  <c r="H53" i="11" s="1"/>
  <c r="L926" i="2"/>
  <c r="H3" i="20" s="1"/>
  <c r="L874" i="2"/>
  <c r="F353" i="16" s="1"/>
  <c r="L913" i="2"/>
  <c r="H66" i="11" s="1"/>
  <c r="L905" i="2"/>
  <c r="L897" i="2"/>
  <c r="L889" i="2"/>
  <c r="F375" i="16" s="1"/>
  <c r="L881" i="2"/>
  <c r="L876" i="2"/>
  <c r="L870" i="2"/>
  <c r="L927" i="2"/>
  <c r="F367" i="16" s="1"/>
  <c r="L862" i="2"/>
  <c r="L858" i="2"/>
  <c r="L854" i="2"/>
  <c r="L923" i="2"/>
  <c r="F363" i="16" s="1"/>
  <c r="L893" i="2"/>
  <c r="F360" i="16" s="1"/>
  <c r="L837" i="2"/>
  <c r="L833" i="2"/>
  <c r="L829" i="2"/>
  <c r="L825" i="2"/>
  <c r="L879" i="2"/>
  <c r="F354" i="16" s="1"/>
  <c r="L867" i="2"/>
  <c r="F352" i="16" s="1"/>
  <c r="L813" i="2"/>
  <c r="L809" i="2"/>
  <c r="L805" i="2"/>
  <c r="L801" i="2"/>
  <c r="L841" i="2"/>
  <c r="F376" i="16" s="1"/>
  <c r="L793" i="2"/>
  <c r="L789" i="2"/>
  <c r="L785" i="2"/>
  <c r="L781" i="2"/>
  <c r="L777" i="2"/>
  <c r="L773" i="2"/>
  <c r="L769" i="2"/>
  <c r="L765" i="2"/>
  <c r="L761" i="2"/>
  <c r="L757" i="2"/>
  <c r="L753" i="2"/>
  <c r="L749" i="2"/>
  <c r="L745" i="2"/>
  <c r="L741" i="2"/>
  <c r="L737" i="2"/>
  <c r="L733" i="2"/>
  <c r="L729" i="2"/>
  <c r="L725" i="2"/>
  <c r="L721" i="2"/>
  <c r="L717" i="2"/>
  <c r="L713" i="2"/>
  <c r="L705" i="2"/>
  <c r="L697" i="2"/>
  <c r="L689" i="2"/>
  <c r="L798" i="2"/>
  <c r="F347" i="16" s="1"/>
  <c r="L673" i="2"/>
  <c r="L795" i="2"/>
  <c r="F323" i="16" s="1"/>
  <c r="L770" i="2"/>
  <c r="F340" i="16" s="1"/>
  <c r="L649" i="2"/>
  <c r="L683" i="2"/>
  <c r="F318" i="16" s="1"/>
  <c r="L641" i="2"/>
  <c r="L637" i="2"/>
  <c r="L661" i="2"/>
  <c r="F314" i="16" s="1"/>
  <c r="L629" i="2"/>
  <c r="L625" i="2"/>
  <c r="L621" i="2"/>
  <c r="L617" i="2"/>
  <c r="L613" i="2"/>
  <c r="L609" i="2"/>
  <c r="L914" i="2"/>
  <c r="L906" i="2"/>
  <c r="L898" i="2"/>
  <c r="L890" i="2"/>
  <c r="L847" i="2"/>
  <c r="L536" i="2"/>
  <c r="L73" i="2"/>
  <c r="F203" i="16" s="1"/>
  <c r="L306" i="2"/>
  <c r="L921" i="2"/>
  <c r="L292" i="2"/>
  <c r="F232" i="16" s="1"/>
  <c r="L708" i="2"/>
  <c r="L700" i="2"/>
  <c r="L692" i="2"/>
  <c r="L684" i="2"/>
  <c r="L676" i="2"/>
  <c r="L668" i="2"/>
  <c r="F152" i="16" s="1"/>
  <c r="L660" i="2"/>
  <c r="L652" i="2"/>
  <c r="L316" i="2"/>
  <c r="F269" i="16" s="1"/>
  <c r="L931" i="2"/>
  <c r="L488" i="2"/>
  <c r="F369" i="16" s="1"/>
  <c r="L21" i="2"/>
  <c r="F175" i="16" s="1"/>
  <c r="L911" i="2"/>
  <c r="L903" i="2"/>
  <c r="F150" i="16" s="1"/>
  <c r="L895" i="2"/>
  <c r="L886" i="2"/>
  <c r="F384" i="16" s="1"/>
  <c r="L880" i="2"/>
  <c r="F372" i="16" s="1"/>
  <c r="L875" i="2"/>
  <c r="L869" i="2"/>
  <c r="L925" i="2"/>
  <c r="F382" i="16" s="1"/>
  <c r="L861" i="2"/>
  <c r="L857" i="2"/>
  <c r="L853" i="2"/>
  <c r="L845" i="2"/>
  <c r="L840" i="2"/>
  <c r="L836" i="2"/>
  <c r="L832" i="2"/>
  <c r="L888" i="2"/>
  <c r="F358" i="16" s="1"/>
  <c r="L884" i="2"/>
  <c r="F356" i="16" s="1"/>
  <c r="L871" i="2"/>
  <c r="F378" i="16" s="1"/>
  <c r="L816" i="2"/>
  <c r="L812" i="2"/>
  <c r="L808" i="2"/>
  <c r="L864" i="2"/>
  <c r="F377" i="16" s="1"/>
  <c r="L800" i="2"/>
  <c r="L796" i="2"/>
  <c r="L792" i="2"/>
  <c r="L788" i="2"/>
  <c r="L784" i="2"/>
  <c r="L780" i="2"/>
  <c r="L776" i="2"/>
  <c r="L772" i="2"/>
  <c r="L768" i="2"/>
  <c r="L820" i="2"/>
  <c r="F327" i="16" s="1"/>
  <c r="L760" i="2"/>
  <c r="L756" i="2"/>
  <c r="L752" i="2"/>
  <c r="L748" i="2"/>
  <c r="L744" i="2"/>
  <c r="L740" i="2"/>
  <c r="L736" i="2"/>
  <c r="L732" i="2"/>
  <c r="L728" i="2"/>
  <c r="L724" i="2"/>
  <c r="L720" i="2"/>
  <c r="L716" i="2"/>
  <c r="L711" i="2"/>
  <c r="L703" i="2"/>
  <c r="L695" i="2"/>
  <c r="L687" i="2"/>
  <c r="L679" i="2"/>
  <c r="L671" i="2"/>
  <c r="L663" i="2"/>
  <c r="L655" i="2"/>
  <c r="L715" i="2"/>
  <c r="F319" i="16" s="1"/>
  <c r="L644" i="2"/>
  <c r="L640" i="2"/>
  <c r="L669" i="2"/>
  <c r="F316" i="16" s="1"/>
  <c r="L632" i="2"/>
  <c r="D11" i="11" s="1"/>
  <c r="L628" i="2"/>
  <c r="L624" i="2"/>
  <c r="L620" i="2"/>
  <c r="L616" i="2"/>
  <c r="L612" i="2"/>
  <c r="L608" i="2"/>
  <c r="L912" i="2"/>
  <c r="L904" i="2"/>
  <c r="L896" i="2"/>
  <c r="L887" i="2"/>
  <c r="F357" i="16" s="1"/>
  <c r="L846" i="2"/>
  <c r="L534" i="2"/>
  <c r="F292" i="16" s="1"/>
  <c r="L312" i="2"/>
  <c r="L304" i="2"/>
  <c r="F256" i="16" s="1"/>
  <c r="L919" i="2"/>
  <c r="F361" i="16" s="1"/>
  <c r="L433" i="2"/>
  <c r="F296" i="16" s="1"/>
  <c r="L706" i="2"/>
  <c r="L698" i="2"/>
  <c r="L690" i="2"/>
  <c r="L682" i="2"/>
  <c r="L674" i="2"/>
  <c r="L666" i="2"/>
  <c r="L658" i="2"/>
  <c r="L650" i="2"/>
  <c r="L934" i="2"/>
  <c r="L930" i="2"/>
  <c r="L486" i="2"/>
  <c r="F366" i="16" s="1"/>
  <c r="L917" i="2"/>
  <c r="L909" i="2"/>
  <c r="I67" i="11" s="1"/>
  <c r="L901" i="2"/>
  <c r="F149" i="16" s="1"/>
  <c r="L70" i="2"/>
  <c r="F199" i="16" s="1"/>
  <c r="L885" i="2"/>
  <c r="F374" i="16" s="1"/>
  <c r="L878" i="2"/>
  <c r="L873" i="2"/>
  <c r="F371" i="16" s="1"/>
  <c r="L868" i="2"/>
  <c r="L924" i="2"/>
  <c r="F380" i="16" s="1"/>
  <c r="L860" i="2"/>
  <c r="L856" i="2"/>
  <c r="L852" i="2"/>
  <c r="L843" i="2"/>
  <c r="L839" i="2"/>
  <c r="L835" i="2"/>
  <c r="L831" i="2"/>
  <c r="L827" i="2"/>
  <c r="L823" i="2"/>
  <c r="L819" i="2"/>
  <c r="L815" i="2"/>
  <c r="L811" i="2"/>
  <c r="L866" i="2"/>
  <c r="F437" i="16" s="1"/>
  <c r="L803" i="2"/>
  <c r="L799" i="2"/>
  <c r="L834" i="2"/>
  <c r="F349" i="16" s="1"/>
  <c r="L791" i="2"/>
  <c r="L787" i="2"/>
  <c r="L824" i="2"/>
  <c r="F330" i="16" s="1"/>
  <c r="L779" i="2"/>
  <c r="L775" i="2"/>
  <c r="L771" i="2"/>
  <c r="L767" i="2"/>
  <c r="L763" i="2"/>
  <c r="L759" i="2"/>
  <c r="L755" i="2"/>
  <c r="L751" i="2"/>
  <c r="L747" i="2"/>
  <c r="L743" i="2"/>
  <c r="L739" i="2"/>
  <c r="L735" i="2"/>
  <c r="L731" i="2"/>
  <c r="L727" i="2"/>
  <c r="L723" i="2"/>
  <c r="L719" i="2"/>
  <c r="L817" i="2"/>
  <c r="F348" i="16" s="1"/>
  <c r="L709" i="2"/>
  <c r="L701" i="2"/>
  <c r="B53" i="11" s="1"/>
  <c r="L693" i="2"/>
  <c r="L807" i="2"/>
  <c r="F326" i="16" s="1"/>
  <c r="L677" i="2"/>
  <c r="L797" i="2"/>
  <c r="F324" i="16" s="1"/>
  <c r="L783" i="2"/>
  <c r="F321" i="16" s="1"/>
  <c r="L653" i="2"/>
  <c r="L647" i="2"/>
  <c r="L643" i="2"/>
  <c r="L681" i="2"/>
  <c r="F317" i="16" s="1"/>
  <c r="L635" i="2"/>
  <c r="L631" i="2"/>
  <c r="L627" i="2"/>
  <c r="L623" i="2"/>
  <c r="L619" i="2"/>
  <c r="L615" i="2"/>
  <c r="L611" i="2"/>
  <c r="L607" i="2"/>
  <c r="L910" i="2"/>
  <c r="L844" i="2"/>
  <c r="F153" i="16" s="1"/>
  <c r="L425" i="2"/>
  <c r="L688" i="2"/>
  <c r="L656" i="2"/>
  <c r="L484" i="2"/>
  <c r="F283" i="16" s="1"/>
  <c r="L645" i="2"/>
  <c r="F386" i="16" s="1"/>
  <c r="L929" i="2"/>
  <c r="F383" i="16" s="1"/>
  <c r="L850" i="2"/>
  <c r="L830" i="2"/>
  <c r="L814" i="2"/>
  <c r="L848" i="2"/>
  <c r="F351" i="16" s="1"/>
  <c r="L822" i="2"/>
  <c r="F388" i="16" s="1"/>
  <c r="L766" i="2"/>
  <c r="L750" i="2"/>
  <c r="L734" i="2"/>
  <c r="L718" i="2"/>
  <c r="L691" i="2"/>
  <c r="L782" i="2"/>
  <c r="F320" i="16" s="1"/>
  <c r="L638" i="2"/>
  <c r="L622" i="2"/>
  <c r="L606" i="2"/>
  <c r="L602" i="2"/>
  <c r="L598" i="2"/>
  <c r="L594" i="2"/>
  <c r="L590" i="2"/>
  <c r="L586" i="2"/>
  <c r="L582" i="2"/>
  <c r="L578" i="2"/>
  <c r="L574" i="2"/>
  <c r="L570" i="2"/>
  <c r="L566" i="2"/>
  <c r="L562" i="2"/>
  <c r="L558" i="2"/>
  <c r="L554" i="2"/>
  <c r="L550" i="2"/>
  <c r="L546" i="2"/>
  <c r="B58" i="11" s="1"/>
  <c r="L542" i="2"/>
  <c r="B63" i="11" s="1"/>
  <c r="L561" i="2"/>
  <c r="F308" i="16" s="1"/>
  <c r="L533" i="2"/>
  <c r="L529" i="2"/>
  <c r="L539" i="2"/>
  <c r="F302" i="16" s="1"/>
  <c r="L521" i="2"/>
  <c r="L517" i="2"/>
  <c r="L513" i="2"/>
  <c r="L509" i="2"/>
  <c r="L505" i="2"/>
  <c r="L501" i="2"/>
  <c r="L497" i="2"/>
  <c r="L493" i="2"/>
  <c r="L489" i="2"/>
  <c r="L483" i="2"/>
  <c r="L479" i="2"/>
  <c r="L475" i="2"/>
  <c r="L471" i="2"/>
  <c r="L467" i="2"/>
  <c r="L463" i="2"/>
  <c r="L459" i="2"/>
  <c r="L487" i="2"/>
  <c r="F284" i="16" s="1"/>
  <c r="L451" i="2"/>
  <c r="L447" i="2"/>
  <c r="L462" i="2"/>
  <c r="F344" i="16" s="1"/>
  <c r="L439" i="2"/>
  <c r="L435" i="2"/>
  <c r="L440" i="2"/>
  <c r="F301" i="16" s="1"/>
  <c r="L427" i="2"/>
  <c r="L422" i="2"/>
  <c r="L432" i="2"/>
  <c r="F268" i="16" s="1"/>
  <c r="L419" i="2"/>
  <c r="F266" i="16" s="1"/>
  <c r="L410" i="2"/>
  <c r="L406" i="2"/>
  <c r="L402" i="2"/>
  <c r="L398" i="2"/>
  <c r="B52" i="11" s="1"/>
  <c r="L417" i="2"/>
  <c r="F264" i="16" s="1"/>
  <c r="L390" i="2"/>
  <c r="L414" i="2"/>
  <c r="F263" i="16" s="1"/>
  <c r="L385" i="2"/>
  <c r="F260" i="16" s="1"/>
  <c r="L378" i="2"/>
  <c r="L374" i="2"/>
  <c r="L383" i="2"/>
  <c r="F258" i="16" s="1"/>
  <c r="L366" i="2"/>
  <c r="L362" i="2"/>
  <c r="L358" i="2"/>
  <c r="L359" i="2"/>
  <c r="F254" i="16" s="1"/>
  <c r="L350" i="2"/>
  <c r="L902" i="2"/>
  <c r="L117" i="2"/>
  <c r="F209" i="16" s="1"/>
  <c r="L712" i="2"/>
  <c r="L680" i="2"/>
  <c r="L648" i="2"/>
  <c r="F311" i="16" s="1"/>
  <c r="L915" i="2"/>
  <c r="G36" i="11" s="1"/>
  <c r="L883" i="2"/>
  <c r="F373" i="16" s="1"/>
  <c r="L863" i="2"/>
  <c r="L920" i="2"/>
  <c r="F362" i="16" s="1"/>
  <c r="L826" i="2"/>
  <c r="L810" i="2"/>
  <c r="L828" i="2"/>
  <c r="F331" i="16" s="1"/>
  <c r="L778" i="2"/>
  <c r="L762" i="2"/>
  <c r="L746" i="2"/>
  <c r="L730" i="2"/>
  <c r="L714" i="2"/>
  <c r="L804" i="2"/>
  <c r="F325" i="16" s="1"/>
  <c r="L764" i="2"/>
  <c r="F339" i="16" s="1"/>
  <c r="L665" i="2"/>
  <c r="F315" i="16" s="1"/>
  <c r="L618" i="2"/>
  <c r="L605" i="2"/>
  <c r="L601" i="2"/>
  <c r="L597" i="2"/>
  <c r="L593" i="2"/>
  <c r="L589" i="2"/>
  <c r="L585" i="2"/>
  <c r="L581" i="2"/>
  <c r="L657" i="2"/>
  <c r="F313" i="16" s="1"/>
  <c r="L573" i="2"/>
  <c r="L569" i="2"/>
  <c r="L565" i="2"/>
  <c r="L646" i="2"/>
  <c r="F345" i="16" s="1"/>
  <c r="L557" i="2"/>
  <c r="L553" i="2"/>
  <c r="L549" i="2"/>
  <c r="L545" i="2"/>
  <c r="L587" i="2"/>
  <c r="F305" i="16" s="1"/>
  <c r="L560" i="2"/>
  <c r="F338" i="16" s="1"/>
  <c r="L532" i="2"/>
  <c r="L541" i="2"/>
  <c r="F298" i="16" s="1"/>
  <c r="L538" i="2"/>
  <c r="F295" i="16" s="1"/>
  <c r="L520" i="2"/>
  <c r="L516" i="2"/>
  <c r="L512" i="2"/>
  <c r="L508" i="2"/>
  <c r="L504" i="2"/>
  <c r="L500" i="2"/>
  <c r="L537" i="2"/>
  <c r="F294" i="16" s="1"/>
  <c r="L492" i="2"/>
  <c r="L530" i="2"/>
  <c r="F291" i="16" s="1"/>
  <c r="L482" i="2"/>
  <c r="L478" i="2"/>
  <c r="L474" i="2"/>
  <c r="L526" i="2"/>
  <c r="F289" i="16" s="1"/>
  <c r="L524" i="2"/>
  <c r="F287" i="16" s="1"/>
  <c r="L496" i="2"/>
  <c r="F286" i="16" s="1"/>
  <c r="L458" i="2"/>
  <c r="L470" i="2"/>
  <c r="F282" i="16" s="1"/>
  <c r="L450" i="2"/>
  <c r="L446" i="2"/>
  <c r="L457" i="2"/>
  <c r="F279" i="16" s="1"/>
  <c r="L438" i="2"/>
  <c r="L452" i="2"/>
  <c r="F275" i="16" s="1"/>
  <c r="L430" i="2"/>
  <c r="L426" i="2"/>
  <c r="L421" i="2"/>
  <c r="L431" i="2"/>
  <c r="F343" i="16" s="1"/>
  <c r="L413" i="2"/>
  <c r="L409" i="2"/>
  <c r="L405" i="2"/>
  <c r="L401" i="2"/>
  <c r="L397" i="2"/>
  <c r="L393" i="2"/>
  <c r="L389" i="2"/>
  <c r="L395" i="2"/>
  <c r="F435" i="16" s="1"/>
  <c r="L384" i="2"/>
  <c r="F259" i="16" s="1"/>
  <c r="L377" i="2"/>
  <c r="L373" i="2"/>
  <c r="L382" i="2"/>
  <c r="F257" i="16" s="1"/>
  <c r="L365" i="2"/>
  <c r="L361" i="2"/>
  <c r="L357" i="2"/>
  <c r="L894" i="2"/>
  <c r="L310" i="2"/>
  <c r="L704" i="2"/>
  <c r="L672" i="2"/>
  <c r="L933" i="2"/>
  <c r="F151" i="16" s="1"/>
  <c r="L907" i="2"/>
  <c r="L877" i="2"/>
  <c r="L859" i="2"/>
  <c r="L838" i="2"/>
  <c r="L882" i="2"/>
  <c r="F355" i="16" s="1"/>
  <c r="L806" i="2"/>
  <c r="L790" i="2"/>
  <c r="L774" i="2"/>
  <c r="L758" i="2"/>
  <c r="L742" i="2"/>
  <c r="L726" i="2"/>
  <c r="L707" i="2"/>
  <c r="L675" i="2"/>
  <c r="L685" i="2"/>
  <c r="F346" i="16" s="1"/>
  <c r="L630" i="2"/>
  <c r="L614" i="2"/>
  <c r="L604" i="2"/>
  <c r="L600" i="2"/>
  <c r="L596" i="2"/>
  <c r="L592" i="2"/>
  <c r="L588" i="2"/>
  <c r="L584" i="2"/>
  <c r="L580" i="2"/>
  <c r="L651" i="2"/>
  <c r="F436" i="16" s="1"/>
  <c r="L572" i="2"/>
  <c r="L568" i="2"/>
  <c r="L564" i="2"/>
  <c r="L639" i="2"/>
  <c r="F329" i="16" s="1"/>
  <c r="L556" i="2"/>
  <c r="L634" i="2"/>
  <c r="F310" i="16" s="1"/>
  <c r="L633" i="2"/>
  <c r="F309" i="16" s="1"/>
  <c r="L544" i="2"/>
  <c r="L577" i="2"/>
  <c r="F304" i="16" s="1"/>
  <c r="L559" i="2"/>
  <c r="F307" i="16" s="1"/>
  <c r="L531" i="2"/>
  <c r="L527" i="2"/>
  <c r="L523" i="2"/>
  <c r="L519" i="2"/>
  <c r="L515" i="2"/>
  <c r="L511" i="2"/>
  <c r="L507" i="2"/>
  <c r="L503" i="2"/>
  <c r="L499" i="2"/>
  <c r="L495" i="2"/>
  <c r="L491" i="2"/>
  <c r="L485" i="2"/>
  <c r="L481" i="2"/>
  <c r="L477" i="2"/>
  <c r="L473" i="2"/>
  <c r="L525" i="2"/>
  <c r="F288" i="16" s="1"/>
  <c r="L465" i="2"/>
  <c r="L461" i="2"/>
  <c r="L494" i="2"/>
  <c r="F285" i="16" s="1"/>
  <c r="L469" i="2"/>
  <c r="F281" i="16" s="1"/>
  <c r="L449" i="2"/>
  <c r="L445" i="2"/>
  <c r="L441" i="2"/>
  <c r="L454" i="2"/>
  <c r="F277" i="16" s="1"/>
  <c r="L443" i="2"/>
  <c r="F274" i="16" s="1"/>
  <c r="L429" i="2"/>
  <c r="L424" i="2"/>
  <c r="L420" i="2"/>
  <c r="L416" i="2"/>
  <c r="L412" i="2"/>
  <c r="L408" i="2"/>
  <c r="L404" i="2"/>
  <c r="L400" i="2"/>
  <c r="L396" i="2"/>
  <c r="L392" i="2"/>
  <c r="L388" i="2"/>
  <c r="L394" i="2"/>
  <c r="F262" i="16" s="1"/>
  <c r="L380" i="2"/>
  <c r="L376" i="2"/>
  <c r="L372" i="2"/>
  <c r="L381" i="2"/>
  <c r="F272" i="16" s="1"/>
  <c r="L364" i="2"/>
  <c r="L360" i="2"/>
  <c r="D14" i="11" s="1"/>
  <c r="L369" i="2"/>
  <c r="F336" i="16" s="1"/>
  <c r="L355" i="2"/>
  <c r="F253" i="16" s="1"/>
  <c r="L348" i="2"/>
  <c r="L851" i="2"/>
  <c r="F154" i="16" s="1"/>
  <c r="L928" i="2"/>
  <c r="L891" i="2"/>
  <c r="F359" i="16" s="1"/>
  <c r="L821" i="2"/>
  <c r="F328" i="16" s="1"/>
  <c r="L699" i="2"/>
  <c r="L610" i="2"/>
  <c r="L591" i="2"/>
  <c r="L575" i="2"/>
  <c r="L636" i="2"/>
  <c r="F306" i="16" s="1"/>
  <c r="L543" i="2"/>
  <c r="L540" i="2"/>
  <c r="F297" i="16" s="1"/>
  <c r="L510" i="2"/>
  <c r="L535" i="2"/>
  <c r="F293" i="16" s="1"/>
  <c r="L476" i="2"/>
  <c r="L460" i="2"/>
  <c r="L444" i="2"/>
  <c r="L428" i="2"/>
  <c r="L411" i="2"/>
  <c r="L418" i="2"/>
  <c r="F265" i="16" s="1"/>
  <c r="L379" i="2"/>
  <c r="L363" i="2"/>
  <c r="L354" i="2"/>
  <c r="F342" i="16" s="1"/>
  <c r="L345" i="2"/>
  <c r="L341" i="2"/>
  <c r="L337" i="2"/>
  <c r="L333" i="2"/>
  <c r="L329" i="2"/>
  <c r="L325" i="2"/>
  <c r="L324" i="2"/>
  <c r="F243" i="16" s="1"/>
  <c r="L320" i="2"/>
  <c r="F239" i="16" s="1"/>
  <c r="L317" i="2"/>
  <c r="F434" i="16" s="1"/>
  <c r="L305" i="2"/>
  <c r="L301" i="2"/>
  <c r="L297" i="2"/>
  <c r="F155" i="16" s="1"/>
  <c r="L293" i="2"/>
  <c r="L289" i="2"/>
  <c r="L285" i="2"/>
  <c r="L274" i="2"/>
  <c r="F236" i="16" s="1"/>
  <c r="L277" i="2"/>
  <c r="D37" i="11" s="1"/>
  <c r="L230" i="2"/>
  <c r="F229" i="16" s="1"/>
  <c r="L269" i="2"/>
  <c r="L265" i="2"/>
  <c r="L261" i="2"/>
  <c r="L257" i="2"/>
  <c r="L253" i="2"/>
  <c r="L249" i="2"/>
  <c r="L245" i="2"/>
  <c r="L241" i="2"/>
  <c r="L237" i="2"/>
  <c r="L233" i="2"/>
  <c r="L229" i="2"/>
  <c r="L225" i="2"/>
  <c r="L221" i="2"/>
  <c r="L217" i="2"/>
  <c r="L213" i="2"/>
  <c r="L209" i="2"/>
  <c r="L196" i="2"/>
  <c r="F225" i="16" s="1"/>
  <c r="L201" i="2"/>
  <c r="B48" i="11" s="1"/>
  <c r="L192" i="2"/>
  <c r="F334" i="16" s="1"/>
  <c r="L178" i="2"/>
  <c r="F333" i="16" s="1"/>
  <c r="L188" i="2"/>
  <c r="L184" i="2"/>
  <c r="L180" i="2"/>
  <c r="L176" i="2"/>
  <c r="L172" i="2"/>
  <c r="L161" i="2"/>
  <c r="F223" i="16" s="1"/>
  <c r="L164" i="2"/>
  <c r="L160" i="2"/>
  <c r="L156" i="2"/>
  <c r="L152" i="2"/>
  <c r="L140" i="2"/>
  <c r="F224" i="16" s="1"/>
  <c r="L144" i="2"/>
  <c r="L138" i="2"/>
  <c r="F214" i="16" s="1"/>
  <c r="L136" i="2"/>
  <c r="L132" i="2"/>
  <c r="L128" i="2"/>
  <c r="L124" i="2"/>
  <c r="L120" i="2"/>
  <c r="L116" i="2"/>
  <c r="L112" i="2"/>
  <c r="L108" i="2"/>
  <c r="L104" i="2"/>
  <c r="L100" i="2"/>
  <c r="L89" i="2"/>
  <c r="F202" i="16" s="1"/>
  <c r="L92" i="2"/>
  <c r="L88" i="2"/>
  <c r="L71" i="2"/>
  <c r="F198" i="16" s="1"/>
  <c r="L80" i="2"/>
  <c r="L68" i="2"/>
  <c r="F431" i="16" s="1"/>
  <c r="L58" i="2"/>
  <c r="F193" i="16" s="1"/>
  <c r="L67" i="2"/>
  <c r="L63" i="2"/>
  <c r="L51" i="2"/>
  <c r="F189" i="16" s="1"/>
  <c r="L40" i="2"/>
  <c r="F187" i="16" s="1"/>
  <c r="L38" i="2"/>
  <c r="F332" i="16" s="1"/>
  <c r="L47" i="2"/>
  <c r="L43" i="2"/>
  <c r="L32" i="2"/>
  <c r="F183" i="16" s="1"/>
  <c r="L26" i="2"/>
  <c r="F179" i="16" s="1"/>
  <c r="L12" i="2"/>
  <c r="L30" i="2"/>
  <c r="F182" i="16" s="1"/>
  <c r="L922" i="2"/>
  <c r="F379" i="16" s="1"/>
  <c r="L17" i="2"/>
  <c r="L13" i="2"/>
  <c r="L9" i="2"/>
  <c r="L5" i="2"/>
  <c r="I912" i="2"/>
  <c r="I904" i="2"/>
  <c r="I896" i="2"/>
  <c r="I887" i="2"/>
  <c r="C357" i="16" s="1"/>
  <c r="I846" i="2"/>
  <c r="I534" i="2"/>
  <c r="C292" i="16" s="1"/>
  <c r="I312" i="2"/>
  <c r="I304" i="2"/>
  <c r="C256" i="16" s="1"/>
  <c r="I919" i="2"/>
  <c r="C361" i="16" s="1"/>
  <c r="I433" i="2"/>
  <c r="C296" i="16" s="1"/>
  <c r="I706" i="2"/>
  <c r="I698" i="2"/>
  <c r="I690" i="2"/>
  <c r="I682" i="2"/>
  <c r="I674" i="2"/>
  <c r="I666" i="2"/>
  <c r="I658" i="2"/>
  <c r="I650" i="2"/>
  <c r="I934" i="2"/>
  <c r="I930" i="2"/>
  <c r="I486" i="2"/>
  <c r="C366" i="16" s="1"/>
  <c r="I917" i="2"/>
  <c r="I909" i="2"/>
  <c r="I901" i="2"/>
  <c r="C149" i="16" s="1"/>
  <c r="I70" i="2"/>
  <c r="C199" i="16" s="1"/>
  <c r="I885" i="2"/>
  <c r="C374" i="16" s="1"/>
  <c r="I878" i="2"/>
  <c r="I873" i="2"/>
  <c r="C371" i="16" s="1"/>
  <c r="I868" i="2"/>
  <c r="I924" i="2"/>
  <c r="C380" i="16" s="1"/>
  <c r="I860" i="2"/>
  <c r="I856" i="2"/>
  <c r="I852" i="2"/>
  <c r="I843" i="2"/>
  <c r="I839" i="2"/>
  <c r="I835" i="2"/>
  <c r="I831" i="2"/>
  <c r="I827" i="2"/>
  <c r="I823" i="2"/>
  <c r="I819" i="2"/>
  <c r="I815" i="2"/>
  <c r="I811" i="2"/>
  <c r="I866" i="2"/>
  <c r="C437" i="16" s="1"/>
  <c r="I803" i="2"/>
  <c r="I799" i="2"/>
  <c r="I834" i="2"/>
  <c r="C349" i="16" s="1"/>
  <c r="I791" i="2"/>
  <c r="I787" i="2"/>
  <c r="I824" i="2"/>
  <c r="C330" i="16" s="1"/>
  <c r="I779" i="2"/>
  <c r="I775" i="2"/>
  <c r="I771" i="2"/>
  <c r="I767" i="2"/>
  <c r="I763" i="2"/>
  <c r="I759" i="2"/>
  <c r="I755" i="2"/>
  <c r="I751" i="2"/>
  <c r="I747" i="2"/>
  <c r="I743" i="2"/>
  <c r="I739" i="2"/>
  <c r="I735" i="2"/>
  <c r="I731" i="2"/>
  <c r="I727" i="2"/>
  <c r="I723" i="2"/>
  <c r="L197" i="2"/>
  <c r="L899" i="2"/>
  <c r="L818" i="2"/>
  <c r="L754" i="2"/>
  <c r="L667" i="2"/>
  <c r="L603" i="2"/>
  <c r="L659" i="2"/>
  <c r="F312" i="16" s="1"/>
  <c r="L571" i="2"/>
  <c r="I7" i="11" s="1"/>
  <c r="L555" i="2"/>
  <c r="L576" i="2"/>
  <c r="F303" i="16" s="1"/>
  <c r="L522" i="2"/>
  <c r="L506" i="2"/>
  <c r="L490" i="2"/>
  <c r="L472" i="2"/>
  <c r="L456" i="2"/>
  <c r="L455" i="2"/>
  <c r="F278" i="16" s="1"/>
  <c r="L437" i="2"/>
  <c r="F271" i="16" s="1"/>
  <c r="L407" i="2"/>
  <c r="L391" i="2"/>
  <c r="L375" i="2"/>
  <c r="L370" i="2"/>
  <c r="F337" i="16" s="1"/>
  <c r="L353" i="2"/>
  <c r="F251" i="16" s="1"/>
  <c r="L344" i="2"/>
  <c r="L340" i="2"/>
  <c r="L351" i="2"/>
  <c r="F249" i="16" s="1"/>
  <c r="L332" i="2"/>
  <c r="L328" i="2"/>
  <c r="L338" i="2"/>
  <c r="F246" i="16" s="1"/>
  <c r="L323" i="2"/>
  <c r="F242" i="16" s="1"/>
  <c r="L319" i="2"/>
  <c r="F238" i="16" s="1"/>
  <c r="L315" i="2"/>
  <c r="F237" i="16" s="1"/>
  <c r="L313" i="2"/>
  <c r="L300" i="2"/>
  <c r="L296" i="2"/>
  <c r="L290" i="2"/>
  <c r="F231" i="16" s="1"/>
  <c r="L288" i="2"/>
  <c r="L284" i="2"/>
  <c r="C12" i="11" s="1"/>
  <c r="C9" i="11" s="1"/>
  <c r="L280" i="2"/>
  <c r="L276" i="2"/>
  <c r="G21" i="11" s="1"/>
  <c r="L272" i="2"/>
  <c r="L268" i="2"/>
  <c r="L264" i="2"/>
  <c r="L260" i="2"/>
  <c r="L256" i="2"/>
  <c r="L252" i="2"/>
  <c r="L248" i="2"/>
  <c r="L244" i="2"/>
  <c r="L240" i="2"/>
  <c r="L236" i="2"/>
  <c r="L232" i="2"/>
  <c r="L228" i="2"/>
  <c r="L224" i="2"/>
  <c r="L220" i="2"/>
  <c r="L216" i="2"/>
  <c r="L212" i="2"/>
  <c r="L208" i="2"/>
  <c r="L204" i="2"/>
  <c r="L200" i="2"/>
  <c r="L181" i="2"/>
  <c r="F222" i="16" s="1"/>
  <c r="L191" i="2"/>
  <c r="L187" i="2"/>
  <c r="L183" i="2"/>
  <c r="L179" i="2"/>
  <c r="L175" i="2"/>
  <c r="L171" i="2"/>
  <c r="L150" i="2"/>
  <c r="F219" i="16" s="1"/>
  <c r="L163" i="2"/>
  <c r="L159" i="2"/>
  <c r="L155" i="2"/>
  <c r="L151" i="2"/>
  <c r="L147" i="2"/>
  <c r="L143" i="2"/>
  <c r="L137" i="2"/>
  <c r="F213" i="16" s="1"/>
  <c r="L133" i="2"/>
  <c r="F212" i="16" s="1"/>
  <c r="L131" i="2"/>
  <c r="L127" i="2"/>
  <c r="L107" i="2"/>
  <c r="F207" i="16" s="1"/>
  <c r="L119" i="2"/>
  <c r="L115" i="2"/>
  <c r="L111" i="2"/>
  <c r="K28" i="11" s="1"/>
  <c r="L28" i="11" s="1"/>
  <c r="L95" i="2"/>
  <c r="F204" i="16" s="1"/>
  <c r="L94" i="2"/>
  <c r="F216" i="16" s="1"/>
  <c r="L99" i="2"/>
  <c r="L84" i="2"/>
  <c r="F201" i="16" s="1"/>
  <c r="L91" i="2"/>
  <c r="L87" i="2"/>
  <c r="L69" i="2"/>
  <c r="F195" i="16" s="1"/>
  <c r="L79" i="2"/>
  <c r="L74" i="2"/>
  <c r="L56" i="2"/>
  <c r="F192" i="16" s="1"/>
  <c r="L66" i="2"/>
  <c r="L62" i="2"/>
  <c r="L46" i="2"/>
  <c r="F197" i="16" s="1"/>
  <c r="L39" i="2"/>
  <c r="F186" i="16" s="1"/>
  <c r="L50" i="2"/>
  <c r="L37" i="2"/>
  <c r="F185" i="16" s="1"/>
  <c r="L42" i="2"/>
  <c r="L29" i="2"/>
  <c r="F176" i="16" s="1"/>
  <c r="L34" i="2"/>
  <c r="L8" i="2"/>
  <c r="F188" i="16" s="1"/>
  <c r="L453" i="2"/>
  <c r="F276" i="16" s="1"/>
  <c r="L20" i="2"/>
  <c r="L16" i="2"/>
  <c r="L794" i="2"/>
  <c r="F322" i="16" s="1"/>
  <c r="L865" i="2"/>
  <c r="F387" i="16" s="1"/>
  <c r="I918" i="2"/>
  <c r="I910" i="2"/>
  <c r="I902" i="2"/>
  <c r="I894" i="2"/>
  <c r="I851" i="2"/>
  <c r="C154" i="16" s="1"/>
  <c r="I844" i="2"/>
  <c r="C153" i="16" s="1"/>
  <c r="I117" i="2"/>
  <c r="C209" i="16" s="1"/>
  <c r="I310" i="2"/>
  <c r="I197" i="2"/>
  <c r="I425" i="2"/>
  <c r="I712" i="2"/>
  <c r="I704" i="2"/>
  <c r="I696" i="2"/>
  <c r="I688" i="2"/>
  <c r="I680" i="2"/>
  <c r="I672" i="2"/>
  <c r="I664" i="2"/>
  <c r="I656" i="2"/>
  <c r="I648" i="2"/>
  <c r="C311" i="16" s="1"/>
  <c r="I933" i="2"/>
  <c r="C151" i="16" s="1"/>
  <c r="I928" i="2"/>
  <c r="I484" i="2"/>
  <c r="C283" i="16" s="1"/>
  <c r="I915" i="2"/>
  <c r="I907" i="2"/>
  <c r="I899" i="2"/>
  <c r="I645" i="2"/>
  <c r="C386" i="16" s="1"/>
  <c r="I883" i="2"/>
  <c r="C373" i="16" s="1"/>
  <c r="I877" i="2"/>
  <c r="I872" i="2"/>
  <c r="C368" i="16" s="1"/>
  <c r="I929" i="2"/>
  <c r="C383" i="16" s="1"/>
  <c r="I863" i="2"/>
  <c r="I859" i="2"/>
  <c r="I855" i="2"/>
  <c r="I850" i="2"/>
  <c r="I920" i="2"/>
  <c r="C362" i="16" s="1"/>
  <c r="I838" i="2"/>
  <c r="I891" i="2"/>
  <c r="C359" i="16" s="1"/>
  <c r="I830" i="2"/>
  <c r="I826" i="2"/>
  <c r="I882" i="2"/>
  <c r="C355" i="16" s="1"/>
  <c r="I818" i="2"/>
  <c r="I814" i="2"/>
  <c r="I810" i="2"/>
  <c r="I806" i="2"/>
  <c r="I802" i="2"/>
  <c r="I848" i="2"/>
  <c r="C351" i="16" s="1"/>
  <c r="I828" i="2"/>
  <c r="C331" i="16" s="1"/>
  <c r="I790" i="2"/>
  <c r="L696" i="2"/>
  <c r="L872" i="2"/>
  <c r="F368" i="16" s="1"/>
  <c r="L802" i="2"/>
  <c r="L738" i="2"/>
  <c r="L642" i="2"/>
  <c r="L599" i="2"/>
  <c r="L583" i="2"/>
  <c r="L567" i="2"/>
  <c r="L551" i="2"/>
  <c r="L552" i="2"/>
  <c r="F300" i="16" s="1"/>
  <c r="L518" i="2"/>
  <c r="L502" i="2"/>
  <c r="L528" i="2"/>
  <c r="F290" i="16" s="1"/>
  <c r="L468" i="2"/>
  <c r="L466" i="2"/>
  <c r="F280" i="16" s="1"/>
  <c r="L436" i="2"/>
  <c r="L434" i="2"/>
  <c r="F270" i="16" s="1"/>
  <c r="L403" i="2"/>
  <c r="L387" i="2"/>
  <c r="L371" i="2"/>
  <c r="L368" i="2"/>
  <c r="F255" i="16" s="1"/>
  <c r="L347" i="2"/>
  <c r="L343" i="2"/>
  <c r="L339" i="2"/>
  <c r="L349" i="2"/>
  <c r="F248" i="16" s="1"/>
  <c r="L331" i="2"/>
  <c r="L327" i="2"/>
  <c r="L336" i="2"/>
  <c r="F245" i="16" s="1"/>
  <c r="L322" i="2"/>
  <c r="F241" i="16" s="1"/>
  <c r="L318" i="2"/>
  <c r="F385" i="16" s="1"/>
  <c r="L309" i="2"/>
  <c r="L303" i="2"/>
  <c r="L311" i="2"/>
  <c r="F341" i="16" s="1"/>
  <c r="L299" i="2"/>
  <c r="F235" i="16" s="1"/>
  <c r="L291" i="2"/>
  <c r="L287" i="2"/>
  <c r="L283" i="2"/>
  <c r="L279" i="2"/>
  <c r="L275" i="2"/>
  <c r="L271" i="2"/>
  <c r="L267" i="2"/>
  <c r="L263" i="2"/>
  <c r="L259" i="2"/>
  <c r="L255" i="2"/>
  <c r="L251" i="2"/>
  <c r="L247" i="2"/>
  <c r="L243" i="2"/>
  <c r="L239" i="2"/>
  <c r="L235" i="2"/>
  <c r="L231" i="2"/>
  <c r="L227" i="2"/>
  <c r="L223" i="2"/>
  <c r="L219" i="2"/>
  <c r="L215" i="2"/>
  <c r="L211" i="2"/>
  <c r="L207" i="2"/>
  <c r="L203" i="2"/>
  <c r="L199" i="2"/>
  <c r="L194" i="2"/>
  <c r="L190" i="2"/>
  <c r="L186" i="2"/>
  <c r="L182" i="2"/>
  <c r="L167" i="2"/>
  <c r="F220" i="16" s="1"/>
  <c r="L174" i="2"/>
  <c r="L170" i="2"/>
  <c r="L166" i="2"/>
  <c r="L162" i="2"/>
  <c r="L158" i="2"/>
  <c r="L154" i="2"/>
  <c r="L141" i="2"/>
  <c r="F217" i="16" s="1"/>
  <c r="L146" i="2"/>
  <c r="L142" i="2"/>
  <c r="D23" i="11" s="1"/>
  <c r="L135" i="2"/>
  <c r="F433" i="16" s="1"/>
  <c r="L123" i="2"/>
  <c r="F211" i="16" s="1"/>
  <c r="L130" i="2"/>
  <c r="L126" i="2"/>
  <c r="L103" i="2"/>
  <c r="F206" i="16" s="1"/>
  <c r="L118" i="2"/>
  <c r="L114" i="2"/>
  <c r="L110" i="2"/>
  <c r="L106" i="2"/>
  <c r="L102" i="2"/>
  <c r="L98" i="2"/>
  <c r="L83" i="2"/>
  <c r="F200" i="16" s="1"/>
  <c r="L90" i="2"/>
  <c r="L86" i="2"/>
  <c r="L82" i="2"/>
  <c r="L78" i="2"/>
  <c r="L59" i="2"/>
  <c r="F194" i="16" s="1"/>
  <c r="L55" i="2"/>
  <c r="F191" i="16" s="1"/>
  <c r="L65" i="2"/>
  <c r="L61" i="2"/>
  <c r="L57" i="2"/>
  <c r="L53" i="2"/>
  <c r="L49" i="2"/>
  <c r="L35" i="2"/>
  <c r="F184" i="16" s="1"/>
  <c r="L41" i="2"/>
  <c r="L27" i="2"/>
  <c r="F180" i="16" s="1"/>
  <c r="L25" i="2"/>
  <c r="F178" i="16" s="1"/>
  <c r="L28" i="2"/>
  <c r="L23" i="2"/>
  <c r="F381" i="16" s="1"/>
  <c r="L19" i="2"/>
  <c r="L15" i="2"/>
  <c r="L11" i="2"/>
  <c r="L7" i="2"/>
  <c r="I916" i="2"/>
  <c r="I908" i="2"/>
  <c r="I900" i="2"/>
  <c r="I892" i="2"/>
  <c r="I849" i="2"/>
  <c r="C364" i="16" s="1"/>
  <c r="I842" i="2"/>
  <c r="C350" i="16" s="1"/>
  <c r="I75" i="2"/>
  <c r="I308" i="2"/>
  <c r="C370" i="16" s="1"/>
  <c r="I195" i="2"/>
  <c r="C227" i="16" s="1"/>
  <c r="I423" i="2"/>
  <c r="C267" i="16" s="1"/>
  <c r="I710" i="2"/>
  <c r="I702" i="2"/>
  <c r="I694" i="2"/>
  <c r="I686" i="2"/>
  <c r="I678" i="2"/>
  <c r="I670" i="2"/>
  <c r="I662" i="2"/>
  <c r="I654" i="2"/>
  <c r="I294" i="2"/>
  <c r="C335" i="16" s="1"/>
  <c r="I932" i="2"/>
  <c r="I926" i="2"/>
  <c r="I874" i="2"/>
  <c r="C353" i="16" s="1"/>
  <c r="I913" i="2"/>
  <c r="I905" i="2"/>
  <c r="I897" i="2"/>
  <c r="I889" i="2"/>
  <c r="C375" i="16" s="1"/>
  <c r="I881" i="2"/>
  <c r="I876" i="2"/>
  <c r="I870" i="2"/>
  <c r="I927" i="2"/>
  <c r="C367" i="16" s="1"/>
  <c r="I862" i="2"/>
  <c r="I858" i="2"/>
  <c r="I854" i="2"/>
  <c r="I923" i="2"/>
  <c r="C363" i="16" s="1"/>
  <c r="I893" i="2"/>
  <c r="C360" i="16" s="1"/>
  <c r="I837" i="2"/>
  <c r="I833" i="2"/>
  <c r="I829" i="2"/>
  <c r="I825" i="2"/>
  <c r="I879" i="2"/>
  <c r="C354" i="16" s="1"/>
  <c r="I867" i="2"/>
  <c r="C352" i="16" s="1"/>
  <c r="I813" i="2"/>
  <c r="I809" i="2"/>
  <c r="I805" i="2"/>
  <c r="I801" i="2"/>
  <c r="I841" i="2"/>
  <c r="C376" i="16" s="1"/>
  <c r="I793" i="2"/>
  <c r="I789" i="2"/>
  <c r="I785" i="2"/>
  <c r="I781" i="2"/>
  <c r="I777" i="2"/>
  <c r="I773" i="2"/>
  <c r="I769" i="2"/>
  <c r="I765" i="2"/>
  <c r="I761" i="2"/>
  <c r="I757" i="2"/>
  <c r="I753" i="2"/>
  <c r="I749" i="2"/>
  <c r="I745" i="2"/>
  <c r="I741" i="2"/>
  <c r="I737" i="2"/>
  <c r="I733" i="2"/>
  <c r="I729" i="2"/>
  <c r="I725" i="2"/>
  <c r="I721" i="2"/>
  <c r="L664" i="2"/>
  <c r="L626" i="2"/>
  <c r="L547" i="2"/>
  <c r="L480" i="2"/>
  <c r="L415" i="2"/>
  <c r="L356" i="2"/>
  <c r="F252" i="16" s="1"/>
  <c r="L334" i="2"/>
  <c r="L321" i="2"/>
  <c r="F240" i="16" s="1"/>
  <c r="L298" i="2"/>
  <c r="L282" i="2"/>
  <c r="L266" i="2"/>
  <c r="L250" i="2"/>
  <c r="L234" i="2"/>
  <c r="L218" i="2"/>
  <c r="L202" i="2"/>
  <c r="L185" i="2"/>
  <c r="L169" i="2"/>
  <c r="L153" i="2"/>
  <c r="L134" i="2"/>
  <c r="F432" i="16" s="1"/>
  <c r="L121" i="2"/>
  <c r="L105" i="2"/>
  <c r="L76" i="2"/>
  <c r="F208" i="16" s="1"/>
  <c r="L72" i="2"/>
  <c r="L45" i="2"/>
  <c r="F196" i="16" s="1"/>
  <c r="L33" i="2"/>
  <c r="F181" i="16" s="1"/>
  <c r="L22" i="2"/>
  <c r="L6" i="2"/>
  <c r="I890" i="2"/>
  <c r="I306" i="2"/>
  <c r="I700" i="2"/>
  <c r="I668" i="2"/>
  <c r="C152" i="16" s="1"/>
  <c r="I931" i="2"/>
  <c r="I903" i="2"/>
  <c r="I875" i="2"/>
  <c r="I857" i="2"/>
  <c r="I836" i="2"/>
  <c r="I871" i="2"/>
  <c r="C378" i="16" s="1"/>
  <c r="I864" i="2"/>
  <c r="C377" i="16" s="1"/>
  <c r="I788" i="2"/>
  <c r="I780" i="2"/>
  <c r="I772" i="2"/>
  <c r="I820" i="2"/>
  <c r="C327" i="16" s="1"/>
  <c r="I756" i="2"/>
  <c r="I748" i="2"/>
  <c r="I740" i="2"/>
  <c r="I732" i="2"/>
  <c r="I724" i="2"/>
  <c r="I718" i="2"/>
  <c r="I714" i="2"/>
  <c r="I707" i="2"/>
  <c r="I699" i="2"/>
  <c r="I691" i="2"/>
  <c r="I804" i="2"/>
  <c r="C325" i="16" s="1"/>
  <c r="I675" i="2"/>
  <c r="I667" i="2"/>
  <c r="I782" i="2"/>
  <c r="C320" i="16" s="1"/>
  <c r="I764" i="2"/>
  <c r="C339" i="16" s="1"/>
  <c r="I685" i="2"/>
  <c r="C346" i="16" s="1"/>
  <c r="I642" i="2"/>
  <c r="I638" i="2"/>
  <c r="I665" i="2"/>
  <c r="C315" i="16" s="1"/>
  <c r="I630" i="2"/>
  <c r="I626" i="2"/>
  <c r="I622" i="2"/>
  <c r="I618" i="2"/>
  <c r="I614" i="2"/>
  <c r="I610" i="2"/>
  <c r="I606" i="2"/>
  <c r="I602" i="2"/>
  <c r="I598" i="2"/>
  <c r="I594" i="2"/>
  <c r="I590" i="2"/>
  <c r="I586" i="2"/>
  <c r="I582" i="2"/>
  <c r="I578" i="2"/>
  <c r="I574" i="2"/>
  <c r="I570" i="2"/>
  <c r="I566" i="2"/>
  <c r="I562" i="2"/>
  <c r="I558" i="2"/>
  <c r="I554" i="2"/>
  <c r="I550" i="2"/>
  <c r="I546" i="2"/>
  <c r="I542" i="2"/>
  <c r="I561" i="2"/>
  <c r="C308" i="16" s="1"/>
  <c r="I533" i="2"/>
  <c r="I529" i="2"/>
  <c r="I539" i="2"/>
  <c r="C302" i="16" s="1"/>
  <c r="I521" i="2"/>
  <c r="I517" i="2"/>
  <c r="I513" i="2"/>
  <c r="I509" i="2"/>
  <c r="I505" i="2"/>
  <c r="I501" i="2"/>
  <c r="I497" i="2"/>
  <c r="I493" i="2"/>
  <c r="I489" i="2"/>
  <c r="I483" i="2"/>
  <c r="I479" i="2"/>
  <c r="I475" i="2"/>
  <c r="I471" i="2"/>
  <c r="I467" i="2"/>
  <c r="I463" i="2"/>
  <c r="I459" i="2"/>
  <c r="I487" i="2"/>
  <c r="C284" i="16" s="1"/>
  <c r="I451" i="2"/>
  <c r="I447" i="2"/>
  <c r="I462" i="2"/>
  <c r="C344" i="16" s="1"/>
  <c r="I439" i="2"/>
  <c r="I435" i="2"/>
  <c r="I440" i="2"/>
  <c r="C301" i="16" s="1"/>
  <c r="I427" i="2"/>
  <c r="I422" i="2"/>
  <c r="I432" i="2"/>
  <c r="C268" i="16" s="1"/>
  <c r="I419" i="2"/>
  <c r="C266" i="16" s="1"/>
  <c r="I410" i="2"/>
  <c r="I406" i="2"/>
  <c r="I402" i="2"/>
  <c r="I398" i="2"/>
  <c r="I417" i="2"/>
  <c r="C264" i="16" s="1"/>
  <c r="I390" i="2"/>
  <c r="I414" i="2"/>
  <c r="C263" i="16" s="1"/>
  <c r="I385" i="2"/>
  <c r="C260" i="16" s="1"/>
  <c r="I378" i="2"/>
  <c r="I374" i="2"/>
  <c r="I383" i="2"/>
  <c r="C258" i="16" s="1"/>
  <c r="I366" i="2"/>
  <c r="I362" i="2"/>
  <c r="I358" i="2"/>
  <c r="I359" i="2"/>
  <c r="C254" i="16" s="1"/>
  <c r="I350" i="2"/>
  <c r="I346" i="2"/>
  <c r="I342" i="2"/>
  <c r="I352" i="2"/>
  <c r="C250" i="16" s="1"/>
  <c r="I334" i="2"/>
  <c r="I330" i="2"/>
  <c r="I326" i="2"/>
  <c r="I335" i="2"/>
  <c r="C244" i="16" s="1"/>
  <c r="I321" i="2"/>
  <c r="C240" i="16" s="1"/>
  <c r="I314" i="2"/>
  <c r="I307" i="2"/>
  <c r="I302" i="2"/>
  <c r="I298" i="2"/>
  <c r="I295" i="2"/>
  <c r="C233" i="16" s="1"/>
  <c r="I281" i="2"/>
  <c r="C230" i="16" s="1"/>
  <c r="I286" i="2"/>
  <c r="I282" i="2"/>
  <c r="I278" i="2"/>
  <c r="I273" i="2"/>
  <c r="C228" i="16" s="1"/>
  <c r="I270" i="2"/>
  <c r="I266" i="2"/>
  <c r="I262" i="2"/>
  <c r="I258" i="2"/>
  <c r="I254" i="2"/>
  <c r="I250" i="2"/>
  <c r="I246" i="2"/>
  <c r="I242" i="2"/>
  <c r="I238" i="2"/>
  <c r="I234" i="2"/>
  <c r="I205" i="2"/>
  <c r="C226" i="16" s="1"/>
  <c r="I226" i="2"/>
  <c r="I222" i="2"/>
  <c r="I218" i="2"/>
  <c r="I214" i="2"/>
  <c r="I210" i="2"/>
  <c r="I206" i="2"/>
  <c r="I202" i="2"/>
  <c r="I198" i="2"/>
  <c r="I193" i="2"/>
  <c r="I189" i="2"/>
  <c r="I185" i="2"/>
  <c r="L855" i="2"/>
  <c r="L595" i="2"/>
  <c r="L548" i="2"/>
  <c r="F299" i="16" s="1"/>
  <c r="L464" i="2"/>
  <c r="L399" i="2"/>
  <c r="L346" i="2"/>
  <c r="L330" i="2"/>
  <c r="L314" i="2"/>
  <c r="L295" i="2"/>
  <c r="F233" i="16" s="1"/>
  <c r="L278" i="2"/>
  <c r="L262" i="2"/>
  <c r="L246" i="2"/>
  <c r="L205" i="2"/>
  <c r="F226" i="16" s="1"/>
  <c r="L214" i="2"/>
  <c r="L198" i="2"/>
  <c r="L168" i="2"/>
  <c r="F221" i="16" s="1"/>
  <c r="L165" i="2"/>
  <c r="L149" i="2"/>
  <c r="L122" i="2"/>
  <c r="F210" i="16" s="1"/>
  <c r="L96" i="2"/>
  <c r="F205" i="16" s="1"/>
  <c r="L101" i="2"/>
  <c r="L85" i="2"/>
  <c r="L54" i="2"/>
  <c r="F190" i="16" s="1"/>
  <c r="L52" i="2"/>
  <c r="L36" i="2"/>
  <c r="L18" i="2"/>
  <c r="I914" i="2"/>
  <c r="I847" i="2"/>
  <c r="I921" i="2"/>
  <c r="I692" i="2"/>
  <c r="I660" i="2"/>
  <c r="I488" i="2"/>
  <c r="C369" i="16" s="1"/>
  <c r="I895" i="2"/>
  <c r="I869" i="2"/>
  <c r="I853" i="2"/>
  <c r="I832" i="2"/>
  <c r="I816" i="2"/>
  <c r="I800" i="2"/>
  <c r="I786" i="2"/>
  <c r="I778" i="2"/>
  <c r="I821" i="2"/>
  <c r="C328" i="16" s="1"/>
  <c r="I762" i="2"/>
  <c r="I754" i="2"/>
  <c r="I746" i="2"/>
  <c r="I738" i="2"/>
  <c r="I730" i="2"/>
  <c r="I722" i="2"/>
  <c r="I717" i="2"/>
  <c r="I713" i="2"/>
  <c r="I705" i="2"/>
  <c r="I697" i="2"/>
  <c r="I689" i="2"/>
  <c r="I798" i="2"/>
  <c r="C347" i="16" s="1"/>
  <c r="I673" i="2"/>
  <c r="I795" i="2"/>
  <c r="C323" i="16" s="1"/>
  <c r="I770" i="2"/>
  <c r="C340" i="16" s="1"/>
  <c r="I649" i="2"/>
  <c r="I683" i="2"/>
  <c r="C318" i="16" s="1"/>
  <c r="I641" i="2"/>
  <c r="I637" i="2"/>
  <c r="I661" i="2"/>
  <c r="C314" i="16" s="1"/>
  <c r="I629" i="2"/>
  <c r="I625" i="2"/>
  <c r="I621" i="2"/>
  <c r="I617" i="2"/>
  <c r="I613" i="2"/>
  <c r="I609" i="2"/>
  <c r="I605" i="2"/>
  <c r="I601" i="2"/>
  <c r="I597" i="2"/>
  <c r="I593" i="2"/>
  <c r="I589" i="2"/>
  <c r="I585" i="2"/>
  <c r="I581" i="2"/>
  <c r="I657" i="2"/>
  <c r="C313" i="16" s="1"/>
  <c r="I573" i="2"/>
  <c r="I569" i="2"/>
  <c r="I565" i="2"/>
  <c r="I646" i="2"/>
  <c r="C345" i="16" s="1"/>
  <c r="I557" i="2"/>
  <c r="I553" i="2"/>
  <c r="I549" i="2"/>
  <c r="I545" i="2"/>
  <c r="I587" i="2"/>
  <c r="C305" i="16" s="1"/>
  <c r="I560" i="2"/>
  <c r="C338" i="16" s="1"/>
  <c r="I532" i="2"/>
  <c r="I541" i="2"/>
  <c r="C298" i="16" s="1"/>
  <c r="I538" i="2"/>
  <c r="C295" i="16" s="1"/>
  <c r="I520" i="2"/>
  <c r="I516" i="2"/>
  <c r="I512" i="2"/>
  <c r="I508" i="2"/>
  <c r="I504" i="2"/>
  <c r="I500" i="2"/>
  <c r="I537" i="2"/>
  <c r="C294" i="16" s="1"/>
  <c r="I492" i="2"/>
  <c r="I530" i="2"/>
  <c r="C291" i="16" s="1"/>
  <c r="I482" i="2"/>
  <c r="I478" i="2"/>
  <c r="I474" i="2"/>
  <c r="I526" i="2"/>
  <c r="C289" i="16" s="1"/>
  <c r="I524" i="2"/>
  <c r="C287" i="16" s="1"/>
  <c r="I496" i="2"/>
  <c r="C286" i="16" s="1"/>
  <c r="I458" i="2"/>
  <c r="I470" i="2"/>
  <c r="C282" i="16" s="1"/>
  <c r="I450" i="2"/>
  <c r="I446" i="2"/>
  <c r="I457" i="2"/>
  <c r="C279" i="16" s="1"/>
  <c r="I438" i="2"/>
  <c r="I452" i="2"/>
  <c r="C275" i="16" s="1"/>
  <c r="I430" i="2"/>
  <c r="I426" i="2"/>
  <c r="I421" i="2"/>
  <c r="I431" i="2"/>
  <c r="C343" i="16" s="1"/>
  <c r="I413" i="2"/>
  <c r="I409" i="2"/>
  <c r="I405" i="2"/>
  <c r="I401" i="2"/>
  <c r="I397" i="2"/>
  <c r="I393" i="2"/>
  <c r="I389" i="2"/>
  <c r="I395" i="2"/>
  <c r="C435" i="16" s="1"/>
  <c r="I384" i="2"/>
  <c r="C259" i="16" s="1"/>
  <c r="I377" i="2"/>
  <c r="I373" i="2"/>
  <c r="I382" i="2"/>
  <c r="C257" i="16" s="1"/>
  <c r="I365" i="2"/>
  <c r="I361" i="2"/>
  <c r="I357" i="2"/>
  <c r="I356" i="2"/>
  <c r="C252" i="16" s="1"/>
  <c r="I353" i="2"/>
  <c r="C251" i="16" s="1"/>
  <c r="I345" i="2"/>
  <c r="I341" i="2"/>
  <c r="I337" i="2"/>
  <c r="I333" i="2"/>
  <c r="I329" i="2"/>
  <c r="I325" i="2"/>
  <c r="I324" i="2"/>
  <c r="C243" i="16" s="1"/>
  <c r="I320" i="2"/>
  <c r="C239" i="16" s="1"/>
  <c r="I317" i="2"/>
  <c r="C434" i="16" s="1"/>
  <c r="I305" i="2"/>
  <c r="I301" i="2"/>
  <c r="I297" i="2"/>
  <c r="C155" i="16" s="1"/>
  <c r="I293" i="2"/>
  <c r="I289" i="2"/>
  <c r="I285" i="2"/>
  <c r="I274" i="2"/>
  <c r="C236" i="16" s="1"/>
  <c r="I277" i="2"/>
  <c r="I230" i="2"/>
  <c r="C229" i="16" s="1"/>
  <c r="I269" i="2"/>
  <c r="I265" i="2"/>
  <c r="I261" i="2"/>
  <c r="I257" i="2"/>
  <c r="I253" i="2"/>
  <c r="I249" i="2"/>
  <c r="I245" i="2"/>
  <c r="I241" i="2"/>
  <c r="I237" i="2"/>
  <c r="I233" i="2"/>
  <c r="I229" i="2"/>
  <c r="I225" i="2"/>
  <c r="I221" i="2"/>
  <c r="I217" i="2"/>
  <c r="I213" i="2"/>
  <c r="L786" i="2"/>
  <c r="L579" i="2"/>
  <c r="L514" i="2"/>
  <c r="L448" i="2"/>
  <c r="L386" i="2"/>
  <c r="F261" i="16" s="1"/>
  <c r="L342" i="2"/>
  <c r="L326" i="2"/>
  <c r="L307" i="2"/>
  <c r="L281" i="2"/>
  <c r="F230" i="16" s="1"/>
  <c r="L273" i="2"/>
  <c r="F228" i="16" s="1"/>
  <c r="L258" i="2"/>
  <c r="L242" i="2"/>
  <c r="L226" i="2"/>
  <c r="L210" i="2"/>
  <c r="L193" i="2"/>
  <c r="L177" i="2"/>
  <c r="L148" i="2"/>
  <c r="F218" i="16" s="1"/>
  <c r="L145" i="2"/>
  <c r="L129" i="2"/>
  <c r="L113" i="2"/>
  <c r="L97" i="2"/>
  <c r="L81" i="2"/>
  <c r="L64" i="2"/>
  <c r="L48" i="2"/>
  <c r="L24" i="2"/>
  <c r="F177" i="16" s="1"/>
  <c r="L14" i="2"/>
  <c r="I906" i="2"/>
  <c r="I536" i="2"/>
  <c r="I292" i="2"/>
  <c r="C232" i="16" s="1"/>
  <c r="I684" i="2"/>
  <c r="I652" i="2"/>
  <c r="I21" i="2"/>
  <c r="C175" i="16" s="1"/>
  <c r="I886" i="2"/>
  <c r="C384" i="16" s="1"/>
  <c r="I925" i="2"/>
  <c r="C382" i="16" s="1"/>
  <c r="I845" i="2"/>
  <c r="I888" i="2"/>
  <c r="C358" i="16" s="1"/>
  <c r="I812" i="2"/>
  <c r="I796" i="2"/>
  <c r="I784" i="2"/>
  <c r="I776" i="2"/>
  <c r="I768" i="2"/>
  <c r="I760" i="2"/>
  <c r="I752" i="2"/>
  <c r="I744" i="2"/>
  <c r="I736" i="2"/>
  <c r="I728" i="2"/>
  <c r="I720" i="2"/>
  <c r="I716" i="2"/>
  <c r="I711" i="2"/>
  <c r="I703" i="2"/>
  <c r="I695" i="2"/>
  <c r="I687" i="2"/>
  <c r="I679" i="2"/>
  <c r="I671" i="2"/>
  <c r="I663" i="2"/>
  <c r="I655" i="2"/>
  <c r="I715" i="2"/>
  <c r="C319" i="16" s="1"/>
  <c r="I644" i="2"/>
  <c r="I640" i="2"/>
  <c r="I669" i="2"/>
  <c r="C316" i="16" s="1"/>
  <c r="I632" i="2"/>
  <c r="I628" i="2"/>
  <c r="I624" i="2"/>
  <c r="I620" i="2"/>
  <c r="I616" i="2"/>
  <c r="I612" i="2"/>
  <c r="I608" i="2"/>
  <c r="I604" i="2"/>
  <c r="I600" i="2"/>
  <c r="I596" i="2"/>
  <c r="I592" i="2"/>
  <c r="I588" i="2"/>
  <c r="I584" i="2"/>
  <c r="I580" i="2"/>
  <c r="I651" i="2"/>
  <c r="C436" i="16" s="1"/>
  <c r="I572" i="2"/>
  <c r="I568" i="2"/>
  <c r="I564" i="2"/>
  <c r="I639" i="2"/>
  <c r="C329" i="16" s="1"/>
  <c r="I556" i="2"/>
  <c r="I634" i="2"/>
  <c r="C310" i="16" s="1"/>
  <c r="I633" i="2"/>
  <c r="C309" i="16" s="1"/>
  <c r="I544" i="2"/>
  <c r="I577" i="2"/>
  <c r="C304" i="16" s="1"/>
  <c r="I559" i="2"/>
  <c r="C307" i="16" s="1"/>
  <c r="I531" i="2"/>
  <c r="I527" i="2"/>
  <c r="I523" i="2"/>
  <c r="I519" i="2"/>
  <c r="I515" i="2"/>
  <c r="I511" i="2"/>
  <c r="I507" i="2"/>
  <c r="I503" i="2"/>
  <c r="I499" i="2"/>
  <c r="I495" i="2"/>
  <c r="I491" i="2"/>
  <c r="I485" i="2"/>
  <c r="I481" i="2"/>
  <c r="I477" i="2"/>
  <c r="I473" i="2"/>
  <c r="I525" i="2"/>
  <c r="C288" i="16" s="1"/>
  <c r="I465" i="2"/>
  <c r="I461" i="2"/>
  <c r="I494" i="2"/>
  <c r="C285" i="16" s="1"/>
  <c r="I469" i="2"/>
  <c r="C281" i="16" s="1"/>
  <c r="I449" i="2"/>
  <c r="I445" i="2"/>
  <c r="I441" i="2"/>
  <c r="I454" i="2"/>
  <c r="C277" i="16" s="1"/>
  <c r="I443" i="2"/>
  <c r="C274" i="16" s="1"/>
  <c r="I429" i="2"/>
  <c r="I424" i="2"/>
  <c r="I420" i="2"/>
  <c r="I416" i="2"/>
  <c r="I412" i="2"/>
  <c r="I408" i="2"/>
  <c r="I404" i="2"/>
  <c r="I400" i="2"/>
  <c r="I396" i="2"/>
  <c r="I392" i="2"/>
  <c r="I388" i="2"/>
  <c r="I394" i="2"/>
  <c r="C262" i="16" s="1"/>
  <c r="I380" i="2"/>
  <c r="I376" i="2"/>
  <c r="I372" i="2"/>
  <c r="I381" i="2"/>
  <c r="C272" i="16" s="1"/>
  <c r="I364" i="2"/>
  <c r="I360" i="2"/>
  <c r="I369" i="2"/>
  <c r="C336" i="16" s="1"/>
  <c r="I355" i="2"/>
  <c r="C253" i="16" s="1"/>
  <c r="I348" i="2"/>
  <c r="I344" i="2"/>
  <c r="I340" i="2"/>
  <c r="I351" i="2"/>
  <c r="C249" i="16" s="1"/>
  <c r="I332" i="2"/>
  <c r="I328" i="2"/>
  <c r="I338" i="2"/>
  <c r="C246" i="16" s="1"/>
  <c r="I323" i="2"/>
  <c r="C242" i="16" s="1"/>
  <c r="I319" i="2"/>
  <c r="C238" i="16" s="1"/>
  <c r="I315" i="2"/>
  <c r="C237" i="16" s="1"/>
  <c r="I313" i="2"/>
  <c r="I300" i="2"/>
  <c r="I296" i="2"/>
  <c r="I290" i="2"/>
  <c r="C231" i="16" s="1"/>
  <c r="I288" i="2"/>
  <c r="I284" i="2"/>
  <c r="I280" i="2"/>
  <c r="I276" i="2"/>
  <c r="I272" i="2"/>
  <c r="I268" i="2"/>
  <c r="I264" i="2"/>
  <c r="I260" i="2"/>
  <c r="I256" i="2"/>
  <c r="I252" i="2"/>
  <c r="I248" i="2"/>
  <c r="I244" i="2"/>
  <c r="I240" i="2"/>
  <c r="I236" i="2"/>
  <c r="I232" i="2"/>
  <c r="I228" i="2"/>
  <c r="I224" i="2"/>
  <c r="I220" i="2"/>
  <c r="I216" i="2"/>
  <c r="I212" i="2"/>
  <c r="I208" i="2"/>
  <c r="I204" i="2"/>
  <c r="I200" i="2"/>
  <c r="I181" i="2"/>
  <c r="C222" i="16" s="1"/>
  <c r="I191" i="2"/>
  <c r="I187" i="2"/>
  <c r="L722" i="2"/>
  <c r="L367" i="2"/>
  <c r="L286" i="2"/>
  <c r="L222" i="2"/>
  <c r="L157" i="2"/>
  <c r="L93" i="2"/>
  <c r="L31" i="2"/>
  <c r="F365" i="16" s="1"/>
  <c r="I708" i="2"/>
  <c r="I880" i="2"/>
  <c r="C372" i="16" s="1"/>
  <c r="I808" i="2"/>
  <c r="I766" i="2"/>
  <c r="I734" i="2"/>
  <c r="I709" i="2"/>
  <c r="I677" i="2"/>
  <c r="I647" i="2"/>
  <c r="I631" i="2"/>
  <c r="I615" i="2"/>
  <c r="I599" i="2"/>
  <c r="I583" i="2"/>
  <c r="I567" i="2"/>
  <c r="I551" i="2"/>
  <c r="I552" i="2"/>
  <c r="C300" i="16" s="1"/>
  <c r="I518" i="2"/>
  <c r="I502" i="2"/>
  <c r="I528" i="2"/>
  <c r="C290" i="16" s="1"/>
  <c r="I468" i="2"/>
  <c r="I466" i="2"/>
  <c r="C280" i="16" s="1"/>
  <c r="I436" i="2"/>
  <c r="I434" i="2"/>
  <c r="C270" i="16" s="1"/>
  <c r="I403" i="2"/>
  <c r="I387" i="2"/>
  <c r="I371" i="2"/>
  <c r="I368" i="2"/>
  <c r="C255" i="16" s="1"/>
  <c r="I339" i="2"/>
  <c r="I336" i="2"/>
  <c r="C245" i="16" s="1"/>
  <c r="I303" i="2"/>
  <c r="I287" i="2"/>
  <c r="I271" i="2"/>
  <c r="I255" i="2"/>
  <c r="I239" i="2"/>
  <c r="I223" i="2"/>
  <c r="I209" i="2"/>
  <c r="I201" i="2"/>
  <c r="I178" i="2"/>
  <c r="C333" i="16" s="1"/>
  <c r="I184" i="2"/>
  <c r="I180" i="2"/>
  <c r="I176" i="2"/>
  <c r="I172" i="2"/>
  <c r="I161" i="2"/>
  <c r="C223" i="16" s="1"/>
  <c r="I164" i="2"/>
  <c r="I160" i="2"/>
  <c r="I156" i="2"/>
  <c r="I152" i="2"/>
  <c r="I140" i="2"/>
  <c r="C224" i="16" s="1"/>
  <c r="I144" i="2"/>
  <c r="I138" i="2"/>
  <c r="C214" i="16" s="1"/>
  <c r="I136" i="2"/>
  <c r="I132" i="2"/>
  <c r="I128" i="2"/>
  <c r="I124" i="2"/>
  <c r="I120" i="2"/>
  <c r="I116" i="2"/>
  <c r="I112" i="2"/>
  <c r="I108" i="2"/>
  <c r="I104" i="2"/>
  <c r="I100" i="2"/>
  <c r="I89" i="2"/>
  <c r="C202" i="16" s="1"/>
  <c r="I92" i="2"/>
  <c r="I88" i="2"/>
  <c r="I71" i="2"/>
  <c r="C198" i="16" s="1"/>
  <c r="I80" i="2"/>
  <c r="I68" i="2"/>
  <c r="C431" i="16" s="1"/>
  <c r="I58" i="2"/>
  <c r="C193" i="16" s="1"/>
  <c r="I67" i="2"/>
  <c r="I63" i="2"/>
  <c r="I51" i="2"/>
  <c r="C189" i="16" s="1"/>
  <c r="I40" i="2"/>
  <c r="C187" i="16" s="1"/>
  <c r="I38" i="2"/>
  <c r="C332" i="16" s="1"/>
  <c r="I47" i="2"/>
  <c r="I43" i="2"/>
  <c r="I32" i="2"/>
  <c r="C183" i="16" s="1"/>
  <c r="I26" i="2"/>
  <c r="C179" i="16" s="1"/>
  <c r="I12" i="2"/>
  <c r="I30" i="2"/>
  <c r="C182" i="16" s="1"/>
  <c r="I922" i="2"/>
  <c r="C379" i="16" s="1"/>
  <c r="I17" i="2"/>
  <c r="I13" i="2"/>
  <c r="I9" i="2"/>
  <c r="I5" i="2"/>
  <c r="L442" i="2"/>
  <c r="F273" i="16" s="1"/>
  <c r="L302" i="2"/>
  <c r="L238" i="2"/>
  <c r="L173" i="2"/>
  <c r="L109" i="2"/>
  <c r="L44" i="2"/>
  <c r="I73" i="2"/>
  <c r="C203" i="16" s="1"/>
  <c r="I911" i="2"/>
  <c r="I884" i="2"/>
  <c r="C356" i="16" s="1"/>
  <c r="I774" i="2"/>
  <c r="I742" i="2"/>
  <c r="I817" i="2"/>
  <c r="C348" i="16" s="1"/>
  <c r="I807" i="2"/>
  <c r="C326" i="16" s="1"/>
  <c r="I653" i="2"/>
  <c r="I635" i="2"/>
  <c r="I619" i="2"/>
  <c r="I603" i="2"/>
  <c r="I659" i="2"/>
  <c r="C312" i="16" s="1"/>
  <c r="I571" i="2"/>
  <c r="I555" i="2"/>
  <c r="I576" i="2"/>
  <c r="C303" i="16" s="1"/>
  <c r="I522" i="2"/>
  <c r="I506" i="2"/>
  <c r="I490" i="2"/>
  <c r="I472" i="2"/>
  <c r="I456" i="2"/>
  <c r="I455" i="2"/>
  <c r="C278" i="16" s="1"/>
  <c r="I437" i="2"/>
  <c r="C271" i="16" s="1"/>
  <c r="I407" i="2"/>
  <c r="I391" i="2"/>
  <c r="I375" i="2"/>
  <c r="I370" i="2"/>
  <c r="C337" i="16" s="1"/>
  <c r="I343" i="2"/>
  <c r="I327" i="2"/>
  <c r="I309" i="2"/>
  <c r="I291" i="2"/>
  <c r="I275" i="2"/>
  <c r="I259" i="2"/>
  <c r="I243" i="2"/>
  <c r="I227" i="2"/>
  <c r="I211" i="2"/>
  <c r="I203" i="2"/>
  <c r="I194" i="2"/>
  <c r="I186" i="2"/>
  <c r="I168" i="2"/>
  <c r="C221" i="16" s="1"/>
  <c r="I177" i="2"/>
  <c r="I173" i="2"/>
  <c r="I169" i="2"/>
  <c r="I165" i="2"/>
  <c r="I148" i="2"/>
  <c r="C218" i="16" s="1"/>
  <c r="I157" i="2"/>
  <c r="I153" i="2"/>
  <c r="I149" i="2"/>
  <c r="I145" i="2"/>
  <c r="I139" i="2"/>
  <c r="C215" i="16" s="1"/>
  <c r="I134" i="2"/>
  <c r="C432" i="16" s="1"/>
  <c r="I122" i="2"/>
  <c r="C210" i="16" s="1"/>
  <c r="I129" i="2"/>
  <c r="I125" i="2"/>
  <c r="I121" i="2"/>
  <c r="I96" i="2"/>
  <c r="C205" i="16" s="1"/>
  <c r="I113" i="2"/>
  <c r="I109" i="2"/>
  <c r="I105" i="2"/>
  <c r="I101" i="2"/>
  <c r="I97" i="2"/>
  <c r="I93" i="2"/>
  <c r="I76" i="2"/>
  <c r="C208" i="16" s="1"/>
  <c r="I85" i="2"/>
  <c r="I81" i="2"/>
  <c r="I77" i="2"/>
  <c r="I72" i="2"/>
  <c r="I54" i="2"/>
  <c r="C190" i="16" s="1"/>
  <c r="I64" i="2"/>
  <c r="I60" i="2"/>
  <c r="I45" i="2"/>
  <c r="C196" i="16" s="1"/>
  <c r="I52" i="2"/>
  <c r="I48" i="2"/>
  <c r="I44" i="2"/>
  <c r="I33" i="2"/>
  <c r="C181" i="16" s="1"/>
  <c r="I36" i="2"/>
  <c r="I24" i="2"/>
  <c r="C177" i="16" s="1"/>
  <c r="I31" i="2"/>
  <c r="C365" i="16" s="1"/>
  <c r="I22" i="2"/>
  <c r="I18" i="2"/>
  <c r="I14" i="2"/>
  <c r="I10" i="2"/>
  <c r="I6" i="2"/>
  <c r="L563" i="2"/>
  <c r="L352" i="2"/>
  <c r="F250" i="16" s="1"/>
  <c r="L270" i="2"/>
  <c r="L206" i="2"/>
  <c r="L139" i="2"/>
  <c r="F215" i="16" s="1"/>
  <c r="L77" i="2"/>
  <c r="L10" i="2"/>
  <c r="I676" i="2"/>
  <c r="I861" i="2"/>
  <c r="I792" i="2"/>
  <c r="I758" i="2"/>
  <c r="I726" i="2"/>
  <c r="I701" i="2"/>
  <c r="I797" i="2"/>
  <c r="C324" i="16" s="1"/>
  <c r="I643" i="2"/>
  <c r="I627" i="2"/>
  <c r="I611" i="2"/>
  <c r="I595" i="2"/>
  <c r="I579" i="2"/>
  <c r="I563" i="2"/>
  <c r="I547" i="2"/>
  <c r="I548" i="2"/>
  <c r="C299" i="16" s="1"/>
  <c r="I514" i="2"/>
  <c r="I498" i="2"/>
  <c r="I480" i="2"/>
  <c r="I464" i="2"/>
  <c r="I448" i="2"/>
  <c r="I442" i="2"/>
  <c r="C273" i="16" s="1"/>
  <c r="I415" i="2"/>
  <c r="I399" i="2"/>
  <c r="I386" i="2"/>
  <c r="C261" i="16" s="1"/>
  <c r="I367" i="2"/>
  <c r="I354" i="2"/>
  <c r="C342" i="16" s="1"/>
  <c r="I349" i="2"/>
  <c r="C248" i="16" s="1"/>
  <c r="I322" i="2"/>
  <c r="C241" i="16" s="1"/>
  <c r="I311" i="2"/>
  <c r="C341" i="16" s="1"/>
  <c r="I283" i="2"/>
  <c r="I267" i="2"/>
  <c r="I251" i="2"/>
  <c r="I235" i="2"/>
  <c r="I219" i="2"/>
  <c r="I207" i="2"/>
  <c r="I199" i="2"/>
  <c r="I190" i="2"/>
  <c r="I183" i="2"/>
  <c r="I179" i="2"/>
  <c r="I175" i="2"/>
  <c r="I171" i="2"/>
  <c r="I150" i="2"/>
  <c r="C219" i="16" s="1"/>
  <c r="I163" i="2"/>
  <c r="I159" i="2"/>
  <c r="I155" i="2"/>
  <c r="I151" i="2"/>
  <c r="I147" i="2"/>
  <c r="I143" i="2"/>
  <c r="I137" i="2"/>
  <c r="C213" i="16" s="1"/>
  <c r="I133" i="2"/>
  <c r="C212" i="16" s="1"/>
  <c r="I131" i="2"/>
  <c r="I127" i="2"/>
  <c r="I107" i="2"/>
  <c r="C207" i="16" s="1"/>
  <c r="I119" i="2"/>
  <c r="I115" i="2"/>
  <c r="I111" i="2"/>
  <c r="I95" i="2"/>
  <c r="C204" i="16" s="1"/>
  <c r="I94" i="2"/>
  <c r="C216" i="16" s="1"/>
  <c r="I99" i="2"/>
  <c r="I84" i="2"/>
  <c r="C201" i="16" s="1"/>
  <c r="I91" i="2"/>
  <c r="I87" i="2"/>
  <c r="I69" i="2"/>
  <c r="C195" i="16" s="1"/>
  <c r="I79" i="2"/>
  <c r="I74" i="2"/>
  <c r="I56" i="2"/>
  <c r="C192" i="16" s="1"/>
  <c r="I66" i="2"/>
  <c r="I62" i="2"/>
  <c r="I46" i="2"/>
  <c r="C197" i="16" s="1"/>
  <c r="I39" i="2"/>
  <c r="C186" i="16" s="1"/>
  <c r="I50" i="2"/>
  <c r="I37" i="2"/>
  <c r="C185" i="16" s="1"/>
  <c r="I42" i="2"/>
  <c r="I29" i="2"/>
  <c r="C176" i="16" s="1"/>
  <c r="I34" i="2"/>
  <c r="I8" i="2"/>
  <c r="C188" i="16" s="1"/>
  <c r="I453" i="2"/>
  <c r="C276" i="16" s="1"/>
  <c r="I20" i="2"/>
  <c r="I16" i="2"/>
  <c r="I794" i="2"/>
  <c r="C322" i="16" s="1"/>
  <c r="I865" i="2"/>
  <c r="C387" i="16" s="1"/>
  <c r="L498" i="2"/>
  <c r="L335" i="2"/>
  <c r="F244" i="16" s="1"/>
  <c r="L254" i="2"/>
  <c r="L189" i="2"/>
  <c r="L125" i="2"/>
  <c r="L60" i="2"/>
  <c r="I898" i="2"/>
  <c r="I316" i="2"/>
  <c r="C269" i="16" s="1"/>
  <c r="I840" i="2"/>
  <c r="I822" i="2"/>
  <c r="C388" i="16" s="1"/>
  <c r="I750" i="2"/>
  <c r="I719" i="2"/>
  <c r="I693" i="2"/>
  <c r="I783" i="2"/>
  <c r="C321" i="16" s="1"/>
  <c r="I681" i="2"/>
  <c r="C317" i="16" s="1"/>
  <c r="I623" i="2"/>
  <c r="I607" i="2"/>
  <c r="I591" i="2"/>
  <c r="I575" i="2"/>
  <c r="I636" i="2"/>
  <c r="C306" i="16" s="1"/>
  <c r="I543" i="2"/>
  <c r="I540" i="2"/>
  <c r="C297" i="16" s="1"/>
  <c r="I510" i="2"/>
  <c r="I535" i="2"/>
  <c r="C293" i="16" s="1"/>
  <c r="I476" i="2"/>
  <c r="I460" i="2"/>
  <c r="I444" i="2"/>
  <c r="I428" i="2"/>
  <c r="I411" i="2"/>
  <c r="I418" i="2"/>
  <c r="C265" i="16" s="1"/>
  <c r="I379" i="2"/>
  <c r="I363" i="2"/>
  <c r="I347" i="2"/>
  <c r="I331" i="2"/>
  <c r="I318" i="2"/>
  <c r="C385" i="16" s="1"/>
  <c r="I299" i="2"/>
  <c r="C235" i="16" s="1"/>
  <c r="I279" i="2"/>
  <c r="I263" i="2"/>
  <c r="I247" i="2"/>
  <c r="I231" i="2"/>
  <c r="I215" i="2"/>
  <c r="I196" i="2"/>
  <c r="C225" i="16" s="1"/>
  <c r="I192" i="2"/>
  <c r="C334" i="16" s="1"/>
  <c r="I188" i="2"/>
  <c r="I182" i="2"/>
  <c r="I167" i="2"/>
  <c r="C220" i="16" s="1"/>
  <c r="I174" i="2"/>
  <c r="I170" i="2"/>
  <c r="I166" i="2"/>
  <c r="I162" i="2"/>
  <c r="I158" i="2"/>
  <c r="I154" i="2"/>
  <c r="I141" i="2"/>
  <c r="C217" i="16" s="1"/>
  <c r="I146" i="2"/>
  <c r="I142" i="2"/>
  <c r="I135" i="2"/>
  <c r="C433" i="16" s="1"/>
  <c r="I123" i="2"/>
  <c r="C211" i="16" s="1"/>
  <c r="I130" i="2"/>
  <c r="I126" i="2"/>
  <c r="I103" i="2"/>
  <c r="C206" i="16" s="1"/>
  <c r="I118" i="2"/>
  <c r="I114" i="2"/>
  <c r="I110" i="2"/>
  <c r="I106" i="2"/>
  <c r="I102" i="2"/>
  <c r="I98" i="2"/>
  <c r="I83" i="2"/>
  <c r="C200" i="16" s="1"/>
  <c r="I90" i="2"/>
  <c r="I86" i="2"/>
  <c r="I82" i="2"/>
  <c r="I78" i="2"/>
  <c r="I59" i="2"/>
  <c r="C194" i="16" s="1"/>
  <c r="I55" i="2"/>
  <c r="C191" i="16" s="1"/>
  <c r="I65" i="2"/>
  <c r="I61" i="2"/>
  <c r="I57" i="2"/>
  <c r="I53" i="2"/>
  <c r="I49" i="2"/>
  <c r="I35" i="2"/>
  <c r="C184" i="16" s="1"/>
  <c r="I41" i="2"/>
  <c r="I27" i="2"/>
  <c r="C180" i="16" s="1"/>
  <c r="I25" i="2"/>
  <c r="C178" i="16" s="1"/>
  <c r="I28" i="2"/>
  <c r="I23" i="2"/>
  <c r="C381" i="16" s="1"/>
  <c r="I19" i="2"/>
  <c r="I15" i="2"/>
  <c r="I11" i="2"/>
  <c r="I7" i="2"/>
  <c r="U10" i="11"/>
  <c r="U12" i="11"/>
  <c r="D1" i="13"/>
  <c r="E1" i="13"/>
  <c r="F1" i="13"/>
  <c r="C1" i="13"/>
  <c r="C150" i="16"/>
  <c r="J5" i="2"/>
  <c r="K5" i="2"/>
  <c r="J6" i="2"/>
  <c r="K6" i="2"/>
  <c r="J7" i="2"/>
  <c r="K7" i="2"/>
  <c r="J8" i="2"/>
  <c r="D188" i="16" s="1"/>
  <c r="K8" i="2"/>
  <c r="E188" i="16" s="1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D175" i="16" s="1"/>
  <c r="K21" i="2"/>
  <c r="E175" i="16" s="1"/>
  <c r="J22" i="2"/>
  <c r="K22" i="2"/>
  <c r="J24" i="2"/>
  <c r="D177" i="16" s="1"/>
  <c r="K24" i="2"/>
  <c r="E177" i="16" s="1"/>
  <c r="J25" i="2"/>
  <c r="D178" i="16" s="1"/>
  <c r="K25" i="2"/>
  <c r="E178" i="16" s="1"/>
  <c r="J26" i="2"/>
  <c r="D179" i="16" s="1"/>
  <c r="K26" i="2"/>
  <c r="E179" i="16" s="1"/>
  <c r="J27" i="2"/>
  <c r="D180" i="16" s="1"/>
  <c r="K27" i="2"/>
  <c r="E180" i="16" s="1"/>
  <c r="J28" i="2"/>
  <c r="K28" i="2"/>
  <c r="J29" i="2"/>
  <c r="D176" i="16" s="1"/>
  <c r="K29" i="2"/>
  <c r="E176" i="16" s="1"/>
  <c r="J30" i="2"/>
  <c r="D182" i="16" s="1"/>
  <c r="K30" i="2"/>
  <c r="E182" i="16" s="1"/>
  <c r="J32" i="2"/>
  <c r="D183" i="16" s="1"/>
  <c r="K32" i="2"/>
  <c r="E183" i="16" s="1"/>
  <c r="J33" i="2"/>
  <c r="D181" i="16" s="1"/>
  <c r="K33" i="2"/>
  <c r="E181" i="16" s="1"/>
  <c r="J34" i="2"/>
  <c r="K34" i="2"/>
  <c r="J35" i="2"/>
  <c r="D184" i="16" s="1"/>
  <c r="K35" i="2"/>
  <c r="E184" i="16" s="1"/>
  <c r="J36" i="2"/>
  <c r="K36" i="2"/>
  <c r="J37" i="2"/>
  <c r="D185" i="16" s="1"/>
  <c r="K37" i="2"/>
  <c r="E185" i="16" s="1"/>
  <c r="J38" i="2"/>
  <c r="D332" i="16" s="1"/>
  <c r="K38" i="2"/>
  <c r="E332" i="16" s="1"/>
  <c r="J39" i="2"/>
  <c r="D186" i="16" s="1"/>
  <c r="K39" i="2"/>
  <c r="E186" i="16" s="1"/>
  <c r="J40" i="2"/>
  <c r="D187" i="16" s="1"/>
  <c r="K40" i="2"/>
  <c r="E187" i="16" s="1"/>
  <c r="J41" i="2"/>
  <c r="K41" i="2"/>
  <c r="J42" i="2"/>
  <c r="K42" i="2"/>
  <c r="J43" i="2"/>
  <c r="K43" i="2"/>
  <c r="J44" i="2"/>
  <c r="K44" i="2"/>
  <c r="J45" i="2"/>
  <c r="D196" i="16" s="1"/>
  <c r="K45" i="2"/>
  <c r="E196" i="16" s="1"/>
  <c r="J46" i="2"/>
  <c r="D197" i="16" s="1"/>
  <c r="K46" i="2"/>
  <c r="E197" i="16" s="1"/>
  <c r="J47" i="2"/>
  <c r="K47" i="2"/>
  <c r="J48" i="2"/>
  <c r="K48" i="2"/>
  <c r="J49" i="2"/>
  <c r="K49" i="2"/>
  <c r="J50" i="2"/>
  <c r="K50" i="2"/>
  <c r="J51" i="2"/>
  <c r="D189" i="16" s="1"/>
  <c r="K51" i="2"/>
  <c r="E189" i="16" s="1"/>
  <c r="J52" i="2"/>
  <c r="K52" i="2"/>
  <c r="J53" i="2"/>
  <c r="K53" i="2"/>
  <c r="J54" i="2"/>
  <c r="D190" i="16" s="1"/>
  <c r="K54" i="2"/>
  <c r="E190" i="16" s="1"/>
  <c r="J55" i="2"/>
  <c r="D191" i="16" s="1"/>
  <c r="K55" i="2"/>
  <c r="E191" i="16" s="1"/>
  <c r="J56" i="2"/>
  <c r="D192" i="16" s="1"/>
  <c r="K56" i="2"/>
  <c r="E192" i="16" s="1"/>
  <c r="J57" i="2"/>
  <c r="K57" i="2"/>
  <c r="J58" i="2"/>
  <c r="D193" i="16" s="1"/>
  <c r="K58" i="2"/>
  <c r="E193" i="16" s="1"/>
  <c r="J59" i="2"/>
  <c r="D194" i="16" s="1"/>
  <c r="K59" i="2"/>
  <c r="E194" i="16" s="1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D431" i="16" s="1"/>
  <c r="K68" i="2"/>
  <c r="E431" i="16" s="1"/>
  <c r="J69" i="2"/>
  <c r="D195" i="16" s="1"/>
  <c r="K69" i="2"/>
  <c r="E195" i="16" s="1"/>
  <c r="J70" i="2"/>
  <c r="D199" i="16" s="1"/>
  <c r="K70" i="2"/>
  <c r="E199" i="16" s="1"/>
  <c r="J71" i="2"/>
  <c r="D198" i="16" s="1"/>
  <c r="K71" i="2"/>
  <c r="E198" i="16" s="1"/>
  <c r="J72" i="2"/>
  <c r="K72" i="2"/>
  <c r="J73" i="2"/>
  <c r="D203" i="16" s="1"/>
  <c r="K73" i="2"/>
  <c r="E203" i="16" s="1"/>
  <c r="J74" i="2"/>
  <c r="K74" i="2"/>
  <c r="J76" i="2"/>
  <c r="D208" i="16" s="1"/>
  <c r="K76" i="2"/>
  <c r="E208" i="16" s="1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D200" i="16" s="1"/>
  <c r="K83" i="2"/>
  <c r="E200" i="16" s="1"/>
  <c r="J84" i="2"/>
  <c r="D201" i="16" s="1"/>
  <c r="K84" i="2"/>
  <c r="E201" i="16" s="1"/>
  <c r="J85" i="2"/>
  <c r="K85" i="2"/>
  <c r="J86" i="2"/>
  <c r="K86" i="2"/>
  <c r="J87" i="2"/>
  <c r="K87" i="2"/>
  <c r="J88" i="2"/>
  <c r="K88" i="2"/>
  <c r="J89" i="2"/>
  <c r="D202" i="16" s="1"/>
  <c r="K89" i="2"/>
  <c r="E202" i="16" s="1"/>
  <c r="J90" i="2"/>
  <c r="K90" i="2"/>
  <c r="J91" i="2"/>
  <c r="K91" i="2"/>
  <c r="J92" i="2"/>
  <c r="K92" i="2"/>
  <c r="J93" i="2"/>
  <c r="K93" i="2"/>
  <c r="J94" i="2"/>
  <c r="D216" i="16" s="1"/>
  <c r="K94" i="2"/>
  <c r="E216" i="16" s="1"/>
  <c r="J95" i="2"/>
  <c r="D204" i="16" s="1"/>
  <c r="K95" i="2"/>
  <c r="E204" i="16" s="1"/>
  <c r="J96" i="2"/>
  <c r="D205" i="16" s="1"/>
  <c r="K96" i="2"/>
  <c r="E205" i="16" s="1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D206" i="16" s="1"/>
  <c r="K103" i="2"/>
  <c r="E206" i="16" s="1"/>
  <c r="J104" i="2"/>
  <c r="K104" i="2"/>
  <c r="J105" i="2"/>
  <c r="K105" i="2"/>
  <c r="J106" i="2"/>
  <c r="K106" i="2"/>
  <c r="J107" i="2"/>
  <c r="D207" i="16" s="1"/>
  <c r="K107" i="2"/>
  <c r="E207" i="16" s="1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D209" i="16" s="1"/>
  <c r="K117" i="2"/>
  <c r="E209" i="16" s="1"/>
  <c r="J118" i="2"/>
  <c r="K118" i="2"/>
  <c r="J119" i="2"/>
  <c r="K119" i="2"/>
  <c r="J120" i="2"/>
  <c r="K120" i="2"/>
  <c r="J121" i="2"/>
  <c r="K121" i="2"/>
  <c r="J122" i="2"/>
  <c r="D210" i="16" s="1"/>
  <c r="K122" i="2"/>
  <c r="E210" i="16" s="1"/>
  <c r="J123" i="2"/>
  <c r="D211" i="16" s="1"/>
  <c r="K123" i="2"/>
  <c r="E211" i="16" s="1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D212" i="16" s="1"/>
  <c r="K133" i="2"/>
  <c r="E212" i="16" s="1"/>
  <c r="J134" i="2"/>
  <c r="D432" i="16" s="1"/>
  <c r="K134" i="2"/>
  <c r="E432" i="16" s="1"/>
  <c r="J135" i="2"/>
  <c r="D433" i="16" s="1"/>
  <c r="K135" i="2"/>
  <c r="E433" i="16" s="1"/>
  <c r="J136" i="2"/>
  <c r="K136" i="2"/>
  <c r="J137" i="2"/>
  <c r="D213" i="16" s="1"/>
  <c r="K137" i="2"/>
  <c r="E213" i="16" s="1"/>
  <c r="J138" i="2"/>
  <c r="D214" i="16" s="1"/>
  <c r="K138" i="2"/>
  <c r="E214" i="16" s="1"/>
  <c r="J139" i="2"/>
  <c r="D215" i="16" s="1"/>
  <c r="K139" i="2"/>
  <c r="E215" i="16" s="1"/>
  <c r="J140" i="2"/>
  <c r="D224" i="16" s="1"/>
  <c r="K140" i="2"/>
  <c r="E224" i="16" s="1"/>
  <c r="J141" i="2"/>
  <c r="D217" i="16" s="1"/>
  <c r="K141" i="2"/>
  <c r="E217" i="16" s="1"/>
  <c r="J142" i="2"/>
  <c r="K142" i="2"/>
  <c r="J143" i="2"/>
  <c r="K143" i="2"/>
  <c r="J144" i="2"/>
  <c r="K144" i="2"/>
  <c r="J145" i="2"/>
  <c r="K145" i="2"/>
  <c r="J146" i="2"/>
  <c r="K146" i="2"/>
  <c r="J147" i="2"/>
  <c r="K147" i="2"/>
  <c r="J148" i="2"/>
  <c r="D218" i="16" s="1"/>
  <c r="K148" i="2"/>
  <c r="E218" i="16" s="1"/>
  <c r="J149" i="2"/>
  <c r="K149" i="2"/>
  <c r="J150" i="2"/>
  <c r="D219" i="16" s="1"/>
  <c r="K150" i="2"/>
  <c r="E219" i="16" s="1"/>
  <c r="J151" i="2"/>
  <c r="K151" i="2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D223" i="16" s="1"/>
  <c r="K161" i="2"/>
  <c r="E223" i="16" s="1"/>
  <c r="J162" i="2"/>
  <c r="K162" i="2"/>
  <c r="J163" i="2"/>
  <c r="K163" i="2"/>
  <c r="J164" i="2"/>
  <c r="K164" i="2"/>
  <c r="J165" i="2"/>
  <c r="K165" i="2"/>
  <c r="J166" i="2"/>
  <c r="K166" i="2"/>
  <c r="J167" i="2"/>
  <c r="D220" i="16" s="1"/>
  <c r="K167" i="2"/>
  <c r="E220" i="16" s="1"/>
  <c r="J168" i="2"/>
  <c r="D221" i="16" s="1"/>
  <c r="K168" i="2"/>
  <c r="E221" i="16" s="1"/>
  <c r="J169" i="2"/>
  <c r="K169" i="2"/>
  <c r="J170" i="2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D333" i="16" s="1"/>
  <c r="K178" i="2"/>
  <c r="E333" i="16" s="1"/>
  <c r="J179" i="2"/>
  <c r="K179" i="2"/>
  <c r="J180" i="2"/>
  <c r="K180" i="2"/>
  <c r="J181" i="2"/>
  <c r="D222" i="16" s="1"/>
  <c r="K181" i="2"/>
  <c r="E222" i="16" s="1"/>
  <c r="J182" i="2"/>
  <c r="K182" i="2"/>
  <c r="J183" i="2"/>
  <c r="K183" i="2"/>
  <c r="J184" i="2"/>
  <c r="K184" i="2"/>
  <c r="J185" i="2"/>
  <c r="K185" i="2"/>
  <c r="J186" i="2"/>
  <c r="K186" i="2"/>
  <c r="J187" i="2"/>
  <c r="K187" i="2"/>
  <c r="J188" i="2"/>
  <c r="K188" i="2"/>
  <c r="J189" i="2"/>
  <c r="K189" i="2"/>
  <c r="J190" i="2"/>
  <c r="K190" i="2"/>
  <c r="J191" i="2"/>
  <c r="K191" i="2"/>
  <c r="J192" i="2"/>
  <c r="D334" i="16" s="1"/>
  <c r="K192" i="2"/>
  <c r="E334" i="16" s="1"/>
  <c r="J193" i="2"/>
  <c r="K193" i="2"/>
  <c r="J194" i="2"/>
  <c r="K194" i="2"/>
  <c r="J195" i="2"/>
  <c r="D227" i="16" s="1"/>
  <c r="K195" i="2"/>
  <c r="E227" i="16" s="1"/>
  <c r="J196" i="2"/>
  <c r="D225" i="16" s="1"/>
  <c r="K196" i="2"/>
  <c r="E225" i="16" s="1"/>
  <c r="J198" i="2"/>
  <c r="K198" i="2"/>
  <c r="J199" i="2"/>
  <c r="K199" i="2"/>
  <c r="J200" i="2"/>
  <c r="K200" i="2"/>
  <c r="J201" i="2"/>
  <c r="K201" i="2"/>
  <c r="J202" i="2"/>
  <c r="K202" i="2"/>
  <c r="J203" i="2"/>
  <c r="K203" i="2"/>
  <c r="J204" i="2"/>
  <c r="K204" i="2"/>
  <c r="J205" i="2"/>
  <c r="D226" i="16" s="1"/>
  <c r="K205" i="2"/>
  <c r="E226" i="16" s="1"/>
  <c r="J206" i="2"/>
  <c r="K206" i="2"/>
  <c r="J207" i="2"/>
  <c r="K207" i="2"/>
  <c r="J208" i="2"/>
  <c r="K208" i="2"/>
  <c r="J209" i="2"/>
  <c r="K209" i="2"/>
  <c r="J210" i="2"/>
  <c r="K210" i="2"/>
  <c r="J211" i="2"/>
  <c r="K211" i="2"/>
  <c r="J212" i="2"/>
  <c r="K212" i="2"/>
  <c r="J213" i="2"/>
  <c r="K213" i="2"/>
  <c r="J214" i="2"/>
  <c r="K214" i="2"/>
  <c r="J215" i="2"/>
  <c r="K215" i="2"/>
  <c r="J216" i="2"/>
  <c r="K216" i="2"/>
  <c r="J217" i="2"/>
  <c r="K217" i="2"/>
  <c r="J218" i="2"/>
  <c r="K218" i="2"/>
  <c r="J219" i="2"/>
  <c r="K219" i="2"/>
  <c r="J220" i="2"/>
  <c r="K220" i="2"/>
  <c r="J221" i="2"/>
  <c r="K221" i="2"/>
  <c r="J222" i="2"/>
  <c r="K222" i="2"/>
  <c r="J223" i="2"/>
  <c r="K223" i="2"/>
  <c r="J224" i="2"/>
  <c r="K224" i="2"/>
  <c r="J225" i="2"/>
  <c r="K225" i="2"/>
  <c r="J226" i="2"/>
  <c r="K226" i="2"/>
  <c r="J227" i="2"/>
  <c r="K227" i="2"/>
  <c r="J228" i="2"/>
  <c r="K228" i="2"/>
  <c r="J229" i="2"/>
  <c r="K229" i="2"/>
  <c r="J230" i="2"/>
  <c r="D229" i="16" s="1"/>
  <c r="K230" i="2"/>
  <c r="E229" i="16" s="1"/>
  <c r="J231" i="2"/>
  <c r="K231" i="2"/>
  <c r="J232" i="2"/>
  <c r="K232" i="2"/>
  <c r="J233" i="2"/>
  <c r="K233" i="2"/>
  <c r="J234" i="2"/>
  <c r="K234" i="2"/>
  <c r="J235" i="2"/>
  <c r="K235" i="2"/>
  <c r="J236" i="2"/>
  <c r="K236" i="2"/>
  <c r="J237" i="2"/>
  <c r="K237" i="2"/>
  <c r="J238" i="2"/>
  <c r="K238" i="2"/>
  <c r="J239" i="2"/>
  <c r="K239" i="2"/>
  <c r="J240" i="2"/>
  <c r="K240" i="2"/>
  <c r="J241" i="2"/>
  <c r="K241" i="2"/>
  <c r="J242" i="2"/>
  <c r="K242" i="2"/>
  <c r="J243" i="2"/>
  <c r="K243" i="2"/>
  <c r="J244" i="2"/>
  <c r="K244" i="2"/>
  <c r="J245" i="2"/>
  <c r="K245" i="2"/>
  <c r="J246" i="2"/>
  <c r="K246" i="2"/>
  <c r="J247" i="2"/>
  <c r="K247" i="2"/>
  <c r="J248" i="2"/>
  <c r="K248" i="2"/>
  <c r="J249" i="2"/>
  <c r="K249" i="2"/>
  <c r="J250" i="2"/>
  <c r="K250" i="2"/>
  <c r="J251" i="2"/>
  <c r="K251" i="2"/>
  <c r="J252" i="2"/>
  <c r="K252" i="2"/>
  <c r="J253" i="2"/>
  <c r="K253" i="2"/>
  <c r="J254" i="2"/>
  <c r="K254" i="2"/>
  <c r="J255" i="2"/>
  <c r="K255" i="2"/>
  <c r="J256" i="2"/>
  <c r="K256" i="2"/>
  <c r="J257" i="2"/>
  <c r="K257" i="2"/>
  <c r="J258" i="2"/>
  <c r="K258" i="2"/>
  <c r="J259" i="2"/>
  <c r="K259" i="2"/>
  <c r="J260" i="2"/>
  <c r="K260" i="2"/>
  <c r="J261" i="2"/>
  <c r="K261" i="2"/>
  <c r="J262" i="2"/>
  <c r="K262" i="2"/>
  <c r="J263" i="2"/>
  <c r="K263" i="2"/>
  <c r="J264" i="2"/>
  <c r="K264" i="2"/>
  <c r="J265" i="2"/>
  <c r="K265" i="2"/>
  <c r="J266" i="2"/>
  <c r="K266" i="2"/>
  <c r="J267" i="2"/>
  <c r="K267" i="2"/>
  <c r="J268" i="2"/>
  <c r="K268" i="2"/>
  <c r="J269" i="2"/>
  <c r="K269" i="2"/>
  <c r="J270" i="2"/>
  <c r="K270" i="2"/>
  <c r="J271" i="2"/>
  <c r="K271" i="2"/>
  <c r="J272" i="2"/>
  <c r="K272" i="2"/>
  <c r="J273" i="2"/>
  <c r="D228" i="16" s="1"/>
  <c r="K273" i="2"/>
  <c r="E228" i="16" s="1"/>
  <c r="J274" i="2"/>
  <c r="D236" i="16" s="1"/>
  <c r="K274" i="2"/>
  <c r="E236" i="16" s="1"/>
  <c r="J275" i="2"/>
  <c r="K275" i="2"/>
  <c r="J276" i="2"/>
  <c r="K276" i="2"/>
  <c r="J277" i="2"/>
  <c r="K277" i="2"/>
  <c r="J278" i="2"/>
  <c r="K278" i="2"/>
  <c r="J279" i="2"/>
  <c r="K279" i="2"/>
  <c r="J280" i="2"/>
  <c r="K280" i="2"/>
  <c r="J281" i="2"/>
  <c r="D230" i="16" s="1"/>
  <c r="K281" i="2"/>
  <c r="E230" i="16" s="1"/>
  <c r="J282" i="2"/>
  <c r="K282" i="2"/>
  <c r="J283" i="2"/>
  <c r="K283" i="2"/>
  <c r="J284" i="2"/>
  <c r="K284" i="2"/>
  <c r="J285" i="2"/>
  <c r="K285" i="2"/>
  <c r="J286" i="2"/>
  <c r="K286" i="2"/>
  <c r="J287" i="2"/>
  <c r="K287" i="2"/>
  <c r="J288" i="2"/>
  <c r="K288" i="2"/>
  <c r="J289" i="2"/>
  <c r="K289" i="2"/>
  <c r="J290" i="2"/>
  <c r="D231" i="16" s="1"/>
  <c r="K290" i="2"/>
  <c r="E231" i="16" s="1"/>
  <c r="J291" i="2"/>
  <c r="K291" i="2"/>
  <c r="J292" i="2"/>
  <c r="D232" i="16" s="1"/>
  <c r="K292" i="2"/>
  <c r="E232" i="16" s="1"/>
  <c r="J293" i="2"/>
  <c r="K293" i="2"/>
  <c r="J294" i="2"/>
  <c r="D335" i="16" s="1"/>
  <c r="K294" i="2"/>
  <c r="E335" i="16" s="1"/>
  <c r="J295" i="2"/>
  <c r="D233" i="16" s="1"/>
  <c r="K295" i="2"/>
  <c r="E233" i="16" s="1"/>
  <c r="J296" i="2"/>
  <c r="K296" i="2"/>
  <c r="J297" i="2"/>
  <c r="D155" i="16" s="1"/>
  <c r="K297" i="2"/>
  <c r="E155" i="16" s="1"/>
  <c r="J298" i="2"/>
  <c r="K298" i="2"/>
  <c r="J299" i="2"/>
  <c r="D235" i="16" s="1"/>
  <c r="K299" i="2"/>
  <c r="E235" i="16" s="1"/>
  <c r="J300" i="2"/>
  <c r="K300" i="2"/>
  <c r="J301" i="2"/>
  <c r="K301" i="2"/>
  <c r="J302" i="2"/>
  <c r="K302" i="2"/>
  <c r="J303" i="2"/>
  <c r="K303" i="2"/>
  <c r="J304" i="2"/>
  <c r="D256" i="16" s="1"/>
  <c r="K304" i="2"/>
  <c r="E256" i="16" s="1"/>
  <c r="J305" i="2"/>
  <c r="K305" i="2"/>
  <c r="J307" i="2"/>
  <c r="K307" i="2"/>
  <c r="J309" i="2"/>
  <c r="K309" i="2"/>
  <c r="J311" i="2"/>
  <c r="D341" i="16" s="1"/>
  <c r="K311" i="2"/>
  <c r="E341" i="16" s="1"/>
  <c r="J313" i="2"/>
  <c r="K313" i="2"/>
  <c r="J314" i="2"/>
  <c r="K314" i="2"/>
  <c r="J315" i="2"/>
  <c r="D237" i="16" s="1"/>
  <c r="K315" i="2"/>
  <c r="E237" i="16" s="1"/>
  <c r="J316" i="2"/>
  <c r="D269" i="16" s="1"/>
  <c r="K316" i="2"/>
  <c r="E269" i="16" s="1"/>
  <c r="J317" i="2"/>
  <c r="D434" i="16" s="1"/>
  <c r="K317" i="2"/>
  <c r="E434" i="16" s="1"/>
  <c r="J318" i="2"/>
  <c r="D385" i="16" s="1"/>
  <c r="K318" i="2"/>
  <c r="E385" i="16" s="1"/>
  <c r="J319" i="2"/>
  <c r="D238" i="16" s="1"/>
  <c r="K319" i="2"/>
  <c r="E238" i="16" s="1"/>
  <c r="J320" i="2"/>
  <c r="D239" i="16" s="1"/>
  <c r="K320" i="2"/>
  <c r="E239" i="16" s="1"/>
  <c r="J321" i="2"/>
  <c r="D240" i="16" s="1"/>
  <c r="K321" i="2"/>
  <c r="E240" i="16" s="1"/>
  <c r="J322" i="2"/>
  <c r="D241" i="16" s="1"/>
  <c r="K322" i="2"/>
  <c r="E241" i="16" s="1"/>
  <c r="J323" i="2"/>
  <c r="D242" i="16" s="1"/>
  <c r="K323" i="2"/>
  <c r="E242" i="16" s="1"/>
  <c r="J324" i="2"/>
  <c r="D243" i="16" s="1"/>
  <c r="K324" i="2"/>
  <c r="E243" i="16" s="1"/>
  <c r="J325" i="2"/>
  <c r="K325" i="2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D244" i="16" s="1"/>
  <c r="K335" i="2"/>
  <c r="E244" i="16" s="1"/>
  <c r="J336" i="2"/>
  <c r="D245" i="16" s="1"/>
  <c r="K336" i="2"/>
  <c r="E245" i="16" s="1"/>
  <c r="J337" i="2"/>
  <c r="K337" i="2"/>
  <c r="J338" i="2"/>
  <c r="D246" i="16" s="1"/>
  <c r="K338" i="2"/>
  <c r="E246" i="16" s="1"/>
  <c r="J339" i="2"/>
  <c r="K339" i="2"/>
  <c r="J340" i="2"/>
  <c r="K340" i="2"/>
  <c r="J341" i="2"/>
  <c r="K341" i="2"/>
  <c r="J342" i="2"/>
  <c r="K342" i="2"/>
  <c r="J343" i="2"/>
  <c r="K343" i="2"/>
  <c r="J344" i="2"/>
  <c r="K344" i="2"/>
  <c r="J345" i="2"/>
  <c r="K345" i="2"/>
  <c r="J346" i="2"/>
  <c r="K346" i="2"/>
  <c r="J347" i="2"/>
  <c r="K347" i="2"/>
  <c r="J348" i="2"/>
  <c r="K348" i="2"/>
  <c r="J349" i="2"/>
  <c r="D248" i="16" s="1"/>
  <c r="K349" i="2"/>
  <c r="E248" i="16" s="1"/>
  <c r="J350" i="2"/>
  <c r="K350" i="2"/>
  <c r="J351" i="2"/>
  <c r="D249" i="16" s="1"/>
  <c r="K351" i="2"/>
  <c r="E249" i="16" s="1"/>
  <c r="J352" i="2"/>
  <c r="D250" i="16" s="1"/>
  <c r="K352" i="2"/>
  <c r="E250" i="16" s="1"/>
  <c r="J353" i="2"/>
  <c r="D251" i="16" s="1"/>
  <c r="K353" i="2"/>
  <c r="E251" i="16" s="1"/>
  <c r="J354" i="2"/>
  <c r="D342" i="16" s="1"/>
  <c r="K354" i="2"/>
  <c r="E342" i="16" s="1"/>
  <c r="J355" i="2"/>
  <c r="D253" i="16" s="1"/>
  <c r="K355" i="2"/>
  <c r="E253" i="16" s="1"/>
  <c r="J356" i="2"/>
  <c r="D252" i="16" s="1"/>
  <c r="K356" i="2"/>
  <c r="E252" i="16" s="1"/>
  <c r="J357" i="2"/>
  <c r="K357" i="2"/>
  <c r="J358" i="2"/>
  <c r="K358" i="2"/>
  <c r="J359" i="2"/>
  <c r="D254" i="16" s="1"/>
  <c r="K359" i="2"/>
  <c r="E254" i="16" s="1"/>
  <c r="J360" i="2"/>
  <c r="K360" i="2"/>
  <c r="J361" i="2"/>
  <c r="K361" i="2"/>
  <c r="J362" i="2"/>
  <c r="K362" i="2"/>
  <c r="J363" i="2"/>
  <c r="K363" i="2"/>
  <c r="J364" i="2"/>
  <c r="K364" i="2"/>
  <c r="J365" i="2"/>
  <c r="K365" i="2"/>
  <c r="J366" i="2"/>
  <c r="K366" i="2"/>
  <c r="J367" i="2"/>
  <c r="K367" i="2"/>
  <c r="J368" i="2"/>
  <c r="D255" i="16" s="1"/>
  <c r="K368" i="2"/>
  <c r="E255" i="16" s="1"/>
  <c r="J369" i="2"/>
  <c r="D336" i="16" s="1"/>
  <c r="K369" i="2"/>
  <c r="E336" i="16" s="1"/>
  <c r="J370" i="2"/>
  <c r="D337" i="16" s="1"/>
  <c r="K370" i="2"/>
  <c r="E337" i="16" s="1"/>
  <c r="J371" i="2"/>
  <c r="K371" i="2"/>
  <c r="J372" i="2"/>
  <c r="K372" i="2"/>
  <c r="J373" i="2"/>
  <c r="K373" i="2"/>
  <c r="J374" i="2"/>
  <c r="K374" i="2"/>
  <c r="J375" i="2"/>
  <c r="K375" i="2"/>
  <c r="J376" i="2"/>
  <c r="K376" i="2"/>
  <c r="J377" i="2"/>
  <c r="K377" i="2"/>
  <c r="J378" i="2"/>
  <c r="K378" i="2"/>
  <c r="J379" i="2"/>
  <c r="K379" i="2"/>
  <c r="J380" i="2"/>
  <c r="K380" i="2"/>
  <c r="J381" i="2"/>
  <c r="D272" i="16" s="1"/>
  <c r="K381" i="2"/>
  <c r="E272" i="16" s="1"/>
  <c r="J382" i="2"/>
  <c r="D257" i="16" s="1"/>
  <c r="K382" i="2"/>
  <c r="E257" i="16" s="1"/>
  <c r="J383" i="2"/>
  <c r="D258" i="16" s="1"/>
  <c r="K383" i="2"/>
  <c r="E258" i="16" s="1"/>
  <c r="J384" i="2"/>
  <c r="D259" i="16" s="1"/>
  <c r="K384" i="2"/>
  <c r="E259" i="16" s="1"/>
  <c r="J385" i="2"/>
  <c r="D260" i="16" s="1"/>
  <c r="K385" i="2"/>
  <c r="E260" i="16" s="1"/>
  <c r="J386" i="2"/>
  <c r="D261" i="16" s="1"/>
  <c r="K386" i="2"/>
  <c r="E261" i="16" s="1"/>
  <c r="J387" i="2"/>
  <c r="K387" i="2"/>
  <c r="J388" i="2"/>
  <c r="K388" i="2"/>
  <c r="J389" i="2"/>
  <c r="K389" i="2"/>
  <c r="J390" i="2"/>
  <c r="K390" i="2"/>
  <c r="J391" i="2"/>
  <c r="K391" i="2"/>
  <c r="J392" i="2"/>
  <c r="K392" i="2"/>
  <c r="J393" i="2"/>
  <c r="K393" i="2"/>
  <c r="J394" i="2"/>
  <c r="D262" i="16" s="1"/>
  <c r="K394" i="2"/>
  <c r="E262" i="16" s="1"/>
  <c r="J395" i="2"/>
  <c r="D435" i="16" s="1"/>
  <c r="K395" i="2"/>
  <c r="E435" i="16" s="1"/>
  <c r="J396" i="2"/>
  <c r="K396" i="2"/>
  <c r="J397" i="2"/>
  <c r="K397" i="2"/>
  <c r="J398" i="2"/>
  <c r="K398" i="2"/>
  <c r="J399" i="2"/>
  <c r="K399" i="2"/>
  <c r="J400" i="2"/>
  <c r="K400" i="2"/>
  <c r="J401" i="2"/>
  <c r="K401" i="2"/>
  <c r="J402" i="2"/>
  <c r="K402" i="2"/>
  <c r="J403" i="2"/>
  <c r="K403" i="2"/>
  <c r="J404" i="2"/>
  <c r="K404" i="2"/>
  <c r="J405" i="2"/>
  <c r="K405" i="2"/>
  <c r="J406" i="2"/>
  <c r="K406" i="2"/>
  <c r="J407" i="2"/>
  <c r="K407" i="2"/>
  <c r="J408" i="2"/>
  <c r="K408" i="2"/>
  <c r="J409" i="2"/>
  <c r="K409" i="2"/>
  <c r="J410" i="2"/>
  <c r="K410" i="2"/>
  <c r="J411" i="2"/>
  <c r="K411" i="2"/>
  <c r="J412" i="2"/>
  <c r="K412" i="2"/>
  <c r="J413" i="2"/>
  <c r="K413" i="2"/>
  <c r="J414" i="2"/>
  <c r="D263" i="16" s="1"/>
  <c r="K414" i="2"/>
  <c r="E263" i="16" s="1"/>
  <c r="J415" i="2"/>
  <c r="K415" i="2"/>
  <c r="J416" i="2"/>
  <c r="K416" i="2"/>
  <c r="J417" i="2"/>
  <c r="D264" i="16" s="1"/>
  <c r="K417" i="2"/>
  <c r="E264" i="16" s="1"/>
  <c r="J418" i="2"/>
  <c r="D265" i="16" s="1"/>
  <c r="K418" i="2"/>
  <c r="E265" i="16" s="1"/>
  <c r="J419" i="2"/>
  <c r="D266" i="16" s="1"/>
  <c r="K419" i="2"/>
  <c r="E266" i="16" s="1"/>
  <c r="J420" i="2"/>
  <c r="K420" i="2"/>
  <c r="J421" i="2"/>
  <c r="K421" i="2"/>
  <c r="J422" i="2"/>
  <c r="K422" i="2"/>
  <c r="J423" i="2"/>
  <c r="D267" i="16" s="1"/>
  <c r="K423" i="2"/>
  <c r="E267" i="16" s="1"/>
  <c r="J424" i="2"/>
  <c r="K424" i="2"/>
  <c r="J426" i="2"/>
  <c r="K426" i="2"/>
  <c r="J427" i="2"/>
  <c r="K427" i="2"/>
  <c r="J428" i="2"/>
  <c r="K428" i="2"/>
  <c r="J429" i="2"/>
  <c r="K429" i="2"/>
  <c r="J430" i="2"/>
  <c r="K430" i="2"/>
  <c r="J431" i="2"/>
  <c r="D343" i="16" s="1"/>
  <c r="K431" i="2"/>
  <c r="E343" i="16" s="1"/>
  <c r="J432" i="2"/>
  <c r="D268" i="16" s="1"/>
  <c r="K432" i="2"/>
  <c r="E268" i="16" s="1"/>
  <c r="J433" i="2"/>
  <c r="D296" i="16" s="1"/>
  <c r="K433" i="2"/>
  <c r="E296" i="16" s="1"/>
  <c r="J434" i="2"/>
  <c r="D270" i="16" s="1"/>
  <c r="K434" i="2"/>
  <c r="E270" i="16" s="1"/>
  <c r="J435" i="2"/>
  <c r="K435" i="2"/>
  <c r="J436" i="2"/>
  <c r="K436" i="2"/>
  <c r="J437" i="2"/>
  <c r="D271" i="16" s="1"/>
  <c r="K437" i="2"/>
  <c r="E271" i="16" s="1"/>
  <c r="J438" i="2"/>
  <c r="K438" i="2"/>
  <c r="J439" i="2"/>
  <c r="K439" i="2"/>
  <c r="J440" i="2"/>
  <c r="D301" i="16" s="1"/>
  <c r="K440" i="2"/>
  <c r="E301" i="16" s="1"/>
  <c r="J441" i="2"/>
  <c r="K441" i="2"/>
  <c r="J442" i="2"/>
  <c r="D273" i="16" s="1"/>
  <c r="K442" i="2"/>
  <c r="E273" i="16" s="1"/>
  <c r="J443" i="2"/>
  <c r="D274" i="16" s="1"/>
  <c r="K443" i="2"/>
  <c r="E274" i="16" s="1"/>
  <c r="J444" i="2"/>
  <c r="K444" i="2"/>
  <c r="J445" i="2"/>
  <c r="K445" i="2"/>
  <c r="J446" i="2"/>
  <c r="K446" i="2"/>
  <c r="J447" i="2"/>
  <c r="K447" i="2"/>
  <c r="J448" i="2"/>
  <c r="K448" i="2"/>
  <c r="J449" i="2"/>
  <c r="K449" i="2"/>
  <c r="J450" i="2"/>
  <c r="K450" i="2"/>
  <c r="J451" i="2"/>
  <c r="K451" i="2"/>
  <c r="J452" i="2"/>
  <c r="D275" i="16" s="1"/>
  <c r="K452" i="2"/>
  <c r="E275" i="16" s="1"/>
  <c r="J453" i="2"/>
  <c r="D276" i="16" s="1"/>
  <c r="K453" i="2"/>
  <c r="E276" i="16" s="1"/>
  <c r="J454" i="2"/>
  <c r="D277" i="16" s="1"/>
  <c r="K454" i="2"/>
  <c r="E277" i="16" s="1"/>
  <c r="J455" i="2"/>
  <c r="D278" i="16" s="1"/>
  <c r="K455" i="2"/>
  <c r="E278" i="16" s="1"/>
  <c r="J456" i="2"/>
  <c r="K456" i="2"/>
  <c r="J457" i="2"/>
  <c r="D279" i="16" s="1"/>
  <c r="K457" i="2"/>
  <c r="E279" i="16" s="1"/>
  <c r="J458" i="2"/>
  <c r="K458" i="2"/>
  <c r="J459" i="2"/>
  <c r="K459" i="2"/>
  <c r="J460" i="2"/>
  <c r="K460" i="2"/>
  <c r="J461" i="2"/>
  <c r="K461" i="2"/>
  <c r="J462" i="2"/>
  <c r="D344" i="16" s="1"/>
  <c r="K462" i="2"/>
  <c r="E344" i="16" s="1"/>
  <c r="J463" i="2"/>
  <c r="K463" i="2"/>
  <c r="J464" i="2"/>
  <c r="K464" i="2"/>
  <c r="J465" i="2"/>
  <c r="K465" i="2"/>
  <c r="J466" i="2"/>
  <c r="D280" i="16" s="1"/>
  <c r="K466" i="2"/>
  <c r="E280" i="16" s="1"/>
  <c r="J467" i="2"/>
  <c r="K467" i="2"/>
  <c r="J468" i="2"/>
  <c r="K468" i="2"/>
  <c r="J469" i="2"/>
  <c r="D281" i="16" s="1"/>
  <c r="K469" i="2"/>
  <c r="E281" i="16" s="1"/>
  <c r="J470" i="2"/>
  <c r="D282" i="16" s="1"/>
  <c r="K470" i="2"/>
  <c r="E282" i="16" s="1"/>
  <c r="J471" i="2"/>
  <c r="K471" i="2"/>
  <c r="J472" i="2"/>
  <c r="K472" i="2"/>
  <c r="J473" i="2"/>
  <c r="K473" i="2"/>
  <c r="J474" i="2"/>
  <c r="K474" i="2"/>
  <c r="J475" i="2"/>
  <c r="K475" i="2"/>
  <c r="J476" i="2"/>
  <c r="K476" i="2"/>
  <c r="J477" i="2"/>
  <c r="K477" i="2"/>
  <c r="J478" i="2"/>
  <c r="K478" i="2"/>
  <c r="J479" i="2"/>
  <c r="K479" i="2"/>
  <c r="J480" i="2"/>
  <c r="K480" i="2"/>
  <c r="J481" i="2"/>
  <c r="K481" i="2"/>
  <c r="J482" i="2"/>
  <c r="K482" i="2"/>
  <c r="J483" i="2"/>
  <c r="K483" i="2"/>
  <c r="J484" i="2"/>
  <c r="D283" i="16" s="1"/>
  <c r="K484" i="2"/>
  <c r="E283" i="16" s="1"/>
  <c r="J485" i="2"/>
  <c r="K485" i="2"/>
  <c r="J487" i="2"/>
  <c r="D284" i="16" s="1"/>
  <c r="K487" i="2"/>
  <c r="E284" i="16" s="1"/>
  <c r="J489" i="2"/>
  <c r="K489" i="2"/>
  <c r="J490" i="2"/>
  <c r="K490" i="2"/>
  <c r="J491" i="2"/>
  <c r="K491" i="2"/>
  <c r="J492" i="2"/>
  <c r="K492" i="2"/>
  <c r="J493" i="2"/>
  <c r="K493" i="2"/>
  <c r="J494" i="2"/>
  <c r="D285" i="16" s="1"/>
  <c r="K494" i="2"/>
  <c r="E285" i="16" s="1"/>
  <c r="J495" i="2"/>
  <c r="K495" i="2"/>
  <c r="J496" i="2"/>
  <c r="D286" i="16" s="1"/>
  <c r="K496" i="2"/>
  <c r="E286" i="16" s="1"/>
  <c r="J497" i="2"/>
  <c r="K497" i="2"/>
  <c r="J498" i="2"/>
  <c r="K498" i="2"/>
  <c r="J499" i="2"/>
  <c r="K499" i="2"/>
  <c r="J500" i="2"/>
  <c r="K500" i="2"/>
  <c r="J501" i="2"/>
  <c r="K501" i="2"/>
  <c r="J502" i="2"/>
  <c r="K502" i="2"/>
  <c r="J503" i="2"/>
  <c r="K503" i="2"/>
  <c r="J504" i="2"/>
  <c r="K504" i="2"/>
  <c r="J505" i="2"/>
  <c r="K505" i="2"/>
  <c r="J506" i="2"/>
  <c r="K506" i="2"/>
  <c r="J507" i="2"/>
  <c r="K507" i="2"/>
  <c r="J508" i="2"/>
  <c r="K508" i="2"/>
  <c r="J509" i="2"/>
  <c r="K509" i="2"/>
  <c r="J510" i="2"/>
  <c r="K510" i="2"/>
  <c r="J511" i="2"/>
  <c r="K511" i="2"/>
  <c r="J512" i="2"/>
  <c r="K512" i="2"/>
  <c r="J513" i="2"/>
  <c r="K513" i="2"/>
  <c r="J514" i="2"/>
  <c r="K514" i="2"/>
  <c r="J515" i="2"/>
  <c r="K515" i="2"/>
  <c r="J516" i="2"/>
  <c r="K516" i="2"/>
  <c r="J517" i="2"/>
  <c r="K517" i="2"/>
  <c r="J518" i="2"/>
  <c r="K518" i="2"/>
  <c r="J519" i="2"/>
  <c r="K519" i="2"/>
  <c r="J520" i="2"/>
  <c r="K520" i="2"/>
  <c r="J521" i="2"/>
  <c r="K521" i="2"/>
  <c r="J522" i="2"/>
  <c r="K522" i="2"/>
  <c r="K523" i="2"/>
  <c r="J524" i="2"/>
  <c r="D287" i="16" s="1"/>
  <c r="K524" i="2"/>
  <c r="E287" i="16" s="1"/>
  <c r="J525" i="2"/>
  <c r="D288" i="16" s="1"/>
  <c r="K525" i="2"/>
  <c r="E288" i="16" s="1"/>
  <c r="J526" i="2"/>
  <c r="D289" i="16" s="1"/>
  <c r="K526" i="2"/>
  <c r="E289" i="16" s="1"/>
  <c r="J527" i="2"/>
  <c r="K527" i="2"/>
  <c r="J528" i="2"/>
  <c r="D290" i="16" s="1"/>
  <c r="K528" i="2"/>
  <c r="E290" i="16" s="1"/>
  <c r="J529" i="2"/>
  <c r="K529" i="2"/>
  <c r="J530" i="2"/>
  <c r="D291" i="16" s="1"/>
  <c r="K530" i="2"/>
  <c r="E291" i="16" s="1"/>
  <c r="J531" i="2"/>
  <c r="K531" i="2"/>
  <c r="J532" i="2"/>
  <c r="K532" i="2"/>
  <c r="J533" i="2"/>
  <c r="K533" i="2"/>
  <c r="J534" i="2"/>
  <c r="D292" i="16" s="1"/>
  <c r="K534" i="2"/>
  <c r="E292" i="16" s="1"/>
  <c r="J535" i="2"/>
  <c r="D293" i="16" s="1"/>
  <c r="K535" i="2"/>
  <c r="E293" i="16" s="1"/>
  <c r="J537" i="2"/>
  <c r="D294" i="16" s="1"/>
  <c r="K537" i="2"/>
  <c r="E294" i="16" s="1"/>
  <c r="J538" i="2"/>
  <c r="D295" i="16" s="1"/>
  <c r="K538" i="2"/>
  <c r="E295" i="16" s="1"/>
  <c r="J539" i="2"/>
  <c r="D302" i="16" s="1"/>
  <c r="K539" i="2"/>
  <c r="E302" i="16" s="1"/>
  <c r="J540" i="2"/>
  <c r="D297" i="16" s="1"/>
  <c r="K540" i="2"/>
  <c r="E297" i="16" s="1"/>
  <c r="J541" i="2"/>
  <c r="D298" i="16" s="1"/>
  <c r="K541" i="2"/>
  <c r="E298" i="16" s="1"/>
  <c r="J542" i="2"/>
  <c r="K542" i="2"/>
  <c r="J543" i="2"/>
  <c r="K543" i="2"/>
  <c r="J544" i="2"/>
  <c r="K544" i="2"/>
  <c r="J545" i="2"/>
  <c r="K545" i="2"/>
  <c r="J546" i="2"/>
  <c r="K546" i="2"/>
  <c r="J547" i="2"/>
  <c r="K547" i="2"/>
  <c r="J548" i="2"/>
  <c r="D299" i="16" s="1"/>
  <c r="K548" i="2"/>
  <c r="E299" i="16" s="1"/>
  <c r="J549" i="2"/>
  <c r="K549" i="2"/>
  <c r="J550" i="2"/>
  <c r="K550" i="2"/>
  <c r="J551" i="2"/>
  <c r="K551" i="2"/>
  <c r="J552" i="2"/>
  <c r="D300" i="16" s="1"/>
  <c r="K552" i="2"/>
  <c r="E300" i="16" s="1"/>
  <c r="J553" i="2"/>
  <c r="K553" i="2"/>
  <c r="J554" i="2"/>
  <c r="K554" i="2"/>
  <c r="J555" i="2"/>
  <c r="K555" i="2"/>
  <c r="J556" i="2"/>
  <c r="K556" i="2"/>
  <c r="J557" i="2"/>
  <c r="K557" i="2"/>
  <c r="J558" i="2"/>
  <c r="K558" i="2"/>
  <c r="J559" i="2"/>
  <c r="D307" i="16" s="1"/>
  <c r="K559" i="2"/>
  <c r="E307" i="16" s="1"/>
  <c r="J560" i="2"/>
  <c r="D338" i="16" s="1"/>
  <c r="K560" i="2"/>
  <c r="E338" i="16" s="1"/>
  <c r="J561" i="2"/>
  <c r="D308" i="16" s="1"/>
  <c r="K561" i="2"/>
  <c r="E308" i="16" s="1"/>
  <c r="J562" i="2"/>
  <c r="K562" i="2"/>
  <c r="J563" i="2"/>
  <c r="K563" i="2"/>
  <c r="J564" i="2"/>
  <c r="K564" i="2"/>
  <c r="J565" i="2"/>
  <c r="K565" i="2"/>
  <c r="J566" i="2"/>
  <c r="K566" i="2"/>
  <c r="J567" i="2"/>
  <c r="K567" i="2"/>
  <c r="J568" i="2"/>
  <c r="K568" i="2"/>
  <c r="J569" i="2"/>
  <c r="K569" i="2"/>
  <c r="J570" i="2"/>
  <c r="K570" i="2"/>
  <c r="J571" i="2"/>
  <c r="K571" i="2"/>
  <c r="J572" i="2"/>
  <c r="K572" i="2"/>
  <c r="J573" i="2"/>
  <c r="K573" i="2"/>
  <c r="J574" i="2"/>
  <c r="K574" i="2"/>
  <c r="J575" i="2"/>
  <c r="K575" i="2"/>
  <c r="J576" i="2"/>
  <c r="D303" i="16" s="1"/>
  <c r="K576" i="2"/>
  <c r="E303" i="16" s="1"/>
  <c r="J577" i="2"/>
  <c r="D304" i="16" s="1"/>
  <c r="K577" i="2"/>
  <c r="E304" i="16" s="1"/>
  <c r="J578" i="2"/>
  <c r="K578" i="2"/>
  <c r="J579" i="2"/>
  <c r="K579" i="2"/>
  <c r="J580" i="2"/>
  <c r="K580" i="2"/>
  <c r="J581" i="2"/>
  <c r="K581" i="2"/>
  <c r="J582" i="2"/>
  <c r="K582" i="2"/>
  <c r="J583" i="2"/>
  <c r="K583" i="2"/>
  <c r="J584" i="2"/>
  <c r="K584" i="2"/>
  <c r="J585" i="2"/>
  <c r="K585" i="2"/>
  <c r="J586" i="2"/>
  <c r="K586" i="2"/>
  <c r="J587" i="2"/>
  <c r="D305" i="16" s="1"/>
  <c r="K587" i="2"/>
  <c r="E305" i="16" s="1"/>
  <c r="J588" i="2"/>
  <c r="K588" i="2"/>
  <c r="J589" i="2"/>
  <c r="K589" i="2"/>
  <c r="J590" i="2"/>
  <c r="K590" i="2"/>
  <c r="J591" i="2"/>
  <c r="K591" i="2"/>
  <c r="J592" i="2"/>
  <c r="K592" i="2"/>
  <c r="J593" i="2"/>
  <c r="K593" i="2"/>
  <c r="J594" i="2"/>
  <c r="K594" i="2"/>
  <c r="J595" i="2"/>
  <c r="K595" i="2"/>
  <c r="J596" i="2"/>
  <c r="K596" i="2"/>
  <c r="J597" i="2"/>
  <c r="K597" i="2"/>
  <c r="J598" i="2"/>
  <c r="K598" i="2"/>
  <c r="J599" i="2"/>
  <c r="K599" i="2"/>
  <c r="J600" i="2"/>
  <c r="K600" i="2"/>
  <c r="J601" i="2"/>
  <c r="K601" i="2"/>
  <c r="J602" i="2"/>
  <c r="K602" i="2"/>
  <c r="J603" i="2"/>
  <c r="K603" i="2"/>
  <c r="J604" i="2"/>
  <c r="K604" i="2"/>
  <c r="J605" i="2"/>
  <c r="K605" i="2"/>
  <c r="J606" i="2"/>
  <c r="K606" i="2"/>
  <c r="J607" i="2"/>
  <c r="K607" i="2"/>
  <c r="J608" i="2"/>
  <c r="K608" i="2"/>
  <c r="J609" i="2"/>
  <c r="K609" i="2"/>
  <c r="J610" i="2"/>
  <c r="K610" i="2"/>
  <c r="J611" i="2"/>
  <c r="K611" i="2"/>
  <c r="J612" i="2"/>
  <c r="K612" i="2"/>
  <c r="J613" i="2"/>
  <c r="K613" i="2"/>
  <c r="J614" i="2"/>
  <c r="K614" i="2"/>
  <c r="J615" i="2"/>
  <c r="K615" i="2"/>
  <c r="J616" i="2"/>
  <c r="K616" i="2"/>
  <c r="J617" i="2"/>
  <c r="K617" i="2"/>
  <c r="J618" i="2"/>
  <c r="K618" i="2"/>
  <c r="J619" i="2"/>
  <c r="K619" i="2"/>
  <c r="J620" i="2"/>
  <c r="K620" i="2"/>
  <c r="J621" i="2"/>
  <c r="K621" i="2"/>
  <c r="J622" i="2"/>
  <c r="K622" i="2"/>
  <c r="J623" i="2"/>
  <c r="K623" i="2"/>
  <c r="J624" i="2"/>
  <c r="K624" i="2"/>
  <c r="J625" i="2"/>
  <c r="K625" i="2"/>
  <c r="J626" i="2"/>
  <c r="K626" i="2"/>
  <c r="J627" i="2"/>
  <c r="K627" i="2"/>
  <c r="J628" i="2"/>
  <c r="K628" i="2"/>
  <c r="J629" i="2"/>
  <c r="K629" i="2"/>
  <c r="J630" i="2"/>
  <c r="K630" i="2"/>
  <c r="J631" i="2"/>
  <c r="K631" i="2"/>
  <c r="J632" i="2"/>
  <c r="K632" i="2"/>
  <c r="J633" i="2"/>
  <c r="D309" i="16" s="1"/>
  <c r="K633" i="2"/>
  <c r="E309" i="16" s="1"/>
  <c r="J634" i="2"/>
  <c r="D310" i="16" s="1"/>
  <c r="K634" i="2"/>
  <c r="E310" i="16" s="1"/>
  <c r="J635" i="2"/>
  <c r="K635" i="2"/>
  <c r="J636" i="2"/>
  <c r="D306" i="16" s="1"/>
  <c r="K636" i="2"/>
  <c r="E306" i="16" s="1"/>
  <c r="J637" i="2"/>
  <c r="K637" i="2"/>
  <c r="J638" i="2"/>
  <c r="K638" i="2"/>
  <c r="J639" i="2"/>
  <c r="D329" i="16" s="1"/>
  <c r="K639" i="2"/>
  <c r="E329" i="16" s="1"/>
  <c r="J640" i="2"/>
  <c r="K640" i="2"/>
  <c r="J641" i="2"/>
  <c r="K641" i="2"/>
  <c r="J642" i="2"/>
  <c r="K642" i="2"/>
  <c r="J643" i="2"/>
  <c r="K643" i="2"/>
  <c r="J644" i="2"/>
  <c r="K644" i="2"/>
  <c r="J645" i="2"/>
  <c r="D386" i="16" s="1"/>
  <c r="K645" i="2"/>
  <c r="E386" i="16" s="1"/>
  <c r="J646" i="2"/>
  <c r="D345" i="16" s="1"/>
  <c r="K646" i="2"/>
  <c r="E345" i="16" s="1"/>
  <c r="J647" i="2"/>
  <c r="K647" i="2"/>
  <c r="J648" i="2"/>
  <c r="D311" i="16" s="1"/>
  <c r="K648" i="2"/>
  <c r="E311" i="16" s="1"/>
  <c r="J649" i="2"/>
  <c r="K649" i="2"/>
  <c r="J651" i="2"/>
  <c r="D436" i="16" s="1"/>
  <c r="K651" i="2"/>
  <c r="E436" i="16" s="1"/>
  <c r="J653" i="2"/>
  <c r="K653" i="2"/>
  <c r="J655" i="2"/>
  <c r="K655" i="2"/>
  <c r="J657" i="2"/>
  <c r="D313" i="16" s="1"/>
  <c r="K657" i="2"/>
  <c r="E313" i="16" s="1"/>
  <c r="J659" i="2"/>
  <c r="D312" i="16" s="1"/>
  <c r="K659" i="2"/>
  <c r="E312" i="16" s="1"/>
  <c r="J661" i="2"/>
  <c r="D314" i="16" s="1"/>
  <c r="K661" i="2"/>
  <c r="E314" i="16" s="1"/>
  <c r="J663" i="2"/>
  <c r="K663" i="2"/>
  <c r="J665" i="2"/>
  <c r="D315" i="16" s="1"/>
  <c r="K665" i="2"/>
  <c r="E315" i="16" s="1"/>
  <c r="J667" i="2"/>
  <c r="K667" i="2"/>
  <c r="J669" i="2"/>
  <c r="D316" i="16" s="1"/>
  <c r="K669" i="2"/>
  <c r="E316" i="16" s="1"/>
  <c r="J671" i="2"/>
  <c r="K671" i="2"/>
  <c r="J673" i="2"/>
  <c r="K673" i="2"/>
  <c r="J675" i="2"/>
  <c r="K675" i="2"/>
  <c r="J677" i="2"/>
  <c r="K677" i="2"/>
  <c r="J679" i="2"/>
  <c r="K679" i="2"/>
  <c r="J681" i="2"/>
  <c r="D317" i="16" s="1"/>
  <c r="K681" i="2"/>
  <c r="E317" i="16" s="1"/>
  <c r="J683" i="2"/>
  <c r="D318" i="16" s="1"/>
  <c r="K683" i="2"/>
  <c r="E318" i="16" s="1"/>
  <c r="J685" i="2"/>
  <c r="D346" i="16" s="1"/>
  <c r="K685" i="2"/>
  <c r="E346" i="16" s="1"/>
  <c r="J687" i="2"/>
  <c r="K687" i="2"/>
  <c r="J689" i="2"/>
  <c r="K689" i="2"/>
  <c r="J691" i="2"/>
  <c r="K691" i="2"/>
  <c r="J693" i="2"/>
  <c r="K693" i="2"/>
  <c r="J695" i="2"/>
  <c r="K695" i="2"/>
  <c r="J697" i="2"/>
  <c r="K697" i="2"/>
  <c r="J699" i="2"/>
  <c r="K699" i="2"/>
  <c r="J701" i="2"/>
  <c r="K701" i="2"/>
  <c r="J703" i="2"/>
  <c r="K703" i="2"/>
  <c r="J705" i="2"/>
  <c r="K705" i="2"/>
  <c r="J707" i="2"/>
  <c r="K707" i="2"/>
  <c r="J709" i="2"/>
  <c r="K709" i="2"/>
  <c r="J711" i="2"/>
  <c r="K711" i="2"/>
  <c r="J713" i="2"/>
  <c r="K713" i="2"/>
  <c r="J714" i="2"/>
  <c r="K714" i="2"/>
  <c r="J715" i="2"/>
  <c r="D319" i="16" s="1"/>
  <c r="K715" i="2"/>
  <c r="E319" i="16" s="1"/>
  <c r="J716" i="2"/>
  <c r="K716" i="2"/>
  <c r="J717" i="2"/>
  <c r="K717" i="2"/>
  <c r="J718" i="2"/>
  <c r="K718" i="2"/>
  <c r="J719" i="2"/>
  <c r="K719" i="2"/>
  <c r="J720" i="2"/>
  <c r="K720" i="2"/>
  <c r="J721" i="2"/>
  <c r="K721" i="2"/>
  <c r="J722" i="2"/>
  <c r="K722" i="2"/>
  <c r="J723" i="2"/>
  <c r="K723" i="2"/>
  <c r="J724" i="2"/>
  <c r="K724" i="2"/>
  <c r="J725" i="2"/>
  <c r="K725" i="2"/>
  <c r="J726" i="2"/>
  <c r="K726" i="2"/>
  <c r="J727" i="2"/>
  <c r="K727" i="2"/>
  <c r="J728" i="2"/>
  <c r="K728" i="2"/>
  <c r="J729" i="2"/>
  <c r="K729" i="2"/>
  <c r="J730" i="2"/>
  <c r="K730" i="2"/>
  <c r="J731" i="2"/>
  <c r="K731" i="2"/>
  <c r="J732" i="2"/>
  <c r="K732" i="2"/>
  <c r="J733" i="2"/>
  <c r="K733" i="2"/>
  <c r="J734" i="2"/>
  <c r="K734" i="2"/>
  <c r="J735" i="2"/>
  <c r="K735" i="2"/>
  <c r="J736" i="2"/>
  <c r="K736" i="2"/>
  <c r="J737" i="2"/>
  <c r="K737" i="2"/>
  <c r="J738" i="2"/>
  <c r="K738" i="2"/>
  <c r="J739" i="2"/>
  <c r="K739" i="2"/>
  <c r="J740" i="2"/>
  <c r="K740" i="2"/>
  <c r="J741" i="2"/>
  <c r="K741" i="2"/>
  <c r="J742" i="2"/>
  <c r="K742" i="2"/>
  <c r="J743" i="2"/>
  <c r="K743" i="2"/>
  <c r="J744" i="2"/>
  <c r="K744" i="2"/>
  <c r="J745" i="2"/>
  <c r="K745" i="2"/>
  <c r="J746" i="2"/>
  <c r="K746" i="2"/>
  <c r="J747" i="2"/>
  <c r="K747" i="2"/>
  <c r="J748" i="2"/>
  <c r="K748" i="2"/>
  <c r="J749" i="2"/>
  <c r="K749" i="2"/>
  <c r="J750" i="2"/>
  <c r="K750" i="2"/>
  <c r="J751" i="2"/>
  <c r="K751" i="2"/>
  <c r="J752" i="2"/>
  <c r="K752" i="2"/>
  <c r="J753" i="2"/>
  <c r="K753" i="2"/>
  <c r="J754" i="2"/>
  <c r="K754" i="2"/>
  <c r="J755" i="2"/>
  <c r="K755" i="2"/>
  <c r="J756" i="2"/>
  <c r="K756" i="2"/>
  <c r="J757" i="2"/>
  <c r="K757" i="2"/>
  <c r="J758" i="2"/>
  <c r="K758" i="2"/>
  <c r="J759" i="2"/>
  <c r="K759" i="2"/>
  <c r="J760" i="2"/>
  <c r="K760" i="2"/>
  <c r="J761" i="2"/>
  <c r="K761" i="2"/>
  <c r="J762" i="2"/>
  <c r="K762" i="2"/>
  <c r="J763" i="2"/>
  <c r="K763" i="2"/>
  <c r="J764" i="2"/>
  <c r="D339" i="16" s="1"/>
  <c r="K764" i="2"/>
  <c r="E339" i="16" s="1"/>
  <c r="J765" i="2"/>
  <c r="K765" i="2"/>
  <c r="J766" i="2"/>
  <c r="K766" i="2"/>
  <c r="J767" i="2"/>
  <c r="K767" i="2"/>
  <c r="J768" i="2"/>
  <c r="K768" i="2"/>
  <c r="J769" i="2"/>
  <c r="K769" i="2"/>
  <c r="J770" i="2"/>
  <c r="D340" i="16" s="1"/>
  <c r="K770" i="2"/>
  <c r="E340" i="16" s="1"/>
  <c r="J771" i="2"/>
  <c r="K771" i="2"/>
  <c r="J772" i="2"/>
  <c r="K772" i="2"/>
  <c r="J773" i="2"/>
  <c r="K773" i="2"/>
  <c r="J774" i="2"/>
  <c r="K774" i="2"/>
  <c r="J775" i="2"/>
  <c r="K775" i="2"/>
  <c r="J776" i="2"/>
  <c r="K776" i="2"/>
  <c r="J777" i="2"/>
  <c r="K777" i="2"/>
  <c r="J778" i="2"/>
  <c r="K778" i="2"/>
  <c r="J779" i="2"/>
  <c r="K779" i="2"/>
  <c r="J780" i="2"/>
  <c r="K780" i="2"/>
  <c r="J781" i="2"/>
  <c r="K781" i="2"/>
  <c r="J782" i="2"/>
  <c r="D320" i="16" s="1"/>
  <c r="K782" i="2"/>
  <c r="E320" i="16" s="1"/>
  <c r="J783" i="2"/>
  <c r="D321" i="16" s="1"/>
  <c r="K783" i="2"/>
  <c r="E321" i="16" s="1"/>
  <c r="J784" i="2"/>
  <c r="K784" i="2"/>
  <c r="J785" i="2"/>
  <c r="K785" i="2"/>
  <c r="J786" i="2"/>
  <c r="K786" i="2"/>
  <c r="J787" i="2"/>
  <c r="K787" i="2"/>
  <c r="J788" i="2"/>
  <c r="K788" i="2"/>
  <c r="J789" i="2"/>
  <c r="K789" i="2"/>
  <c r="J790" i="2"/>
  <c r="K790" i="2"/>
  <c r="J791" i="2"/>
  <c r="K791" i="2"/>
  <c r="J792" i="2"/>
  <c r="K792" i="2"/>
  <c r="J793" i="2"/>
  <c r="K793" i="2"/>
  <c r="J794" i="2"/>
  <c r="D322" i="16" s="1"/>
  <c r="K794" i="2"/>
  <c r="E322" i="16" s="1"/>
  <c r="J795" i="2"/>
  <c r="D323" i="16" s="1"/>
  <c r="K795" i="2"/>
  <c r="E323" i="16" s="1"/>
  <c r="J796" i="2"/>
  <c r="K796" i="2"/>
  <c r="J797" i="2"/>
  <c r="D324" i="16" s="1"/>
  <c r="K797" i="2"/>
  <c r="E324" i="16" s="1"/>
  <c r="J798" i="2"/>
  <c r="D347" i="16" s="1"/>
  <c r="K798" i="2"/>
  <c r="E347" i="16" s="1"/>
  <c r="J799" i="2"/>
  <c r="K799" i="2"/>
  <c r="J800" i="2"/>
  <c r="K800" i="2"/>
  <c r="J801" i="2"/>
  <c r="K801" i="2"/>
  <c r="J802" i="2"/>
  <c r="K802" i="2"/>
  <c r="J803" i="2"/>
  <c r="K803" i="2"/>
  <c r="J804" i="2"/>
  <c r="D325" i="16" s="1"/>
  <c r="K804" i="2"/>
  <c r="E325" i="16" s="1"/>
  <c r="J805" i="2"/>
  <c r="K805" i="2"/>
  <c r="J806" i="2"/>
  <c r="K806" i="2"/>
  <c r="J807" i="2"/>
  <c r="D326" i="16" s="1"/>
  <c r="K807" i="2"/>
  <c r="E326" i="16" s="1"/>
  <c r="J808" i="2"/>
  <c r="K808" i="2"/>
  <c r="J809" i="2"/>
  <c r="K809" i="2"/>
  <c r="J810" i="2"/>
  <c r="K810" i="2"/>
  <c r="J811" i="2"/>
  <c r="K811" i="2"/>
  <c r="J812" i="2"/>
  <c r="K812" i="2"/>
  <c r="J813" i="2"/>
  <c r="K813" i="2"/>
  <c r="J814" i="2"/>
  <c r="K814" i="2"/>
  <c r="J815" i="2"/>
  <c r="K815" i="2"/>
  <c r="J816" i="2"/>
  <c r="K816" i="2"/>
  <c r="J817" i="2"/>
  <c r="D348" i="16" s="1"/>
  <c r="K817" i="2"/>
  <c r="E348" i="16" s="1"/>
  <c r="J818" i="2"/>
  <c r="K818" i="2"/>
  <c r="J819" i="2"/>
  <c r="K819" i="2"/>
  <c r="J820" i="2"/>
  <c r="D327" i="16" s="1"/>
  <c r="K820" i="2"/>
  <c r="E327" i="16" s="1"/>
  <c r="J821" i="2"/>
  <c r="D328" i="16" s="1"/>
  <c r="K821" i="2"/>
  <c r="E328" i="16" s="1"/>
  <c r="J822" i="2"/>
  <c r="D388" i="16" s="1"/>
  <c r="K822" i="2"/>
  <c r="E388" i="16" s="1"/>
  <c r="J823" i="2"/>
  <c r="K823" i="2"/>
  <c r="J824" i="2"/>
  <c r="D330" i="16" s="1"/>
  <c r="K824" i="2"/>
  <c r="E330" i="16" s="1"/>
  <c r="J825" i="2"/>
  <c r="K825" i="2"/>
  <c r="J826" i="2"/>
  <c r="K826" i="2"/>
  <c r="J827" i="2"/>
  <c r="K827" i="2"/>
  <c r="J828" i="2"/>
  <c r="D331" i="16" s="1"/>
  <c r="K828" i="2"/>
  <c r="E331" i="16" s="1"/>
  <c r="J829" i="2"/>
  <c r="K829" i="2"/>
  <c r="J830" i="2"/>
  <c r="K830" i="2"/>
  <c r="J831" i="2"/>
  <c r="K831" i="2"/>
  <c r="J832" i="2"/>
  <c r="K832" i="2"/>
  <c r="J833" i="2"/>
  <c r="K833" i="2"/>
  <c r="J834" i="2"/>
  <c r="D349" i="16" s="1"/>
  <c r="K834" i="2"/>
  <c r="E349" i="16" s="1"/>
  <c r="J835" i="2"/>
  <c r="K835" i="2"/>
  <c r="H7" i="20"/>
  <c r="J836" i="2"/>
  <c r="K836" i="2"/>
  <c r="J837" i="2"/>
  <c r="K837" i="2"/>
  <c r="J838" i="2"/>
  <c r="K838" i="2"/>
  <c r="J839" i="2"/>
  <c r="K839" i="2"/>
  <c r="J840" i="2"/>
  <c r="K840" i="2"/>
  <c r="J841" i="2"/>
  <c r="D376" i="16" s="1"/>
  <c r="K841" i="2"/>
  <c r="E376" i="16" s="1"/>
  <c r="J842" i="2"/>
  <c r="D350" i="16" s="1"/>
  <c r="K842" i="2"/>
  <c r="E350" i="16" s="1"/>
  <c r="J843" i="2"/>
  <c r="K843" i="2"/>
  <c r="J845" i="2"/>
  <c r="K845" i="2"/>
  <c r="J848" i="2"/>
  <c r="D351" i="16" s="1"/>
  <c r="K848" i="2"/>
  <c r="E351" i="16" s="1"/>
  <c r="J850" i="2"/>
  <c r="K850" i="2"/>
  <c r="J852" i="2"/>
  <c r="K852" i="2"/>
  <c r="J853" i="2"/>
  <c r="K853" i="2"/>
  <c r="J854" i="2"/>
  <c r="K854" i="2"/>
  <c r="J855" i="2"/>
  <c r="K855" i="2"/>
  <c r="J856" i="2"/>
  <c r="K856" i="2"/>
  <c r="J857" i="2"/>
  <c r="K857" i="2"/>
  <c r="J858" i="2"/>
  <c r="K858" i="2"/>
  <c r="J859" i="2"/>
  <c r="K859" i="2"/>
  <c r="J860" i="2"/>
  <c r="K860" i="2"/>
  <c r="J861" i="2"/>
  <c r="K861" i="2"/>
  <c r="J862" i="2"/>
  <c r="K862" i="2"/>
  <c r="J863" i="2"/>
  <c r="K863" i="2"/>
  <c r="J864" i="2"/>
  <c r="D377" i="16" s="1"/>
  <c r="K864" i="2"/>
  <c r="E377" i="16" s="1"/>
  <c r="J865" i="2"/>
  <c r="D387" i="16" s="1"/>
  <c r="K865" i="2"/>
  <c r="E387" i="16" s="1"/>
  <c r="J866" i="2"/>
  <c r="D437" i="16" s="1"/>
  <c r="K866" i="2"/>
  <c r="E437" i="16" s="1"/>
  <c r="J867" i="2"/>
  <c r="D352" i="16" s="1"/>
  <c r="K867" i="2"/>
  <c r="E352" i="16" s="1"/>
  <c r="J868" i="2"/>
  <c r="K868" i="2"/>
  <c r="J869" i="2"/>
  <c r="K869" i="2"/>
  <c r="J870" i="2"/>
  <c r="K870" i="2"/>
  <c r="J871" i="2"/>
  <c r="D378" i="16" s="1"/>
  <c r="K871" i="2"/>
  <c r="E378" i="16" s="1"/>
  <c r="J874" i="2"/>
  <c r="D353" i="16" s="1"/>
  <c r="K874" i="2"/>
  <c r="E353" i="16" s="1"/>
  <c r="J875" i="2"/>
  <c r="K875" i="2"/>
  <c r="J876" i="2"/>
  <c r="K876" i="2"/>
  <c r="J877" i="2"/>
  <c r="K877" i="2"/>
  <c r="J878" i="2"/>
  <c r="K878" i="2"/>
  <c r="J879" i="2"/>
  <c r="D354" i="16" s="1"/>
  <c r="K879" i="2"/>
  <c r="E354" i="16" s="1"/>
  <c r="J881" i="2"/>
  <c r="K881" i="2"/>
  <c r="J882" i="2"/>
  <c r="D355" i="16" s="1"/>
  <c r="K882" i="2"/>
  <c r="E355" i="16" s="1"/>
  <c r="J884" i="2"/>
  <c r="D356" i="16" s="1"/>
  <c r="K884" i="2"/>
  <c r="E356" i="16" s="1"/>
  <c r="J887" i="2"/>
  <c r="D357" i="16" s="1"/>
  <c r="K887" i="2"/>
  <c r="E357" i="16" s="1"/>
  <c r="J888" i="2"/>
  <c r="D358" i="16" s="1"/>
  <c r="K888" i="2"/>
  <c r="E358" i="16" s="1"/>
  <c r="J891" i="2"/>
  <c r="D359" i="16" s="1"/>
  <c r="K891" i="2"/>
  <c r="E359" i="16" s="1"/>
  <c r="J893" i="2"/>
  <c r="D360" i="16" s="1"/>
  <c r="K893" i="2"/>
  <c r="E360" i="16" s="1"/>
  <c r="J895" i="2"/>
  <c r="K895" i="2"/>
  <c r="J897" i="2"/>
  <c r="K897" i="2"/>
  <c r="J899" i="2"/>
  <c r="K899" i="2"/>
  <c r="J901" i="2"/>
  <c r="D149" i="16" s="1"/>
  <c r="K901" i="2"/>
  <c r="E149" i="16" s="1"/>
  <c r="J903" i="2"/>
  <c r="D150" i="16" s="1"/>
  <c r="K903" i="2"/>
  <c r="E150" i="16" s="1"/>
  <c r="J905" i="2"/>
  <c r="K905" i="2"/>
  <c r="J907" i="2"/>
  <c r="K907" i="2"/>
  <c r="J909" i="2"/>
  <c r="K909" i="2"/>
  <c r="J911" i="2"/>
  <c r="K911" i="2"/>
  <c r="J913" i="2"/>
  <c r="K913" i="2"/>
  <c r="J915" i="2"/>
  <c r="K915" i="2"/>
  <c r="J917" i="2"/>
  <c r="K917" i="2"/>
  <c r="C12" i="16"/>
  <c r="D12" i="16"/>
  <c r="E12" i="16"/>
  <c r="F12" i="16"/>
  <c r="H12" i="16"/>
  <c r="I12" i="16"/>
  <c r="J12" i="16"/>
  <c r="K12" i="16"/>
  <c r="W11" i="20"/>
  <c r="W10" i="20"/>
  <c r="W9" i="20"/>
  <c r="W8" i="20"/>
  <c r="W7" i="20"/>
  <c r="W6" i="20"/>
  <c r="W5" i="20"/>
  <c r="W4" i="20"/>
  <c r="W3" i="20"/>
  <c r="T11" i="20"/>
  <c r="R11" i="20"/>
  <c r="Q11" i="20"/>
  <c r="O11" i="20"/>
  <c r="N11" i="20"/>
  <c r="U10" i="20"/>
  <c r="T10" i="20"/>
  <c r="S10" i="20"/>
  <c r="R10" i="20"/>
  <c r="Q10" i="20"/>
  <c r="P10" i="20"/>
  <c r="O10" i="20"/>
  <c r="N10" i="20"/>
  <c r="U9" i="20"/>
  <c r="T9" i="20"/>
  <c r="S9" i="20"/>
  <c r="R9" i="20"/>
  <c r="Q9" i="20"/>
  <c r="P9" i="20"/>
  <c r="O9" i="20"/>
  <c r="N9" i="20"/>
  <c r="U8" i="20"/>
  <c r="T8" i="20"/>
  <c r="S8" i="20"/>
  <c r="R8" i="20"/>
  <c r="Q8" i="20"/>
  <c r="P8" i="20"/>
  <c r="O8" i="20"/>
  <c r="N8" i="20"/>
  <c r="S7" i="20"/>
  <c r="R7" i="20"/>
  <c r="Q7" i="20"/>
  <c r="P7" i="20"/>
  <c r="O7" i="20"/>
  <c r="N7" i="20"/>
  <c r="S6" i="20"/>
  <c r="R6" i="20"/>
  <c r="Q6" i="20"/>
  <c r="O6" i="20"/>
  <c r="U5" i="20"/>
  <c r="T5" i="20"/>
  <c r="S5" i="20"/>
  <c r="R5" i="20"/>
  <c r="Q5" i="20"/>
  <c r="P5" i="20"/>
  <c r="O5" i="20"/>
  <c r="N5" i="20"/>
  <c r="U4" i="20"/>
  <c r="T4" i="20"/>
  <c r="R4" i="20"/>
  <c r="Q4" i="20"/>
  <c r="P4" i="20"/>
  <c r="O4" i="20"/>
  <c r="N4" i="20"/>
  <c r="U3" i="20"/>
  <c r="T3" i="20"/>
  <c r="S3" i="20"/>
  <c r="R3" i="20"/>
  <c r="Q3" i="20"/>
  <c r="P3" i="20"/>
  <c r="O3" i="20"/>
  <c r="N3" i="20"/>
  <c r="K11" i="20"/>
  <c r="K10" i="20"/>
  <c r="K9" i="20"/>
  <c r="K8" i="20"/>
  <c r="K7" i="20"/>
  <c r="K6" i="20"/>
  <c r="K5" i="20"/>
  <c r="K4" i="20"/>
  <c r="K3" i="20"/>
  <c r="H11" i="20"/>
  <c r="F11" i="20"/>
  <c r="E11" i="20"/>
  <c r="C11" i="20"/>
  <c r="B11" i="20"/>
  <c r="I10" i="20"/>
  <c r="H10" i="20"/>
  <c r="G10" i="20"/>
  <c r="F10" i="20"/>
  <c r="E10" i="20"/>
  <c r="D10" i="20"/>
  <c r="C10" i="20"/>
  <c r="B10" i="20"/>
  <c r="I9" i="20"/>
  <c r="H9" i="20"/>
  <c r="G9" i="20"/>
  <c r="F9" i="20"/>
  <c r="E9" i="20"/>
  <c r="D9" i="20"/>
  <c r="C9" i="20"/>
  <c r="B9" i="20"/>
  <c r="I8" i="20"/>
  <c r="H8" i="20"/>
  <c r="G8" i="20"/>
  <c r="F8" i="20"/>
  <c r="E8" i="20"/>
  <c r="D8" i="20"/>
  <c r="C8" i="20"/>
  <c r="B8" i="20"/>
  <c r="G7" i="20"/>
  <c r="F7" i="20"/>
  <c r="E7" i="20"/>
  <c r="D7" i="20"/>
  <c r="C7" i="20"/>
  <c r="B7" i="20"/>
  <c r="G6" i="20"/>
  <c r="F6" i="20"/>
  <c r="E6" i="20"/>
  <c r="C6" i="20"/>
  <c r="I5" i="20"/>
  <c r="H5" i="20"/>
  <c r="G5" i="20"/>
  <c r="F5" i="20"/>
  <c r="E5" i="20"/>
  <c r="D5" i="20"/>
  <c r="C5" i="20"/>
  <c r="B5" i="20"/>
  <c r="I4" i="20"/>
  <c r="H4" i="20"/>
  <c r="F4" i="20"/>
  <c r="E4" i="20"/>
  <c r="D4" i="20"/>
  <c r="C4" i="20"/>
  <c r="B4" i="20"/>
  <c r="I3" i="20"/>
  <c r="G3" i="20"/>
  <c r="F3" i="20"/>
  <c r="E3" i="20"/>
  <c r="D3" i="20"/>
  <c r="C3" i="20"/>
  <c r="B3" i="20"/>
  <c r="T67" i="11"/>
  <c r="T65" i="11"/>
  <c r="T64" i="11"/>
  <c r="T63" i="11"/>
  <c r="T62" i="11"/>
  <c r="T61" i="11"/>
  <c r="T60" i="11"/>
  <c r="T59" i="11"/>
  <c r="T58" i="11"/>
  <c r="T57" i="11"/>
  <c r="T56" i="11"/>
  <c r="T55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39" i="11"/>
  <c r="T38" i="11"/>
  <c r="T7" i="11"/>
  <c r="T16" i="11" s="1"/>
  <c r="H67" i="11"/>
  <c r="H65" i="11"/>
  <c r="H64" i="11"/>
  <c r="H63" i="11"/>
  <c r="H62" i="11"/>
  <c r="H61" i="11"/>
  <c r="H60" i="11"/>
  <c r="H59" i="11"/>
  <c r="H58" i="11"/>
  <c r="H57" i="11"/>
  <c r="H55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39" i="11"/>
  <c r="H38" i="11"/>
  <c r="H7" i="11"/>
  <c r="O917" i="2"/>
  <c r="P917" i="2"/>
  <c r="Q917" i="2"/>
  <c r="Q915" i="2"/>
  <c r="S36" i="11" s="1"/>
  <c r="P915" i="2"/>
  <c r="O915" i="2"/>
  <c r="C67" i="11"/>
  <c r="D67" i="11"/>
  <c r="E67" i="11"/>
  <c r="F67" i="11"/>
  <c r="G67" i="11"/>
  <c r="K67" i="11"/>
  <c r="N67" i="11"/>
  <c r="O67" i="11"/>
  <c r="P67" i="11"/>
  <c r="Q67" i="11"/>
  <c r="R67" i="11"/>
  <c r="S67" i="11"/>
  <c r="W67" i="11"/>
  <c r="Q913" i="2"/>
  <c r="T66" i="11" s="1"/>
  <c r="P913" i="2"/>
  <c r="O913" i="2"/>
  <c r="Q911" i="2"/>
  <c r="P911" i="2"/>
  <c r="O911" i="2"/>
  <c r="Q909" i="2"/>
  <c r="U67" i="11" s="1"/>
  <c r="P909" i="2"/>
  <c r="O909" i="2"/>
  <c r="F14" i="15"/>
  <c r="J30" i="15"/>
  <c r="J13" i="15"/>
  <c r="J31" i="15"/>
  <c r="J8" i="15"/>
  <c r="J14" i="15"/>
  <c r="J25" i="15"/>
  <c r="F31" i="15"/>
  <c r="K3" i="2" l="1"/>
  <c r="J3" i="2"/>
  <c r="I3" i="2"/>
  <c r="E11" i="11"/>
  <c r="E9" i="11" s="1"/>
  <c r="L3" i="2"/>
  <c r="G9" i="1"/>
  <c r="J22" i="11"/>
  <c r="L22" i="11" s="1"/>
  <c r="H20" i="11"/>
  <c r="H56" i="11"/>
  <c r="K2" i="2"/>
  <c r="J2" i="2"/>
  <c r="G14" i="11"/>
  <c r="J14" i="11" s="1"/>
  <c r="L14" i="11" s="1"/>
  <c r="I12" i="11"/>
  <c r="I10" i="11"/>
  <c r="U9" i="11"/>
  <c r="D50" i="11"/>
  <c r="T31" i="11"/>
  <c r="T32" i="11" s="1"/>
  <c r="V36" i="11"/>
  <c r="G25" i="11"/>
  <c r="J25" i="11" s="1"/>
  <c r="L25" i="11" s="1"/>
  <c r="J21" i="11"/>
  <c r="L21" i="11" s="1"/>
  <c r="D20" i="11"/>
  <c r="J23" i="11"/>
  <c r="G11" i="11"/>
  <c r="G50" i="11"/>
  <c r="D12" i="11"/>
  <c r="D13" i="11"/>
  <c r="J13" i="11" s="1"/>
  <c r="L13" i="11" s="1"/>
  <c r="B12" i="11"/>
  <c r="B9" i="11" s="1"/>
  <c r="O14" i="11" s="1"/>
  <c r="D10" i="11"/>
  <c r="B60" i="11"/>
  <c r="B7" i="11"/>
  <c r="J36" i="11"/>
  <c r="H54" i="11"/>
  <c r="J67" i="11"/>
  <c r="L67" i="11" s="1"/>
  <c r="H6" i="20"/>
  <c r="H12" i="20" s="1"/>
  <c r="H40" i="11" s="1"/>
  <c r="V5" i="20"/>
  <c r="X5" i="20" s="1"/>
  <c r="Q12" i="20"/>
  <c r="Q40" i="11" s="1"/>
  <c r="V3" i="20"/>
  <c r="X3" i="20" s="1"/>
  <c r="R12" i="20"/>
  <c r="R40" i="11" s="1"/>
  <c r="V9" i="20"/>
  <c r="X9" i="20" s="1"/>
  <c r="V10" i="20"/>
  <c r="X10" i="20" s="1"/>
  <c r="O12" i="20"/>
  <c r="O40" i="11" s="1"/>
  <c r="W12" i="20"/>
  <c r="W40" i="11" s="1"/>
  <c r="V8" i="20"/>
  <c r="X8" i="20" s="1"/>
  <c r="E12" i="20"/>
  <c r="E40" i="11" s="1"/>
  <c r="F12" i="20"/>
  <c r="F40" i="11" s="1"/>
  <c r="K12" i="20"/>
  <c r="C12" i="20"/>
  <c r="C40" i="11" s="1"/>
  <c r="T17" i="11"/>
  <c r="V67" i="11"/>
  <c r="I9" i="11" l="1"/>
  <c r="X67" i="11"/>
  <c r="Y67" i="11" s="1"/>
  <c r="X36" i="11"/>
  <c r="Y36" i="11" s="1"/>
  <c r="G20" i="11"/>
  <c r="J20" i="11" s="1"/>
  <c r="J10" i="11"/>
  <c r="L10" i="11" s="1"/>
  <c r="D9" i="11"/>
  <c r="S14" i="11" s="1"/>
  <c r="J11" i="11"/>
  <c r="L11" i="11" s="1"/>
  <c r="G9" i="11"/>
  <c r="J12" i="11"/>
  <c r="L12" i="11" s="1"/>
  <c r="H69" i="11"/>
  <c r="H75" i="11" s="1"/>
  <c r="L36" i="11"/>
  <c r="Q907" i="2"/>
  <c r="U44" i="11" s="1"/>
  <c r="P907" i="2"/>
  <c r="O907" i="2"/>
  <c r="Q905" i="2"/>
  <c r="P905" i="2"/>
  <c r="O905" i="2"/>
  <c r="A15" i="17"/>
  <c r="Q903" i="2"/>
  <c r="K150" i="16" s="1"/>
  <c r="P903" i="2"/>
  <c r="J150" i="16" s="1"/>
  <c r="O903" i="2"/>
  <c r="I150" i="16" s="1"/>
  <c r="Q901" i="2"/>
  <c r="K149" i="16" s="1"/>
  <c r="P901" i="2"/>
  <c r="J149" i="16" s="1"/>
  <c r="O901" i="2"/>
  <c r="I149" i="16" s="1"/>
  <c r="Q899" i="2"/>
  <c r="P899" i="2"/>
  <c r="O899" i="2"/>
  <c r="Q897" i="2"/>
  <c r="U53" i="11" s="1"/>
  <c r="P897" i="2"/>
  <c r="O897" i="2"/>
  <c r="Q895" i="2"/>
  <c r="P895" i="2"/>
  <c r="O895" i="2"/>
  <c r="Q893" i="2"/>
  <c r="K360" i="16" s="1"/>
  <c r="P893" i="2"/>
  <c r="J360" i="16" s="1"/>
  <c r="O893" i="2"/>
  <c r="I360" i="16" s="1"/>
  <c r="Q891" i="2"/>
  <c r="K359" i="16" s="1"/>
  <c r="P891" i="2"/>
  <c r="J359" i="16" s="1"/>
  <c r="O891" i="2"/>
  <c r="I359" i="16" s="1"/>
  <c r="Q888" i="2"/>
  <c r="K358" i="16" s="1"/>
  <c r="P888" i="2"/>
  <c r="J358" i="16" s="1"/>
  <c r="O888" i="2"/>
  <c r="I358" i="16" s="1"/>
  <c r="Q887" i="2"/>
  <c r="K357" i="16" s="1"/>
  <c r="P887" i="2"/>
  <c r="J357" i="16" s="1"/>
  <c r="O887" i="2"/>
  <c r="I357" i="16" s="1"/>
  <c r="Q884" i="2"/>
  <c r="K356" i="16" s="1"/>
  <c r="P884" i="2"/>
  <c r="J356" i="16" s="1"/>
  <c r="O884" i="2"/>
  <c r="I356" i="16" s="1"/>
  <c r="Q882" i="2"/>
  <c r="K355" i="16" s="1"/>
  <c r="P882" i="2"/>
  <c r="J355" i="16" s="1"/>
  <c r="O882" i="2"/>
  <c r="I355" i="16" s="1"/>
  <c r="Q881" i="2"/>
  <c r="P881" i="2"/>
  <c r="O881" i="2"/>
  <c r="Q879" i="2"/>
  <c r="K354" i="16" s="1"/>
  <c r="P879" i="2"/>
  <c r="J354" i="16" s="1"/>
  <c r="O879" i="2"/>
  <c r="I354" i="16" s="1"/>
  <c r="Q878" i="2"/>
  <c r="P878" i="2"/>
  <c r="O878" i="2"/>
  <c r="Q877" i="2"/>
  <c r="P877" i="2"/>
  <c r="O877" i="2"/>
  <c r="Q876" i="2"/>
  <c r="P876" i="2"/>
  <c r="O876" i="2"/>
  <c r="Q875" i="2"/>
  <c r="U59" i="11" s="1"/>
  <c r="P875" i="2"/>
  <c r="O875" i="2"/>
  <c r="Q874" i="2"/>
  <c r="K353" i="16" s="1"/>
  <c r="P874" i="2"/>
  <c r="J353" i="16" s="1"/>
  <c r="O874" i="2"/>
  <c r="I353" i="16" s="1"/>
  <c r="Q871" i="2"/>
  <c r="K378" i="16" s="1"/>
  <c r="P871" i="2"/>
  <c r="J378" i="16" s="1"/>
  <c r="O871" i="2"/>
  <c r="I378" i="16" s="1"/>
  <c r="Q870" i="2"/>
  <c r="U64" i="11" s="1"/>
  <c r="P870" i="2"/>
  <c r="O870" i="2"/>
  <c r="Q869" i="2"/>
  <c r="P869" i="2"/>
  <c r="O869" i="2"/>
  <c r="Q868" i="2"/>
  <c r="P868" i="2"/>
  <c r="O868" i="2"/>
  <c r="Q867" i="2"/>
  <c r="K352" i="16" s="1"/>
  <c r="P867" i="2"/>
  <c r="J352" i="16" s="1"/>
  <c r="O867" i="2"/>
  <c r="I352" i="16" s="1"/>
  <c r="Q866" i="2"/>
  <c r="K437" i="16" s="1"/>
  <c r="P866" i="2"/>
  <c r="J437" i="16" s="1"/>
  <c r="O866" i="2"/>
  <c r="I437" i="16" s="1"/>
  <c r="Q865" i="2"/>
  <c r="K387" i="16" s="1"/>
  <c r="P865" i="2"/>
  <c r="J387" i="16" s="1"/>
  <c r="O865" i="2"/>
  <c r="I387" i="16" s="1"/>
  <c r="Q864" i="2"/>
  <c r="K377" i="16" s="1"/>
  <c r="P864" i="2"/>
  <c r="J377" i="16" s="1"/>
  <c r="O864" i="2"/>
  <c r="I377" i="16" s="1"/>
  <c r="Q863" i="2"/>
  <c r="P863" i="2"/>
  <c r="O863" i="2"/>
  <c r="Q862" i="2"/>
  <c r="P862" i="2"/>
  <c r="O862" i="2"/>
  <c r="Q861" i="2"/>
  <c r="P861" i="2"/>
  <c r="O861" i="2"/>
  <c r="Q860" i="2"/>
  <c r="P860" i="2"/>
  <c r="O860" i="2"/>
  <c r="Q859" i="2"/>
  <c r="P859" i="2"/>
  <c r="O859" i="2"/>
  <c r="Q858" i="2"/>
  <c r="P858" i="2"/>
  <c r="O858" i="2"/>
  <c r="Q857" i="2"/>
  <c r="P857" i="2"/>
  <c r="O857" i="2"/>
  <c r="Q856" i="2"/>
  <c r="P856" i="2"/>
  <c r="O856" i="2"/>
  <c r="Q855" i="2"/>
  <c r="P855" i="2"/>
  <c r="O855" i="2"/>
  <c r="Q854" i="2"/>
  <c r="P854" i="2"/>
  <c r="O854" i="2"/>
  <c r="Q853" i="2"/>
  <c r="P853" i="2"/>
  <c r="O853" i="2"/>
  <c r="Q852" i="2"/>
  <c r="P852" i="2"/>
  <c r="O852" i="2"/>
  <c r="Q850" i="2"/>
  <c r="P850" i="2"/>
  <c r="O850" i="2"/>
  <c r="Q848" i="2"/>
  <c r="K351" i="16" s="1"/>
  <c r="P848" i="2"/>
  <c r="J351" i="16" s="1"/>
  <c r="O848" i="2"/>
  <c r="I351" i="16" s="1"/>
  <c r="Q845" i="2"/>
  <c r="P845" i="2"/>
  <c r="O845" i="2"/>
  <c r="Q843" i="2"/>
  <c r="P843" i="2"/>
  <c r="O843" i="2"/>
  <c r="Q842" i="2"/>
  <c r="K350" i="16" s="1"/>
  <c r="P842" i="2"/>
  <c r="J350" i="16" s="1"/>
  <c r="O842" i="2"/>
  <c r="I350" i="16" s="1"/>
  <c r="Q841" i="2"/>
  <c r="K376" i="16" s="1"/>
  <c r="P841" i="2"/>
  <c r="J376" i="16" s="1"/>
  <c r="O841" i="2"/>
  <c r="I376" i="16" s="1"/>
  <c r="I53" i="11"/>
  <c r="I64" i="11"/>
  <c r="I43" i="11"/>
  <c r="P5" i="14"/>
  <c r="D5" i="14"/>
  <c r="U66" i="11"/>
  <c r="U65" i="11"/>
  <c r="U63" i="11"/>
  <c r="U62" i="11"/>
  <c r="U61" i="11"/>
  <c r="U58" i="11"/>
  <c r="U57" i="11"/>
  <c r="U56" i="11"/>
  <c r="U52" i="11"/>
  <c r="U51" i="11"/>
  <c r="U50" i="11"/>
  <c r="U49" i="11"/>
  <c r="U48" i="11"/>
  <c r="U47" i="11"/>
  <c r="U46" i="11"/>
  <c r="U45" i="11"/>
  <c r="U42" i="11"/>
  <c r="U41" i="11"/>
  <c r="U39" i="11"/>
  <c r="I66" i="11"/>
  <c r="I65" i="11"/>
  <c r="I63" i="11"/>
  <c r="I62" i="11"/>
  <c r="I61" i="11"/>
  <c r="I59" i="11"/>
  <c r="I58" i="11"/>
  <c r="I57" i="11"/>
  <c r="I56" i="11"/>
  <c r="I52" i="11"/>
  <c r="I51" i="11"/>
  <c r="I50" i="11"/>
  <c r="I49" i="11"/>
  <c r="I48" i="11"/>
  <c r="I47" i="11"/>
  <c r="I46" i="11"/>
  <c r="I45" i="11"/>
  <c r="I44" i="11"/>
  <c r="I42" i="11"/>
  <c r="I41" i="11"/>
  <c r="I39" i="11"/>
  <c r="O840" i="2"/>
  <c r="P840" i="2"/>
  <c r="Q840" i="2"/>
  <c r="C92" i="11" l="1"/>
  <c r="J9" i="11"/>
  <c r="L9" i="11" s="1"/>
  <c r="U60" i="11"/>
  <c r="U43" i="11"/>
  <c r="U55" i="11"/>
  <c r="I60" i="11"/>
  <c r="I55" i="11"/>
  <c r="C24" i="16"/>
  <c r="D24" i="16"/>
  <c r="E24" i="16"/>
  <c r="F24" i="16"/>
  <c r="H24" i="16"/>
  <c r="I24" i="16"/>
  <c r="J24" i="16"/>
  <c r="K24" i="16"/>
  <c r="C11" i="16"/>
  <c r="D11" i="16"/>
  <c r="E11" i="16"/>
  <c r="F11" i="16"/>
  <c r="H11" i="16"/>
  <c r="I11" i="16"/>
  <c r="J11" i="16"/>
  <c r="K11" i="16"/>
  <c r="O839" i="2"/>
  <c r="P839" i="2"/>
  <c r="Q839" i="2"/>
  <c r="O838" i="2"/>
  <c r="P838" i="2"/>
  <c r="Q838" i="2"/>
  <c r="T6" i="20" s="1"/>
  <c r="C46" i="11"/>
  <c r="D46" i="11"/>
  <c r="E46" i="11"/>
  <c r="F46" i="11"/>
  <c r="K46" i="11"/>
  <c r="N46" i="11"/>
  <c r="O46" i="11"/>
  <c r="P46" i="11"/>
  <c r="Q46" i="11"/>
  <c r="R46" i="11"/>
  <c r="W46" i="11"/>
  <c r="O837" i="2"/>
  <c r="P837" i="2"/>
  <c r="Q837" i="2"/>
  <c r="O836" i="2"/>
  <c r="P836" i="2"/>
  <c r="Q836" i="2"/>
  <c r="S46" i="11" l="1"/>
  <c r="V46" i="11" s="1"/>
  <c r="S4" i="20"/>
  <c r="U38" i="11"/>
  <c r="U6" i="20"/>
  <c r="U11" i="20"/>
  <c r="G46" i="11"/>
  <c r="G4" i="20"/>
  <c r="I11" i="20"/>
  <c r="I38" i="11"/>
  <c r="O835" i="2"/>
  <c r="P835" i="2"/>
  <c r="Q835" i="2"/>
  <c r="C54" i="11"/>
  <c r="D54" i="11"/>
  <c r="E54" i="11"/>
  <c r="F54" i="11"/>
  <c r="G54" i="11"/>
  <c r="K54" i="11"/>
  <c r="X46" i="11" l="1"/>
  <c r="Y46" i="11" s="1"/>
  <c r="T7" i="20"/>
  <c r="T12" i="20" s="1"/>
  <c r="T40" i="11" s="1"/>
  <c r="T54" i="11"/>
  <c r="J46" i="11"/>
  <c r="L46" i="11" s="1"/>
  <c r="U54" i="11"/>
  <c r="U7" i="20"/>
  <c r="I54" i="11"/>
  <c r="I7" i="20"/>
  <c r="I6" i="20"/>
  <c r="V4" i="20"/>
  <c r="Q834" i="2"/>
  <c r="K349" i="16" s="1"/>
  <c r="P834" i="2"/>
  <c r="J349" i="16" s="1"/>
  <c r="O834" i="2"/>
  <c r="I349" i="16" s="1"/>
  <c r="Q833" i="2"/>
  <c r="P833" i="2"/>
  <c r="O833" i="2"/>
  <c r="Q832" i="2"/>
  <c r="P832" i="2"/>
  <c r="O832" i="2"/>
  <c r="Q831" i="2"/>
  <c r="P831" i="2"/>
  <c r="O831" i="2"/>
  <c r="Q830" i="2"/>
  <c r="P830" i="2"/>
  <c r="O830" i="2"/>
  <c r="Q829" i="2"/>
  <c r="P829" i="2"/>
  <c r="O829" i="2"/>
  <c r="Q828" i="2"/>
  <c r="K331" i="16" s="1"/>
  <c r="P828" i="2"/>
  <c r="J331" i="16" s="1"/>
  <c r="O828" i="2"/>
  <c r="I331" i="16" s="1"/>
  <c r="Q827" i="2"/>
  <c r="P827" i="2"/>
  <c r="O827" i="2"/>
  <c r="Q826" i="2"/>
  <c r="P826" i="2"/>
  <c r="O826" i="2"/>
  <c r="Q825" i="2"/>
  <c r="P825" i="2"/>
  <c r="O825" i="2"/>
  <c r="Q824" i="2"/>
  <c r="K330" i="16" s="1"/>
  <c r="P824" i="2"/>
  <c r="J330" i="16" s="1"/>
  <c r="O824" i="2"/>
  <c r="I330" i="16" s="1"/>
  <c r="Q823" i="2"/>
  <c r="P823" i="2"/>
  <c r="O823" i="2"/>
  <c r="Q822" i="2"/>
  <c r="K388" i="16" s="1"/>
  <c r="P822" i="2"/>
  <c r="J388" i="16" s="1"/>
  <c r="O822" i="2"/>
  <c r="I388" i="16" s="1"/>
  <c r="Q821" i="2"/>
  <c r="K328" i="16" s="1"/>
  <c r="P821" i="2"/>
  <c r="J328" i="16" s="1"/>
  <c r="O821" i="2"/>
  <c r="I328" i="16" s="1"/>
  <c r="Q820" i="2"/>
  <c r="K327" i="16" s="1"/>
  <c r="P820" i="2"/>
  <c r="J327" i="16" s="1"/>
  <c r="O820" i="2"/>
  <c r="I327" i="16" s="1"/>
  <c r="Q819" i="2"/>
  <c r="P819" i="2"/>
  <c r="O819" i="2"/>
  <c r="Q818" i="2"/>
  <c r="P818" i="2"/>
  <c r="O818" i="2"/>
  <c r="Q817" i="2"/>
  <c r="K348" i="16" s="1"/>
  <c r="P817" i="2"/>
  <c r="J348" i="16" s="1"/>
  <c r="O817" i="2"/>
  <c r="I348" i="16" s="1"/>
  <c r="Q816" i="2"/>
  <c r="P816" i="2"/>
  <c r="O816" i="2"/>
  <c r="Q815" i="2"/>
  <c r="P815" i="2"/>
  <c r="O815" i="2"/>
  <c r="Q814" i="2"/>
  <c r="P814" i="2"/>
  <c r="O814" i="2"/>
  <c r="Q813" i="2"/>
  <c r="P813" i="2"/>
  <c r="O813" i="2"/>
  <c r="Q812" i="2"/>
  <c r="P812" i="2"/>
  <c r="O812" i="2"/>
  <c r="Q811" i="2"/>
  <c r="P811" i="2"/>
  <c r="O811" i="2"/>
  <c r="Q810" i="2"/>
  <c r="P810" i="2"/>
  <c r="O810" i="2"/>
  <c r="Q809" i="2"/>
  <c r="P809" i="2"/>
  <c r="O809" i="2"/>
  <c r="Q808" i="2"/>
  <c r="P808" i="2"/>
  <c r="O808" i="2"/>
  <c r="Q807" i="2"/>
  <c r="K326" i="16" s="1"/>
  <c r="P807" i="2"/>
  <c r="J326" i="16" s="1"/>
  <c r="O807" i="2"/>
  <c r="I326" i="16" s="1"/>
  <c r="Q806" i="2"/>
  <c r="P806" i="2"/>
  <c r="O806" i="2"/>
  <c r="Q805" i="2"/>
  <c r="P805" i="2"/>
  <c r="O805" i="2"/>
  <c r="Q804" i="2"/>
  <c r="K325" i="16" s="1"/>
  <c r="P804" i="2"/>
  <c r="J325" i="16" s="1"/>
  <c r="O804" i="2"/>
  <c r="I325" i="16" s="1"/>
  <c r="Q803" i="2"/>
  <c r="P803" i="2"/>
  <c r="O803" i="2"/>
  <c r="Q802" i="2"/>
  <c r="P802" i="2"/>
  <c r="O802" i="2"/>
  <c r="Q801" i="2"/>
  <c r="P801" i="2"/>
  <c r="O801" i="2"/>
  <c r="Q800" i="2"/>
  <c r="P800" i="2"/>
  <c r="O800" i="2"/>
  <c r="Q799" i="2"/>
  <c r="P799" i="2"/>
  <c r="O799" i="2"/>
  <c r="Q798" i="2"/>
  <c r="K347" i="16" s="1"/>
  <c r="P798" i="2"/>
  <c r="J347" i="16" s="1"/>
  <c r="O798" i="2"/>
  <c r="I347" i="16" s="1"/>
  <c r="Q797" i="2"/>
  <c r="K324" i="16" s="1"/>
  <c r="P797" i="2"/>
  <c r="J324" i="16" s="1"/>
  <c r="O797" i="2"/>
  <c r="I324" i="16" s="1"/>
  <c r="Q796" i="2"/>
  <c r="P796" i="2"/>
  <c r="O796" i="2"/>
  <c r="Q795" i="2"/>
  <c r="K323" i="16" s="1"/>
  <c r="P795" i="2"/>
  <c r="J323" i="16" s="1"/>
  <c r="O795" i="2"/>
  <c r="I323" i="16" s="1"/>
  <c r="Q794" i="2"/>
  <c r="K322" i="16" s="1"/>
  <c r="P794" i="2"/>
  <c r="J322" i="16" s="1"/>
  <c r="O794" i="2"/>
  <c r="I322" i="16" s="1"/>
  <c r="Q793" i="2"/>
  <c r="P793" i="2"/>
  <c r="O793" i="2"/>
  <c r="Q792" i="2"/>
  <c r="P792" i="2"/>
  <c r="O792" i="2"/>
  <c r="Q791" i="2"/>
  <c r="P50" i="11" s="1"/>
  <c r="P791" i="2"/>
  <c r="O791" i="2"/>
  <c r="Q790" i="2"/>
  <c r="P790" i="2"/>
  <c r="O790" i="2"/>
  <c r="Q789" i="2"/>
  <c r="P789" i="2"/>
  <c r="O789" i="2"/>
  <c r="Q788" i="2"/>
  <c r="P788" i="2"/>
  <c r="O788" i="2"/>
  <c r="Q787" i="2"/>
  <c r="P787" i="2"/>
  <c r="O787" i="2"/>
  <c r="Q786" i="2"/>
  <c r="P786" i="2"/>
  <c r="O786" i="2"/>
  <c r="Q785" i="2"/>
  <c r="P785" i="2"/>
  <c r="O785" i="2"/>
  <c r="Q784" i="2"/>
  <c r="P784" i="2"/>
  <c r="O784" i="2"/>
  <c r="Q783" i="2"/>
  <c r="K321" i="16" s="1"/>
  <c r="P783" i="2"/>
  <c r="J321" i="16" s="1"/>
  <c r="O783" i="2"/>
  <c r="I321" i="16" s="1"/>
  <c r="Q782" i="2"/>
  <c r="K320" i="16" s="1"/>
  <c r="P782" i="2"/>
  <c r="J320" i="16" s="1"/>
  <c r="O782" i="2"/>
  <c r="I320" i="16" s="1"/>
  <c r="Q781" i="2"/>
  <c r="P781" i="2"/>
  <c r="O781" i="2"/>
  <c r="Q780" i="2"/>
  <c r="P780" i="2"/>
  <c r="O780" i="2"/>
  <c r="Q779" i="2"/>
  <c r="P779" i="2"/>
  <c r="O779" i="2"/>
  <c r="Q778" i="2"/>
  <c r="P778" i="2"/>
  <c r="O778" i="2"/>
  <c r="Q777" i="2"/>
  <c r="P777" i="2"/>
  <c r="O777" i="2"/>
  <c r="Q776" i="2"/>
  <c r="P776" i="2"/>
  <c r="O776" i="2"/>
  <c r="Q775" i="2"/>
  <c r="P775" i="2"/>
  <c r="O775" i="2"/>
  <c r="Q774" i="2"/>
  <c r="P774" i="2"/>
  <c r="O774" i="2"/>
  <c r="Q773" i="2"/>
  <c r="P773" i="2"/>
  <c r="O773" i="2"/>
  <c r="Q772" i="2"/>
  <c r="P772" i="2"/>
  <c r="O772" i="2"/>
  <c r="Q771" i="2"/>
  <c r="P771" i="2"/>
  <c r="O771" i="2"/>
  <c r="Q770" i="2"/>
  <c r="K340" i="16" s="1"/>
  <c r="P770" i="2"/>
  <c r="J340" i="16" s="1"/>
  <c r="O770" i="2"/>
  <c r="I340" i="16" s="1"/>
  <c r="Q769" i="2"/>
  <c r="P769" i="2"/>
  <c r="O769" i="2"/>
  <c r="Q768" i="2"/>
  <c r="P768" i="2"/>
  <c r="O768" i="2"/>
  <c r="Q767" i="2"/>
  <c r="P767" i="2"/>
  <c r="O767" i="2"/>
  <c r="Q766" i="2"/>
  <c r="P766" i="2"/>
  <c r="O766" i="2"/>
  <c r="Q765" i="2"/>
  <c r="P765" i="2"/>
  <c r="O765" i="2"/>
  <c r="Q764" i="2"/>
  <c r="K339" i="16" s="1"/>
  <c r="P764" i="2"/>
  <c r="J339" i="16" s="1"/>
  <c r="O764" i="2"/>
  <c r="I339" i="16" s="1"/>
  <c r="Q763" i="2"/>
  <c r="P763" i="2"/>
  <c r="O763" i="2"/>
  <c r="Q762" i="2"/>
  <c r="P762" i="2"/>
  <c r="O762" i="2"/>
  <c r="Q761" i="2"/>
  <c r="P761" i="2"/>
  <c r="O761" i="2"/>
  <c r="Q760" i="2"/>
  <c r="P760" i="2"/>
  <c r="O760" i="2"/>
  <c r="Q759" i="2"/>
  <c r="P759" i="2"/>
  <c r="O759" i="2"/>
  <c r="Q758" i="2"/>
  <c r="P758" i="2"/>
  <c r="O758" i="2"/>
  <c r="Q757" i="2"/>
  <c r="P757" i="2"/>
  <c r="O757" i="2"/>
  <c r="Q756" i="2"/>
  <c r="P756" i="2"/>
  <c r="O756" i="2"/>
  <c r="Q755" i="2"/>
  <c r="P755" i="2"/>
  <c r="O755" i="2"/>
  <c r="Q754" i="2"/>
  <c r="P754" i="2"/>
  <c r="O754" i="2"/>
  <c r="Q753" i="2"/>
  <c r="P753" i="2"/>
  <c r="O753" i="2"/>
  <c r="Q752" i="2"/>
  <c r="P752" i="2"/>
  <c r="O752" i="2"/>
  <c r="Q751" i="2"/>
  <c r="P751" i="2"/>
  <c r="O751" i="2"/>
  <c r="Q750" i="2"/>
  <c r="P750" i="2"/>
  <c r="O750" i="2"/>
  <c r="Q749" i="2"/>
  <c r="P749" i="2"/>
  <c r="O749" i="2"/>
  <c r="Q748" i="2"/>
  <c r="P748" i="2"/>
  <c r="O748" i="2"/>
  <c r="Q747" i="2"/>
  <c r="P747" i="2"/>
  <c r="O747" i="2"/>
  <c r="Q746" i="2"/>
  <c r="P746" i="2"/>
  <c r="O746" i="2"/>
  <c r="Q745" i="2"/>
  <c r="P745" i="2"/>
  <c r="O745" i="2"/>
  <c r="Q744" i="2"/>
  <c r="P744" i="2"/>
  <c r="O744" i="2"/>
  <c r="Q743" i="2"/>
  <c r="P743" i="2"/>
  <c r="O743" i="2"/>
  <c r="Q742" i="2"/>
  <c r="P742" i="2"/>
  <c r="O742" i="2"/>
  <c r="Q741" i="2"/>
  <c r="P741" i="2"/>
  <c r="O741" i="2"/>
  <c r="Q740" i="2"/>
  <c r="P740" i="2"/>
  <c r="O740" i="2"/>
  <c r="Q739" i="2"/>
  <c r="P739" i="2"/>
  <c r="O739" i="2"/>
  <c r="Q738" i="2"/>
  <c r="P738" i="2"/>
  <c r="O738" i="2"/>
  <c r="Q737" i="2"/>
  <c r="P737" i="2"/>
  <c r="O737" i="2"/>
  <c r="Q736" i="2"/>
  <c r="P736" i="2"/>
  <c r="O736" i="2"/>
  <c r="Q735" i="2"/>
  <c r="P735" i="2"/>
  <c r="O735" i="2"/>
  <c r="Q734" i="2"/>
  <c r="P734" i="2"/>
  <c r="O734" i="2"/>
  <c r="Q733" i="2"/>
  <c r="P733" i="2"/>
  <c r="O733" i="2"/>
  <c r="Q732" i="2"/>
  <c r="P732" i="2"/>
  <c r="O732" i="2"/>
  <c r="Q731" i="2"/>
  <c r="P731" i="2"/>
  <c r="O731" i="2"/>
  <c r="Q730" i="2"/>
  <c r="P730" i="2"/>
  <c r="O730" i="2"/>
  <c r="Q729" i="2"/>
  <c r="P729" i="2"/>
  <c r="O729" i="2"/>
  <c r="Q728" i="2"/>
  <c r="P728" i="2"/>
  <c r="O728" i="2"/>
  <c r="Q727" i="2"/>
  <c r="P727" i="2"/>
  <c r="O727" i="2"/>
  <c r="Q726" i="2"/>
  <c r="P726" i="2"/>
  <c r="O726" i="2"/>
  <c r="Q725" i="2"/>
  <c r="P725" i="2"/>
  <c r="O725" i="2"/>
  <c r="Q724" i="2"/>
  <c r="P724" i="2"/>
  <c r="O724" i="2"/>
  <c r="Q723" i="2"/>
  <c r="P723" i="2"/>
  <c r="O723" i="2"/>
  <c r="Q722" i="2"/>
  <c r="P722" i="2"/>
  <c r="O722" i="2"/>
  <c r="Q721" i="2"/>
  <c r="P721" i="2"/>
  <c r="O721" i="2"/>
  <c r="Q720" i="2"/>
  <c r="P720" i="2"/>
  <c r="O720" i="2"/>
  <c r="Q719" i="2"/>
  <c r="P719" i="2"/>
  <c r="O719" i="2"/>
  <c r="Q718" i="2"/>
  <c r="P718" i="2"/>
  <c r="O718" i="2"/>
  <c r="Q717" i="2"/>
  <c r="P717" i="2"/>
  <c r="O717" i="2"/>
  <c r="Q716" i="2"/>
  <c r="P716" i="2"/>
  <c r="O716" i="2"/>
  <c r="Q715" i="2"/>
  <c r="K319" i="16" s="1"/>
  <c r="P715" i="2"/>
  <c r="J319" i="16" s="1"/>
  <c r="O715" i="2"/>
  <c r="I319" i="16" s="1"/>
  <c r="Q714" i="2"/>
  <c r="P714" i="2"/>
  <c r="O714" i="2"/>
  <c r="Q713" i="2"/>
  <c r="P713" i="2"/>
  <c r="O713" i="2"/>
  <c r="Q711" i="2"/>
  <c r="P711" i="2"/>
  <c r="O711" i="2"/>
  <c r="Q709" i="2"/>
  <c r="P709" i="2"/>
  <c r="O709" i="2"/>
  <c r="Q707" i="2"/>
  <c r="P707" i="2"/>
  <c r="O707" i="2"/>
  <c r="Q705" i="2"/>
  <c r="P705" i="2"/>
  <c r="O705" i="2"/>
  <c r="Q703" i="2"/>
  <c r="P703" i="2"/>
  <c r="O703" i="2"/>
  <c r="Q701" i="2"/>
  <c r="P701" i="2"/>
  <c r="O701" i="2"/>
  <c r="Q699" i="2"/>
  <c r="P699" i="2"/>
  <c r="O699" i="2"/>
  <c r="Q697" i="2"/>
  <c r="P697" i="2"/>
  <c r="O697" i="2"/>
  <c r="Q695" i="2"/>
  <c r="P695" i="2"/>
  <c r="O695" i="2"/>
  <c r="Q693" i="2"/>
  <c r="P693" i="2"/>
  <c r="O693" i="2"/>
  <c r="Q691" i="2"/>
  <c r="P691" i="2"/>
  <c r="O691" i="2"/>
  <c r="Q689" i="2"/>
  <c r="P689" i="2"/>
  <c r="O689" i="2"/>
  <c r="Q687" i="2"/>
  <c r="P687" i="2"/>
  <c r="O687" i="2"/>
  <c r="Q685" i="2"/>
  <c r="K346" i="16" s="1"/>
  <c r="P685" i="2"/>
  <c r="J346" i="16" s="1"/>
  <c r="O685" i="2"/>
  <c r="I346" i="16" s="1"/>
  <c r="Q683" i="2"/>
  <c r="K318" i="16" s="1"/>
  <c r="P683" i="2"/>
  <c r="J318" i="16" s="1"/>
  <c r="O683" i="2"/>
  <c r="I318" i="16" s="1"/>
  <c r="Q681" i="2"/>
  <c r="K317" i="16" s="1"/>
  <c r="P681" i="2"/>
  <c r="J317" i="16" s="1"/>
  <c r="O681" i="2"/>
  <c r="I317" i="16" s="1"/>
  <c r="Q679" i="2"/>
  <c r="P679" i="2"/>
  <c r="O679" i="2"/>
  <c r="Q677" i="2"/>
  <c r="P677" i="2"/>
  <c r="O677" i="2"/>
  <c r="Q675" i="2"/>
  <c r="P675" i="2"/>
  <c r="O675" i="2"/>
  <c r="Q673" i="2"/>
  <c r="P673" i="2"/>
  <c r="O673" i="2"/>
  <c r="Q671" i="2"/>
  <c r="P671" i="2"/>
  <c r="O671" i="2"/>
  <c r="Q669" i="2"/>
  <c r="K316" i="16" s="1"/>
  <c r="P669" i="2"/>
  <c r="J316" i="16" s="1"/>
  <c r="O669" i="2"/>
  <c r="I316" i="16" s="1"/>
  <c r="Q667" i="2"/>
  <c r="P667" i="2"/>
  <c r="O667" i="2"/>
  <c r="Q665" i="2"/>
  <c r="K315" i="16" s="1"/>
  <c r="P665" i="2"/>
  <c r="J315" i="16" s="1"/>
  <c r="O665" i="2"/>
  <c r="I315" i="16" s="1"/>
  <c r="Q663" i="2"/>
  <c r="P663" i="2"/>
  <c r="O663" i="2"/>
  <c r="Q661" i="2"/>
  <c r="K314" i="16" s="1"/>
  <c r="P661" i="2"/>
  <c r="J314" i="16" s="1"/>
  <c r="O661" i="2"/>
  <c r="I314" i="16" s="1"/>
  <c r="Q659" i="2"/>
  <c r="K312" i="16" s="1"/>
  <c r="P659" i="2"/>
  <c r="J312" i="16" s="1"/>
  <c r="O659" i="2"/>
  <c r="I312" i="16" s="1"/>
  <c r="Q657" i="2"/>
  <c r="K313" i="16" s="1"/>
  <c r="P657" i="2"/>
  <c r="J313" i="16" s="1"/>
  <c r="O657" i="2"/>
  <c r="I313" i="16" s="1"/>
  <c r="Q655" i="2"/>
  <c r="P655" i="2"/>
  <c r="O655" i="2"/>
  <c r="Q653" i="2"/>
  <c r="P653" i="2"/>
  <c r="O653" i="2"/>
  <c r="Q651" i="2"/>
  <c r="K436" i="16" s="1"/>
  <c r="P651" i="2"/>
  <c r="J436" i="16" s="1"/>
  <c r="O651" i="2"/>
  <c r="I436" i="16" s="1"/>
  <c r="Q649" i="2"/>
  <c r="P649" i="2"/>
  <c r="O649" i="2"/>
  <c r="Q648" i="2"/>
  <c r="K311" i="16" s="1"/>
  <c r="P648" i="2"/>
  <c r="J311" i="16" s="1"/>
  <c r="O648" i="2"/>
  <c r="I311" i="16" s="1"/>
  <c r="Q647" i="2"/>
  <c r="P647" i="2"/>
  <c r="O647" i="2"/>
  <c r="Q646" i="2"/>
  <c r="K345" i="16" s="1"/>
  <c r="P646" i="2"/>
  <c r="J345" i="16" s="1"/>
  <c r="O646" i="2"/>
  <c r="I345" i="16" s="1"/>
  <c r="Q645" i="2"/>
  <c r="K386" i="16" s="1"/>
  <c r="P645" i="2"/>
  <c r="J386" i="16" s="1"/>
  <c r="O645" i="2"/>
  <c r="I386" i="16" s="1"/>
  <c r="Q644" i="2"/>
  <c r="P644" i="2"/>
  <c r="O644" i="2"/>
  <c r="Q643" i="2"/>
  <c r="P643" i="2"/>
  <c r="O643" i="2"/>
  <c r="Q642" i="2"/>
  <c r="P642" i="2"/>
  <c r="O642" i="2"/>
  <c r="Q641" i="2"/>
  <c r="P641" i="2"/>
  <c r="O641" i="2"/>
  <c r="Q640" i="2"/>
  <c r="P640" i="2"/>
  <c r="O640" i="2"/>
  <c r="Q639" i="2"/>
  <c r="K329" i="16" s="1"/>
  <c r="P639" i="2"/>
  <c r="J329" i="16" s="1"/>
  <c r="O639" i="2"/>
  <c r="I329" i="16" s="1"/>
  <c r="Q638" i="2"/>
  <c r="P638" i="2"/>
  <c r="O638" i="2"/>
  <c r="Q637" i="2"/>
  <c r="W26" i="11" s="1"/>
  <c r="X26" i="11" s="1"/>
  <c r="Y26" i="11" s="1"/>
  <c r="P637" i="2"/>
  <c r="O637" i="2"/>
  <c r="Q636" i="2"/>
  <c r="K306" i="16" s="1"/>
  <c r="P636" i="2"/>
  <c r="J306" i="16" s="1"/>
  <c r="O636" i="2"/>
  <c r="I306" i="16" s="1"/>
  <c r="Q635" i="2"/>
  <c r="P635" i="2"/>
  <c r="O635" i="2"/>
  <c r="Q634" i="2"/>
  <c r="K310" i="16" s="1"/>
  <c r="P634" i="2"/>
  <c r="J310" i="16" s="1"/>
  <c r="O634" i="2"/>
  <c r="I310" i="16" s="1"/>
  <c r="Q633" i="2"/>
  <c r="K309" i="16" s="1"/>
  <c r="P633" i="2"/>
  <c r="J309" i="16" s="1"/>
  <c r="O633" i="2"/>
  <c r="I309" i="16" s="1"/>
  <c r="Q632" i="2"/>
  <c r="P11" i="11" s="1"/>
  <c r="P632" i="2"/>
  <c r="O632" i="2"/>
  <c r="Q631" i="2"/>
  <c r="P631" i="2"/>
  <c r="O631" i="2"/>
  <c r="Q630" i="2"/>
  <c r="P630" i="2"/>
  <c r="O630" i="2"/>
  <c r="Q629" i="2"/>
  <c r="P629" i="2"/>
  <c r="O629" i="2"/>
  <c r="Q628" i="2"/>
  <c r="P628" i="2"/>
  <c r="O628" i="2"/>
  <c r="Q627" i="2"/>
  <c r="P627" i="2"/>
  <c r="O627" i="2"/>
  <c r="Q626" i="2"/>
  <c r="P626" i="2"/>
  <c r="O626" i="2"/>
  <c r="Q625" i="2"/>
  <c r="P625" i="2"/>
  <c r="O625" i="2"/>
  <c r="Q624" i="2"/>
  <c r="P624" i="2"/>
  <c r="O624" i="2"/>
  <c r="Q623" i="2"/>
  <c r="P623" i="2"/>
  <c r="O623" i="2"/>
  <c r="Q622" i="2"/>
  <c r="P622" i="2"/>
  <c r="O622" i="2"/>
  <c r="Q621" i="2"/>
  <c r="P621" i="2"/>
  <c r="O621" i="2"/>
  <c r="Q620" i="2"/>
  <c r="P620" i="2"/>
  <c r="O620" i="2"/>
  <c r="Q619" i="2"/>
  <c r="P619" i="2"/>
  <c r="O619" i="2"/>
  <c r="Q618" i="2"/>
  <c r="P618" i="2"/>
  <c r="O618" i="2"/>
  <c r="Q617" i="2"/>
  <c r="P617" i="2"/>
  <c r="O617" i="2"/>
  <c r="Q616" i="2"/>
  <c r="P616" i="2"/>
  <c r="O616" i="2"/>
  <c r="Q615" i="2"/>
  <c r="P615" i="2"/>
  <c r="O615" i="2"/>
  <c r="Q614" i="2"/>
  <c r="P614" i="2"/>
  <c r="O614" i="2"/>
  <c r="Q613" i="2"/>
  <c r="P613" i="2"/>
  <c r="O613" i="2"/>
  <c r="Q612" i="2"/>
  <c r="P612" i="2"/>
  <c r="O612" i="2"/>
  <c r="Q611" i="2"/>
  <c r="P611" i="2"/>
  <c r="O611" i="2"/>
  <c r="Q610" i="2"/>
  <c r="P610" i="2"/>
  <c r="O610" i="2"/>
  <c r="Q609" i="2"/>
  <c r="P609" i="2"/>
  <c r="O609" i="2"/>
  <c r="Q608" i="2"/>
  <c r="P608" i="2"/>
  <c r="O608" i="2"/>
  <c r="Q607" i="2"/>
  <c r="P607" i="2"/>
  <c r="O607" i="2"/>
  <c r="Q606" i="2"/>
  <c r="P606" i="2"/>
  <c r="O606" i="2"/>
  <c r="Q605" i="2"/>
  <c r="P605" i="2"/>
  <c r="O605" i="2"/>
  <c r="Q604" i="2"/>
  <c r="P604" i="2"/>
  <c r="O604" i="2"/>
  <c r="Q603" i="2"/>
  <c r="P603" i="2"/>
  <c r="O603" i="2"/>
  <c r="Q602" i="2"/>
  <c r="P602" i="2"/>
  <c r="O602" i="2"/>
  <c r="Q601" i="2"/>
  <c r="P601" i="2"/>
  <c r="O601" i="2"/>
  <c r="Q600" i="2"/>
  <c r="P600" i="2"/>
  <c r="O600" i="2"/>
  <c r="Q599" i="2"/>
  <c r="P599" i="2"/>
  <c r="O599" i="2"/>
  <c r="Q598" i="2"/>
  <c r="P598" i="2"/>
  <c r="O598" i="2"/>
  <c r="Q597" i="2"/>
  <c r="P597" i="2"/>
  <c r="O597" i="2"/>
  <c r="Q596" i="2"/>
  <c r="P596" i="2"/>
  <c r="O596" i="2"/>
  <c r="Q595" i="2"/>
  <c r="P595" i="2"/>
  <c r="O595" i="2"/>
  <c r="Q594" i="2"/>
  <c r="P594" i="2"/>
  <c r="O594" i="2"/>
  <c r="Q593" i="2"/>
  <c r="P593" i="2"/>
  <c r="O593" i="2"/>
  <c r="Q592" i="2"/>
  <c r="P592" i="2"/>
  <c r="O592" i="2"/>
  <c r="Q591" i="2"/>
  <c r="P591" i="2"/>
  <c r="O591" i="2"/>
  <c r="Q590" i="2"/>
  <c r="P590" i="2"/>
  <c r="O590" i="2"/>
  <c r="Q589" i="2"/>
  <c r="P589" i="2"/>
  <c r="O589" i="2"/>
  <c r="Q588" i="2"/>
  <c r="P588" i="2"/>
  <c r="O588" i="2"/>
  <c r="Q587" i="2"/>
  <c r="K305" i="16" s="1"/>
  <c r="P587" i="2"/>
  <c r="J305" i="16" s="1"/>
  <c r="O587" i="2"/>
  <c r="I305" i="16" s="1"/>
  <c r="Q586" i="2"/>
  <c r="P586" i="2"/>
  <c r="O586" i="2"/>
  <c r="Q585" i="2"/>
  <c r="P585" i="2"/>
  <c r="O585" i="2"/>
  <c r="Q584" i="2"/>
  <c r="P584" i="2"/>
  <c r="O584" i="2"/>
  <c r="Q583" i="2"/>
  <c r="P583" i="2"/>
  <c r="O583" i="2"/>
  <c r="Q582" i="2"/>
  <c r="P582" i="2"/>
  <c r="O582" i="2"/>
  <c r="Q581" i="2"/>
  <c r="P581" i="2"/>
  <c r="O581" i="2"/>
  <c r="Q580" i="2"/>
  <c r="P580" i="2"/>
  <c r="O580" i="2"/>
  <c r="Q579" i="2"/>
  <c r="P579" i="2"/>
  <c r="O579" i="2"/>
  <c r="Q578" i="2"/>
  <c r="P578" i="2"/>
  <c r="O578" i="2"/>
  <c r="Q577" i="2"/>
  <c r="K304" i="16" s="1"/>
  <c r="P577" i="2"/>
  <c r="J304" i="16" s="1"/>
  <c r="O577" i="2"/>
  <c r="I304" i="16" s="1"/>
  <c r="Q576" i="2"/>
  <c r="K303" i="16" s="1"/>
  <c r="P576" i="2"/>
  <c r="J303" i="16" s="1"/>
  <c r="O576" i="2"/>
  <c r="I303" i="16" s="1"/>
  <c r="Q575" i="2"/>
  <c r="P575" i="2"/>
  <c r="O575" i="2"/>
  <c r="Q574" i="2"/>
  <c r="P574" i="2"/>
  <c r="O574" i="2"/>
  <c r="Q573" i="2"/>
  <c r="P573" i="2"/>
  <c r="O573" i="2"/>
  <c r="Q572" i="2"/>
  <c r="P572" i="2"/>
  <c r="O572" i="2"/>
  <c r="Q571" i="2"/>
  <c r="U7" i="11" s="1"/>
  <c r="P571" i="2"/>
  <c r="O571" i="2"/>
  <c r="Q570" i="2"/>
  <c r="P570" i="2"/>
  <c r="O570" i="2"/>
  <c r="Q569" i="2"/>
  <c r="P569" i="2"/>
  <c r="O569" i="2"/>
  <c r="Q568" i="2"/>
  <c r="P568" i="2"/>
  <c r="O568" i="2"/>
  <c r="Q567" i="2"/>
  <c r="P567" i="2"/>
  <c r="O567" i="2"/>
  <c r="Q566" i="2"/>
  <c r="P566" i="2"/>
  <c r="O566" i="2"/>
  <c r="Q565" i="2"/>
  <c r="P565" i="2"/>
  <c r="O565" i="2"/>
  <c r="Q564" i="2"/>
  <c r="P564" i="2"/>
  <c r="O564" i="2"/>
  <c r="Q563" i="2"/>
  <c r="P563" i="2"/>
  <c r="O563" i="2"/>
  <c r="Q562" i="2"/>
  <c r="P562" i="2"/>
  <c r="O562" i="2"/>
  <c r="Q561" i="2"/>
  <c r="K308" i="16" s="1"/>
  <c r="P561" i="2"/>
  <c r="J308" i="16" s="1"/>
  <c r="O561" i="2"/>
  <c r="I308" i="16" s="1"/>
  <c r="Q560" i="2"/>
  <c r="K338" i="16" s="1"/>
  <c r="P560" i="2"/>
  <c r="J338" i="16" s="1"/>
  <c r="O560" i="2"/>
  <c r="I338" i="16" s="1"/>
  <c r="Q559" i="2"/>
  <c r="K307" i="16" s="1"/>
  <c r="P559" i="2"/>
  <c r="J307" i="16" s="1"/>
  <c r="O559" i="2"/>
  <c r="I307" i="16" s="1"/>
  <c r="Q558" i="2"/>
  <c r="P558" i="2"/>
  <c r="O558" i="2"/>
  <c r="Q557" i="2"/>
  <c r="P557" i="2"/>
  <c r="O557" i="2"/>
  <c r="Q556" i="2"/>
  <c r="P556" i="2"/>
  <c r="O556" i="2"/>
  <c r="Q555" i="2"/>
  <c r="P555" i="2"/>
  <c r="O555" i="2"/>
  <c r="Q554" i="2"/>
  <c r="P554" i="2"/>
  <c r="O554" i="2"/>
  <c r="Q553" i="2"/>
  <c r="P553" i="2"/>
  <c r="O553" i="2"/>
  <c r="Q552" i="2"/>
  <c r="K300" i="16" s="1"/>
  <c r="P552" i="2"/>
  <c r="J300" i="16" s="1"/>
  <c r="O552" i="2"/>
  <c r="I300" i="16" s="1"/>
  <c r="Q551" i="2"/>
  <c r="P551" i="2"/>
  <c r="O551" i="2"/>
  <c r="P550" i="2"/>
  <c r="O550" i="2"/>
  <c r="Q549" i="2"/>
  <c r="P549" i="2"/>
  <c r="O549" i="2"/>
  <c r="Q548" i="2"/>
  <c r="K299" i="16" s="1"/>
  <c r="P548" i="2"/>
  <c r="J299" i="16" s="1"/>
  <c r="O548" i="2"/>
  <c r="I299" i="16" s="1"/>
  <c r="Q547" i="2"/>
  <c r="P547" i="2"/>
  <c r="O547" i="2"/>
  <c r="Q546" i="2"/>
  <c r="P546" i="2"/>
  <c r="O546" i="2"/>
  <c r="Q545" i="2"/>
  <c r="P545" i="2"/>
  <c r="O545" i="2"/>
  <c r="Q544" i="2"/>
  <c r="P544" i="2"/>
  <c r="O544" i="2"/>
  <c r="Q543" i="2"/>
  <c r="P543" i="2"/>
  <c r="O543" i="2"/>
  <c r="Q542" i="2"/>
  <c r="P542" i="2"/>
  <c r="O542" i="2"/>
  <c r="Q541" i="2"/>
  <c r="K298" i="16" s="1"/>
  <c r="P541" i="2"/>
  <c r="J298" i="16" s="1"/>
  <c r="O541" i="2"/>
  <c r="I298" i="16" s="1"/>
  <c r="Q540" i="2"/>
  <c r="K297" i="16" s="1"/>
  <c r="P540" i="2"/>
  <c r="J297" i="16" s="1"/>
  <c r="O540" i="2"/>
  <c r="I297" i="16" s="1"/>
  <c r="Q539" i="2"/>
  <c r="K302" i="16" s="1"/>
  <c r="P539" i="2"/>
  <c r="J302" i="16" s="1"/>
  <c r="O539" i="2"/>
  <c r="I302" i="16" s="1"/>
  <c r="Q538" i="2"/>
  <c r="K295" i="16" s="1"/>
  <c r="P538" i="2"/>
  <c r="J295" i="16" s="1"/>
  <c r="O538" i="2"/>
  <c r="I295" i="16" s="1"/>
  <c r="Q537" i="2"/>
  <c r="K294" i="16" s="1"/>
  <c r="P537" i="2"/>
  <c r="J294" i="16" s="1"/>
  <c r="O537" i="2"/>
  <c r="I294" i="16" s="1"/>
  <c r="Q535" i="2"/>
  <c r="K293" i="16" s="1"/>
  <c r="P535" i="2"/>
  <c r="J293" i="16" s="1"/>
  <c r="O535" i="2"/>
  <c r="I293" i="16" s="1"/>
  <c r="Q534" i="2"/>
  <c r="K292" i="16" s="1"/>
  <c r="P534" i="2"/>
  <c r="J292" i="16" s="1"/>
  <c r="O534" i="2"/>
  <c r="I292" i="16" s="1"/>
  <c r="Q533" i="2"/>
  <c r="P533" i="2"/>
  <c r="O533" i="2"/>
  <c r="Q532" i="2"/>
  <c r="P532" i="2"/>
  <c r="O532" i="2"/>
  <c r="Q531" i="2"/>
  <c r="P531" i="2"/>
  <c r="O531" i="2"/>
  <c r="Q530" i="2"/>
  <c r="K291" i="16" s="1"/>
  <c r="P530" i="2"/>
  <c r="J291" i="16" s="1"/>
  <c r="O530" i="2"/>
  <c r="I291" i="16" s="1"/>
  <c r="Q529" i="2"/>
  <c r="P529" i="2"/>
  <c r="O529" i="2"/>
  <c r="Q528" i="2"/>
  <c r="K290" i="16" s="1"/>
  <c r="P528" i="2"/>
  <c r="J290" i="16" s="1"/>
  <c r="O528" i="2"/>
  <c r="I290" i="16" s="1"/>
  <c r="Q527" i="2"/>
  <c r="P527" i="2"/>
  <c r="O527" i="2"/>
  <c r="Q526" i="2"/>
  <c r="K289" i="16" s="1"/>
  <c r="P526" i="2"/>
  <c r="J289" i="16" s="1"/>
  <c r="O526" i="2"/>
  <c r="I289" i="16" s="1"/>
  <c r="Q525" i="2"/>
  <c r="K288" i="16" s="1"/>
  <c r="P525" i="2"/>
  <c r="J288" i="16" s="1"/>
  <c r="O525" i="2"/>
  <c r="I288" i="16" s="1"/>
  <c r="Q524" i="2"/>
  <c r="K287" i="16" s="1"/>
  <c r="P524" i="2"/>
  <c r="J287" i="16" s="1"/>
  <c r="O524" i="2"/>
  <c r="I287" i="16" s="1"/>
  <c r="Q523" i="2"/>
  <c r="H16" i="1" s="1"/>
  <c r="P523" i="2"/>
  <c r="O523" i="2"/>
  <c r="H9" i="1"/>
  <c r="Q522" i="2"/>
  <c r="P522" i="2"/>
  <c r="O522" i="2"/>
  <c r="Q521" i="2"/>
  <c r="P521" i="2"/>
  <c r="O521" i="2"/>
  <c r="Q520" i="2"/>
  <c r="P520" i="2"/>
  <c r="O520" i="2"/>
  <c r="Q519" i="2"/>
  <c r="P519" i="2"/>
  <c r="O519" i="2"/>
  <c r="Q518" i="2"/>
  <c r="P518" i="2"/>
  <c r="O518" i="2"/>
  <c r="Q517" i="2"/>
  <c r="P517" i="2"/>
  <c r="O517" i="2"/>
  <c r="Q516" i="2"/>
  <c r="P516" i="2"/>
  <c r="O516" i="2"/>
  <c r="Q515" i="2"/>
  <c r="P515" i="2"/>
  <c r="O515" i="2"/>
  <c r="Q514" i="2"/>
  <c r="P514" i="2"/>
  <c r="O514" i="2"/>
  <c r="Q513" i="2"/>
  <c r="P513" i="2"/>
  <c r="O513" i="2"/>
  <c r="Q512" i="2"/>
  <c r="W27" i="11" s="1"/>
  <c r="X27" i="11" s="1"/>
  <c r="Y27" i="11" s="1"/>
  <c r="P512" i="2"/>
  <c r="O512" i="2"/>
  <c r="Q511" i="2"/>
  <c r="P511" i="2"/>
  <c r="O511" i="2"/>
  <c r="Q510" i="2"/>
  <c r="P510" i="2"/>
  <c r="O510" i="2"/>
  <c r="Q509" i="2"/>
  <c r="P509" i="2"/>
  <c r="O509" i="2"/>
  <c r="Q508" i="2"/>
  <c r="P508" i="2"/>
  <c r="O508" i="2"/>
  <c r="Q507" i="2"/>
  <c r="P507" i="2"/>
  <c r="O507" i="2"/>
  <c r="Q506" i="2"/>
  <c r="P506" i="2"/>
  <c r="O506" i="2"/>
  <c r="Q505" i="2"/>
  <c r="P505" i="2"/>
  <c r="O505" i="2"/>
  <c r="Q504" i="2"/>
  <c r="P504" i="2"/>
  <c r="O504" i="2"/>
  <c r="Q503" i="2"/>
  <c r="P503" i="2"/>
  <c r="O503" i="2"/>
  <c r="Q502" i="2"/>
  <c r="P502" i="2"/>
  <c r="O502" i="2"/>
  <c r="Q501" i="2"/>
  <c r="P501" i="2"/>
  <c r="O501" i="2"/>
  <c r="Q500" i="2"/>
  <c r="P500" i="2"/>
  <c r="O500" i="2"/>
  <c r="Q499" i="2"/>
  <c r="P499" i="2"/>
  <c r="O499" i="2"/>
  <c r="Q498" i="2"/>
  <c r="P498" i="2"/>
  <c r="O498" i="2"/>
  <c r="Q497" i="2"/>
  <c r="P497" i="2"/>
  <c r="O497" i="2"/>
  <c r="Q496" i="2"/>
  <c r="K286" i="16" s="1"/>
  <c r="P496" i="2"/>
  <c r="J286" i="16" s="1"/>
  <c r="O496" i="2"/>
  <c r="I286" i="16" s="1"/>
  <c r="Q495" i="2"/>
  <c r="P495" i="2"/>
  <c r="O495" i="2"/>
  <c r="Q494" i="2"/>
  <c r="K285" i="16" s="1"/>
  <c r="P494" i="2"/>
  <c r="J285" i="16" s="1"/>
  <c r="O494" i="2"/>
  <c r="I285" i="16" s="1"/>
  <c r="Q493" i="2"/>
  <c r="P493" i="2"/>
  <c r="O493" i="2"/>
  <c r="Q492" i="2"/>
  <c r="P492" i="2"/>
  <c r="O492" i="2"/>
  <c r="Q491" i="2"/>
  <c r="P491" i="2"/>
  <c r="O491" i="2"/>
  <c r="Q490" i="2"/>
  <c r="P490" i="2"/>
  <c r="O490" i="2"/>
  <c r="Q489" i="2"/>
  <c r="P489" i="2"/>
  <c r="O489" i="2"/>
  <c r="Q487" i="2"/>
  <c r="K284" i="16" s="1"/>
  <c r="P487" i="2"/>
  <c r="J284" i="16" s="1"/>
  <c r="O487" i="2"/>
  <c r="I284" i="16" s="1"/>
  <c r="Q485" i="2"/>
  <c r="P485" i="2"/>
  <c r="O485" i="2"/>
  <c r="Q484" i="2"/>
  <c r="K283" i="16" s="1"/>
  <c r="P484" i="2"/>
  <c r="J283" i="16" s="1"/>
  <c r="O484" i="2"/>
  <c r="I283" i="16" s="1"/>
  <c r="Q483" i="2"/>
  <c r="P483" i="2"/>
  <c r="O483" i="2"/>
  <c r="Q482" i="2"/>
  <c r="P482" i="2"/>
  <c r="O482" i="2"/>
  <c r="Q481" i="2"/>
  <c r="P481" i="2"/>
  <c r="O481" i="2"/>
  <c r="Q480" i="2"/>
  <c r="P480" i="2"/>
  <c r="O480" i="2"/>
  <c r="Q479" i="2"/>
  <c r="P479" i="2"/>
  <c r="O479" i="2"/>
  <c r="Q478" i="2"/>
  <c r="P478" i="2"/>
  <c r="O478" i="2"/>
  <c r="Q477" i="2"/>
  <c r="P477" i="2"/>
  <c r="O477" i="2"/>
  <c r="Q476" i="2"/>
  <c r="P476" i="2"/>
  <c r="O476" i="2"/>
  <c r="Q475" i="2"/>
  <c r="P475" i="2"/>
  <c r="O475" i="2"/>
  <c r="Q474" i="2"/>
  <c r="P474" i="2"/>
  <c r="O474" i="2"/>
  <c r="Q473" i="2"/>
  <c r="P473" i="2"/>
  <c r="O473" i="2"/>
  <c r="Q472" i="2"/>
  <c r="P472" i="2"/>
  <c r="O472" i="2"/>
  <c r="Q471" i="2"/>
  <c r="P471" i="2"/>
  <c r="O471" i="2"/>
  <c r="Q470" i="2"/>
  <c r="K282" i="16" s="1"/>
  <c r="P470" i="2"/>
  <c r="J282" i="16" s="1"/>
  <c r="O470" i="2"/>
  <c r="I282" i="16" s="1"/>
  <c r="Q469" i="2"/>
  <c r="K281" i="16" s="1"/>
  <c r="P469" i="2"/>
  <c r="J281" i="16" s="1"/>
  <c r="O469" i="2"/>
  <c r="I281" i="16" s="1"/>
  <c r="Q468" i="2"/>
  <c r="P468" i="2"/>
  <c r="O468" i="2"/>
  <c r="Q467" i="2"/>
  <c r="P467" i="2"/>
  <c r="O467" i="2"/>
  <c r="Q466" i="2"/>
  <c r="K280" i="16" s="1"/>
  <c r="P466" i="2"/>
  <c r="J280" i="16" s="1"/>
  <c r="O466" i="2"/>
  <c r="I280" i="16" s="1"/>
  <c r="Q465" i="2"/>
  <c r="P465" i="2"/>
  <c r="O465" i="2"/>
  <c r="Q464" i="2"/>
  <c r="P464" i="2"/>
  <c r="O464" i="2"/>
  <c r="Q463" i="2"/>
  <c r="P463" i="2"/>
  <c r="O463" i="2"/>
  <c r="Q462" i="2"/>
  <c r="K344" i="16" s="1"/>
  <c r="P462" i="2"/>
  <c r="J344" i="16" s="1"/>
  <c r="O462" i="2"/>
  <c r="I344" i="16" s="1"/>
  <c r="Q461" i="2"/>
  <c r="P461" i="2"/>
  <c r="O461" i="2"/>
  <c r="Q460" i="2"/>
  <c r="P460" i="2"/>
  <c r="O460" i="2"/>
  <c r="Q459" i="2"/>
  <c r="P459" i="2"/>
  <c r="O459" i="2"/>
  <c r="Q458" i="2"/>
  <c r="P458" i="2"/>
  <c r="O458" i="2"/>
  <c r="Q457" i="2"/>
  <c r="K279" i="16" s="1"/>
  <c r="P457" i="2"/>
  <c r="J279" i="16" s="1"/>
  <c r="O457" i="2"/>
  <c r="I279" i="16" s="1"/>
  <c r="Q456" i="2"/>
  <c r="P456" i="2"/>
  <c r="O456" i="2"/>
  <c r="Q455" i="2"/>
  <c r="K278" i="16" s="1"/>
  <c r="P455" i="2"/>
  <c r="J278" i="16" s="1"/>
  <c r="O455" i="2"/>
  <c r="I278" i="16" s="1"/>
  <c r="Q454" i="2"/>
  <c r="K277" i="16" s="1"/>
  <c r="P454" i="2"/>
  <c r="J277" i="16" s="1"/>
  <c r="O454" i="2"/>
  <c r="I277" i="16" s="1"/>
  <c r="Q453" i="2"/>
  <c r="K276" i="16" s="1"/>
  <c r="P453" i="2"/>
  <c r="J276" i="16" s="1"/>
  <c r="O453" i="2"/>
  <c r="I276" i="16" s="1"/>
  <c r="Q452" i="2"/>
  <c r="K275" i="16" s="1"/>
  <c r="P452" i="2"/>
  <c r="J275" i="16" s="1"/>
  <c r="O452" i="2"/>
  <c r="I275" i="16" s="1"/>
  <c r="Q451" i="2"/>
  <c r="P451" i="2"/>
  <c r="O451" i="2"/>
  <c r="Q450" i="2"/>
  <c r="P450" i="2"/>
  <c r="O450" i="2"/>
  <c r="Q449" i="2"/>
  <c r="P449" i="2"/>
  <c r="O449" i="2"/>
  <c r="Q448" i="2"/>
  <c r="P448" i="2"/>
  <c r="O448" i="2"/>
  <c r="Q447" i="2"/>
  <c r="P447" i="2"/>
  <c r="O447" i="2"/>
  <c r="Q446" i="2"/>
  <c r="P446" i="2"/>
  <c r="O446" i="2"/>
  <c r="Q445" i="2"/>
  <c r="P445" i="2"/>
  <c r="O445" i="2"/>
  <c r="Q444" i="2"/>
  <c r="P444" i="2"/>
  <c r="O444" i="2"/>
  <c r="Q443" i="2"/>
  <c r="K274" i="16" s="1"/>
  <c r="P443" i="2"/>
  <c r="J274" i="16" s="1"/>
  <c r="O443" i="2"/>
  <c r="I274" i="16" s="1"/>
  <c r="Q442" i="2"/>
  <c r="K273" i="16" s="1"/>
  <c r="P442" i="2"/>
  <c r="J273" i="16" s="1"/>
  <c r="O442" i="2"/>
  <c r="I273" i="16" s="1"/>
  <c r="Q441" i="2"/>
  <c r="P441" i="2"/>
  <c r="O441" i="2"/>
  <c r="Q440" i="2"/>
  <c r="K301" i="16" s="1"/>
  <c r="P440" i="2"/>
  <c r="J301" i="16" s="1"/>
  <c r="O440" i="2"/>
  <c r="I301" i="16" s="1"/>
  <c r="Q439" i="2"/>
  <c r="P439" i="2"/>
  <c r="O439" i="2"/>
  <c r="Q438" i="2"/>
  <c r="P438" i="2"/>
  <c r="O438" i="2"/>
  <c r="Q437" i="2"/>
  <c r="K271" i="16" s="1"/>
  <c r="P437" i="2"/>
  <c r="J271" i="16" s="1"/>
  <c r="O437" i="2"/>
  <c r="I271" i="16" s="1"/>
  <c r="Q436" i="2"/>
  <c r="P436" i="2"/>
  <c r="O436" i="2"/>
  <c r="Q435" i="2"/>
  <c r="P435" i="2"/>
  <c r="O435" i="2"/>
  <c r="Q434" i="2"/>
  <c r="K270" i="16" s="1"/>
  <c r="P434" i="2"/>
  <c r="J270" i="16" s="1"/>
  <c r="O434" i="2"/>
  <c r="I270" i="16" s="1"/>
  <c r="Q433" i="2"/>
  <c r="K296" i="16" s="1"/>
  <c r="P433" i="2"/>
  <c r="J296" i="16" s="1"/>
  <c r="O433" i="2"/>
  <c r="I296" i="16" s="1"/>
  <c r="Q432" i="2"/>
  <c r="K268" i="16" s="1"/>
  <c r="P432" i="2"/>
  <c r="J268" i="16" s="1"/>
  <c r="O432" i="2"/>
  <c r="I268" i="16" s="1"/>
  <c r="Q431" i="2"/>
  <c r="K343" i="16" s="1"/>
  <c r="P431" i="2"/>
  <c r="J343" i="16" s="1"/>
  <c r="O431" i="2"/>
  <c r="I343" i="16" s="1"/>
  <c r="Q430" i="2"/>
  <c r="P430" i="2"/>
  <c r="O430" i="2"/>
  <c r="Q429" i="2"/>
  <c r="P429" i="2"/>
  <c r="O429" i="2"/>
  <c r="Q428" i="2"/>
  <c r="P428" i="2"/>
  <c r="O428" i="2"/>
  <c r="Q427" i="2"/>
  <c r="P427" i="2"/>
  <c r="O427" i="2"/>
  <c r="Q426" i="2"/>
  <c r="P426" i="2"/>
  <c r="O426" i="2"/>
  <c r="Q424" i="2"/>
  <c r="P424" i="2"/>
  <c r="O424" i="2"/>
  <c r="Q423" i="2"/>
  <c r="K267" i="16" s="1"/>
  <c r="P423" i="2"/>
  <c r="J267" i="16" s="1"/>
  <c r="O423" i="2"/>
  <c r="I267" i="16" s="1"/>
  <c r="Q422" i="2"/>
  <c r="P422" i="2"/>
  <c r="O422" i="2"/>
  <c r="Q421" i="2"/>
  <c r="P421" i="2"/>
  <c r="O421" i="2"/>
  <c r="Q420" i="2"/>
  <c r="P420" i="2"/>
  <c r="O420" i="2"/>
  <c r="Q419" i="2"/>
  <c r="K266" i="16" s="1"/>
  <c r="P419" i="2"/>
  <c r="J266" i="16" s="1"/>
  <c r="O419" i="2"/>
  <c r="I266" i="16" s="1"/>
  <c r="Q418" i="2"/>
  <c r="K265" i="16" s="1"/>
  <c r="P418" i="2"/>
  <c r="J265" i="16" s="1"/>
  <c r="O418" i="2"/>
  <c r="I265" i="16" s="1"/>
  <c r="Q417" i="2"/>
  <c r="K264" i="16" s="1"/>
  <c r="P417" i="2"/>
  <c r="J264" i="16" s="1"/>
  <c r="O417" i="2"/>
  <c r="I264" i="16" s="1"/>
  <c r="Q416" i="2"/>
  <c r="P416" i="2"/>
  <c r="O416" i="2"/>
  <c r="Q415" i="2"/>
  <c r="P415" i="2"/>
  <c r="O415" i="2"/>
  <c r="Q414" i="2"/>
  <c r="K263" i="16" s="1"/>
  <c r="P414" i="2"/>
  <c r="J263" i="16" s="1"/>
  <c r="O414" i="2"/>
  <c r="I263" i="16" s="1"/>
  <c r="Q413" i="2"/>
  <c r="P413" i="2"/>
  <c r="O413" i="2"/>
  <c r="Q412" i="2"/>
  <c r="P412" i="2"/>
  <c r="O412" i="2"/>
  <c r="Q411" i="2"/>
  <c r="P411" i="2"/>
  <c r="O411" i="2"/>
  <c r="Q410" i="2"/>
  <c r="P410" i="2"/>
  <c r="O410" i="2"/>
  <c r="Q409" i="2"/>
  <c r="P409" i="2"/>
  <c r="O409" i="2"/>
  <c r="Q408" i="2"/>
  <c r="Q11" i="11" s="1"/>
  <c r="Q9" i="11" s="1"/>
  <c r="P408" i="2"/>
  <c r="O408" i="2"/>
  <c r="Q407" i="2"/>
  <c r="P407" i="2"/>
  <c r="O407" i="2"/>
  <c r="Q406" i="2"/>
  <c r="P406" i="2"/>
  <c r="O406" i="2"/>
  <c r="Q405" i="2"/>
  <c r="P405" i="2"/>
  <c r="O405" i="2"/>
  <c r="Q404" i="2"/>
  <c r="P404" i="2"/>
  <c r="O404" i="2"/>
  <c r="Q403" i="2"/>
  <c r="P403" i="2"/>
  <c r="O403" i="2"/>
  <c r="Q402" i="2"/>
  <c r="P402" i="2"/>
  <c r="O402" i="2"/>
  <c r="Q401" i="2"/>
  <c r="P401" i="2"/>
  <c r="O401" i="2"/>
  <c r="Q400" i="2"/>
  <c r="P400" i="2"/>
  <c r="O400" i="2"/>
  <c r="Q399" i="2"/>
  <c r="P399" i="2"/>
  <c r="O399" i="2"/>
  <c r="Q398" i="2"/>
  <c r="P398" i="2"/>
  <c r="O398" i="2"/>
  <c r="Q397" i="2"/>
  <c r="P397" i="2"/>
  <c r="O397" i="2"/>
  <c r="Q396" i="2"/>
  <c r="P396" i="2"/>
  <c r="O396" i="2"/>
  <c r="Q395" i="2"/>
  <c r="K435" i="16" s="1"/>
  <c r="P395" i="2"/>
  <c r="J435" i="16" s="1"/>
  <c r="O395" i="2"/>
  <c r="I435" i="16" s="1"/>
  <c r="Q394" i="2"/>
  <c r="K262" i="16" s="1"/>
  <c r="P394" i="2"/>
  <c r="J262" i="16" s="1"/>
  <c r="O394" i="2"/>
  <c r="I262" i="16" s="1"/>
  <c r="Q393" i="2"/>
  <c r="P393" i="2"/>
  <c r="O393" i="2"/>
  <c r="Q392" i="2"/>
  <c r="P392" i="2"/>
  <c r="O392" i="2"/>
  <c r="Q391" i="2"/>
  <c r="P391" i="2"/>
  <c r="O391" i="2"/>
  <c r="Q390" i="2"/>
  <c r="P390" i="2"/>
  <c r="O390" i="2"/>
  <c r="Q389" i="2"/>
  <c r="P389" i="2"/>
  <c r="O389" i="2"/>
  <c r="Q388" i="2"/>
  <c r="P388" i="2"/>
  <c r="O388" i="2"/>
  <c r="Q387" i="2"/>
  <c r="P387" i="2"/>
  <c r="O387" i="2"/>
  <c r="Q386" i="2"/>
  <c r="K261" i="16" s="1"/>
  <c r="P386" i="2"/>
  <c r="J261" i="16" s="1"/>
  <c r="O386" i="2"/>
  <c r="I261" i="16" s="1"/>
  <c r="Q385" i="2"/>
  <c r="K260" i="16" s="1"/>
  <c r="P385" i="2"/>
  <c r="J260" i="16" s="1"/>
  <c r="O385" i="2"/>
  <c r="I260" i="16" s="1"/>
  <c r="Q384" i="2"/>
  <c r="K259" i="16" s="1"/>
  <c r="P384" i="2"/>
  <c r="J259" i="16" s="1"/>
  <c r="O384" i="2"/>
  <c r="I259" i="16" s="1"/>
  <c r="Q383" i="2"/>
  <c r="K258" i="16" s="1"/>
  <c r="P383" i="2"/>
  <c r="J258" i="16" s="1"/>
  <c r="O383" i="2"/>
  <c r="I258" i="16" s="1"/>
  <c r="Q382" i="2"/>
  <c r="K257" i="16" s="1"/>
  <c r="P382" i="2"/>
  <c r="J257" i="16" s="1"/>
  <c r="O382" i="2"/>
  <c r="I257" i="16" s="1"/>
  <c r="Q381" i="2"/>
  <c r="K272" i="16" s="1"/>
  <c r="P381" i="2"/>
  <c r="J272" i="16" s="1"/>
  <c r="O381" i="2"/>
  <c r="I272" i="16" s="1"/>
  <c r="Q380" i="2"/>
  <c r="P380" i="2"/>
  <c r="O380" i="2"/>
  <c r="Q379" i="2"/>
  <c r="P379" i="2"/>
  <c r="O379" i="2"/>
  <c r="Q378" i="2"/>
  <c r="P378" i="2"/>
  <c r="O378" i="2"/>
  <c r="Q377" i="2"/>
  <c r="P377" i="2"/>
  <c r="O377" i="2"/>
  <c r="Q376" i="2"/>
  <c r="P376" i="2"/>
  <c r="O376" i="2"/>
  <c r="Q375" i="2"/>
  <c r="P375" i="2"/>
  <c r="O375" i="2"/>
  <c r="Q374" i="2"/>
  <c r="P374" i="2"/>
  <c r="O374" i="2"/>
  <c r="Q373" i="2"/>
  <c r="P373" i="2"/>
  <c r="O373" i="2"/>
  <c r="Q372" i="2"/>
  <c r="P372" i="2"/>
  <c r="O372" i="2"/>
  <c r="Q371" i="2"/>
  <c r="P371" i="2"/>
  <c r="O371" i="2"/>
  <c r="Q370" i="2"/>
  <c r="K337" i="16" s="1"/>
  <c r="P370" i="2"/>
  <c r="J337" i="16" s="1"/>
  <c r="O370" i="2"/>
  <c r="I337" i="16" s="1"/>
  <c r="Q369" i="2"/>
  <c r="K336" i="16" s="1"/>
  <c r="P369" i="2"/>
  <c r="J336" i="16" s="1"/>
  <c r="O369" i="2"/>
  <c r="I336" i="16" s="1"/>
  <c r="Q368" i="2"/>
  <c r="K255" i="16" s="1"/>
  <c r="P368" i="2"/>
  <c r="J255" i="16" s="1"/>
  <c r="O368" i="2"/>
  <c r="I255" i="16" s="1"/>
  <c r="Q367" i="2"/>
  <c r="P367" i="2"/>
  <c r="O367" i="2"/>
  <c r="Q366" i="2"/>
  <c r="P366" i="2"/>
  <c r="O366" i="2"/>
  <c r="Q365" i="2"/>
  <c r="P365" i="2"/>
  <c r="O365" i="2"/>
  <c r="Q364" i="2"/>
  <c r="P364" i="2"/>
  <c r="O364" i="2"/>
  <c r="Q363" i="2"/>
  <c r="P363" i="2"/>
  <c r="O363" i="2"/>
  <c r="Q362" i="2"/>
  <c r="P362" i="2"/>
  <c r="O362" i="2"/>
  <c r="Q361" i="2"/>
  <c r="P361" i="2"/>
  <c r="O361" i="2"/>
  <c r="Q360" i="2"/>
  <c r="P14" i="11" s="1"/>
  <c r="V14" i="11" s="1"/>
  <c r="P360" i="2"/>
  <c r="Q359" i="2"/>
  <c r="K254" i="16" s="1"/>
  <c r="P359" i="2"/>
  <c r="J254" i="16" s="1"/>
  <c r="O359" i="2"/>
  <c r="I254" i="16" s="1"/>
  <c r="Q358" i="2"/>
  <c r="P358" i="2"/>
  <c r="O358" i="2"/>
  <c r="Q357" i="2"/>
  <c r="P357" i="2"/>
  <c r="O357" i="2"/>
  <c r="Q356" i="2"/>
  <c r="K252" i="16" s="1"/>
  <c r="P356" i="2"/>
  <c r="J252" i="16" s="1"/>
  <c r="O356" i="2"/>
  <c r="I252" i="16" s="1"/>
  <c r="Q355" i="2"/>
  <c r="K253" i="16" s="1"/>
  <c r="P355" i="2"/>
  <c r="J253" i="16" s="1"/>
  <c r="O355" i="2"/>
  <c r="I253" i="16" s="1"/>
  <c r="Q354" i="2"/>
  <c r="K342" i="16" s="1"/>
  <c r="P354" i="2"/>
  <c r="J342" i="16" s="1"/>
  <c r="O354" i="2"/>
  <c r="I342" i="16" s="1"/>
  <c r="Q353" i="2"/>
  <c r="K251" i="16" s="1"/>
  <c r="P353" i="2"/>
  <c r="J251" i="16" s="1"/>
  <c r="O353" i="2"/>
  <c r="I251" i="16" s="1"/>
  <c r="Q352" i="2"/>
  <c r="K250" i="16" s="1"/>
  <c r="P352" i="2"/>
  <c r="J250" i="16" s="1"/>
  <c r="O352" i="2"/>
  <c r="I250" i="16" s="1"/>
  <c r="Q351" i="2"/>
  <c r="K249" i="16" s="1"/>
  <c r="P351" i="2"/>
  <c r="J249" i="16" s="1"/>
  <c r="O351" i="2"/>
  <c r="I249" i="16" s="1"/>
  <c r="Q350" i="2"/>
  <c r="P350" i="2"/>
  <c r="O350" i="2"/>
  <c r="Q349" i="2"/>
  <c r="K248" i="16" s="1"/>
  <c r="P349" i="2"/>
  <c r="J248" i="16" s="1"/>
  <c r="O349" i="2"/>
  <c r="I248" i="16" s="1"/>
  <c r="Q348" i="2"/>
  <c r="P348" i="2"/>
  <c r="O348" i="2"/>
  <c r="Q347" i="2"/>
  <c r="P347" i="2"/>
  <c r="O347" i="2"/>
  <c r="Q346" i="2"/>
  <c r="P346" i="2"/>
  <c r="O346" i="2"/>
  <c r="Q345" i="2"/>
  <c r="P345" i="2"/>
  <c r="O345" i="2"/>
  <c r="Q344" i="2"/>
  <c r="P344" i="2"/>
  <c r="O344" i="2"/>
  <c r="Q343" i="2"/>
  <c r="P343" i="2"/>
  <c r="O343" i="2"/>
  <c r="Q342" i="2"/>
  <c r="P342" i="2"/>
  <c r="O342" i="2"/>
  <c r="Q341" i="2"/>
  <c r="P341" i="2"/>
  <c r="O341" i="2"/>
  <c r="Q340" i="2"/>
  <c r="P340" i="2"/>
  <c r="O340" i="2"/>
  <c r="Q339" i="2"/>
  <c r="P339" i="2"/>
  <c r="O339" i="2"/>
  <c r="Q338" i="2"/>
  <c r="K246" i="16" s="1"/>
  <c r="P338" i="2"/>
  <c r="J246" i="16" s="1"/>
  <c r="O338" i="2"/>
  <c r="I246" i="16" s="1"/>
  <c r="Q337" i="2"/>
  <c r="P337" i="2"/>
  <c r="O337" i="2"/>
  <c r="Q336" i="2"/>
  <c r="K245" i="16" s="1"/>
  <c r="P336" i="2"/>
  <c r="J245" i="16" s="1"/>
  <c r="O336" i="2"/>
  <c r="I245" i="16" s="1"/>
  <c r="Q335" i="2"/>
  <c r="K244" i="16" s="1"/>
  <c r="P335" i="2"/>
  <c r="J244" i="16" s="1"/>
  <c r="O335" i="2"/>
  <c r="I244" i="16" s="1"/>
  <c r="Q334" i="2"/>
  <c r="P334" i="2"/>
  <c r="O334" i="2"/>
  <c r="Q333" i="2"/>
  <c r="P333" i="2"/>
  <c r="O333" i="2"/>
  <c r="Q332" i="2"/>
  <c r="P332" i="2"/>
  <c r="O332" i="2"/>
  <c r="Q331" i="2"/>
  <c r="P331" i="2"/>
  <c r="O331" i="2"/>
  <c r="Q330" i="2"/>
  <c r="P330" i="2"/>
  <c r="O330" i="2"/>
  <c r="Q329" i="2"/>
  <c r="P329" i="2"/>
  <c r="O329" i="2"/>
  <c r="Q328" i="2"/>
  <c r="P328" i="2"/>
  <c r="O328" i="2"/>
  <c r="Q327" i="2"/>
  <c r="P327" i="2"/>
  <c r="O327" i="2"/>
  <c r="Q326" i="2"/>
  <c r="P326" i="2"/>
  <c r="O326" i="2"/>
  <c r="Q325" i="2"/>
  <c r="P325" i="2"/>
  <c r="O325" i="2"/>
  <c r="Q324" i="2"/>
  <c r="K243" i="16" s="1"/>
  <c r="P324" i="2"/>
  <c r="J243" i="16" s="1"/>
  <c r="O324" i="2"/>
  <c r="I243" i="16" s="1"/>
  <c r="Q323" i="2"/>
  <c r="K242" i="16" s="1"/>
  <c r="P323" i="2"/>
  <c r="J242" i="16" s="1"/>
  <c r="O323" i="2"/>
  <c r="I242" i="16" s="1"/>
  <c r="Q322" i="2"/>
  <c r="K241" i="16" s="1"/>
  <c r="P322" i="2"/>
  <c r="J241" i="16" s="1"/>
  <c r="O322" i="2"/>
  <c r="I241" i="16" s="1"/>
  <c r="Q321" i="2"/>
  <c r="K240" i="16" s="1"/>
  <c r="P321" i="2"/>
  <c r="J240" i="16" s="1"/>
  <c r="O321" i="2"/>
  <c r="I240" i="16" s="1"/>
  <c r="Q320" i="2"/>
  <c r="K239" i="16" s="1"/>
  <c r="P320" i="2"/>
  <c r="J239" i="16" s="1"/>
  <c r="O320" i="2"/>
  <c r="I239" i="16" s="1"/>
  <c r="Q319" i="2"/>
  <c r="K238" i="16" s="1"/>
  <c r="P319" i="2"/>
  <c r="J238" i="16" s="1"/>
  <c r="O319" i="2"/>
  <c r="I238" i="16" s="1"/>
  <c r="Q318" i="2"/>
  <c r="K385" i="16" s="1"/>
  <c r="P318" i="2"/>
  <c r="J385" i="16" s="1"/>
  <c r="O318" i="2"/>
  <c r="I385" i="16" s="1"/>
  <c r="Q317" i="2"/>
  <c r="K434" i="16" s="1"/>
  <c r="P317" i="2"/>
  <c r="J434" i="16" s="1"/>
  <c r="O317" i="2"/>
  <c r="I434" i="16" s="1"/>
  <c r="Q316" i="2"/>
  <c r="K269" i="16" s="1"/>
  <c r="P316" i="2"/>
  <c r="J269" i="16" s="1"/>
  <c r="O316" i="2"/>
  <c r="I269" i="16" s="1"/>
  <c r="Q315" i="2"/>
  <c r="K237" i="16" s="1"/>
  <c r="P315" i="2"/>
  <c r="J237" i="16" s="1"/>
  <c r="O315" i="2"/>
  <c r="I237" i="16" s="1"/>
  <c r="Q314" i="2"/>
  <c r="P314" i="2"/>
  <c r="O314" i="2"/>
  <c r="Q313" i="2"/>
  <c r="P313" i="2"/>
  <c r="O313" i="2"/>
  <c r="Q311" i="2"/>
  <c r="K341" i="16" s="1"/>
  <c r="P311" i="2"/>
  <c r="J341" i="16" s="1"/>
  <c r="O311" i="2"/>
  <c r="I341" i="16" s="1"/>
  <c r="Q309" i="2"/>
  <c r="P309" i="2"/>
  <c r="O309" i="2"/>
  <c r="Q307" i="2"/>
  <c r="P307" i="2"/>
  <c r="O307" i="2"/>
  <c r="Q305" i="2"/>
  <c r="P305" i="2"/>
  <c r="O305" i="2"/>
  <c r="Q304" i="2"/>
  <c r="K256" i="16" s="1"/>
  <c r="P304" i="2"/>
  <c r="J256" i="16" s="1"/>
  <c r="O304" i="2"/>
  <c r="I256" i="16" s="1"/>
  <c r="Q303" i="2"/>
  <c r="P303" i="2"/>
  <c r="O303" i="2"/>
  <c r="Q302" i="2"/>
  <c r="P302" i="2"/>
  <c r="O302" i="2"/>
  <c r="Q301" i="2"/>
  <c r="P301" i="2"/>
  <c r="O301" i="2"/>
  <c r="Q300" i="2"/>
  <c r="P300" i="2"/>
  <c r="O300" i="2"/>
  <c r="Q299" i="2"/>
  <c r="K235" i="16" s="1"/>
  <c r="P299" i="2"/>
  <c r="J235" i="16" s="1"/>
  <c r="O299" i="2"/>
  <c r="I235" i="16" s="1"/>
  <c r="Q298" i="2"/>
  <c r="P298" i="2"/>
  <c r="O298" i="2"/>
  <c r="Q297" i="2"/>
  <c r="K155" i="16" s="1"/>
  <c r="P297" i="2"/>
  <c r="J155" i="16" s="1"/>
  <c r="O297" i="2"/>
  <c r="I155" i="16" s="1"/>
  <c r="Q296" i="2"/>
  <c r="P296" i="2"/>
  <c r="O296" i="2"/>
  <c r="Q295" i="2"/>
  <c r="K233" i="16" s="1"/>
  <c r="P295" i="2"/>
  <c r="J233" i="16" s="1"/>
  <c r="O295" i="2"/>
  <c r="I233" i="16" s="1"/>
  <c r="Q294" i="2"/>
  <c r="K335" i="16" s="1"/>
  <c r="P294" i="2"/>
  <c r="J335" i="16" s="1"/>
  <c r="O294" i="2"/>
  <c r="I335" i="16" s="1"/>
  <c r="Q293" i="2"/>
  <c r="P293" i="2"/>
  <c r="O293" i="2"/>
  <c r="Q292" i="2"/>
  <c r="K232" i="16" s="1"/>
  <c r="P292" i="2"/>
  <c r="J232" i="16" s="1"/>
  <c r="O292" i="2"/>
  <c r="I232" i="16" s="1"/>
  <c r="Q291" i="2"/>
  <c r="P291" i="2"/>
  <c r="O291" i="2"/>
  <c r="Q290" i="2"/>
  <c r="K231" i="16" s="1"/>
  <c r="P290" i="2"/>
  <c r="J231" i="16" s="1"/>
  <c r="O290" i="2"/>
  <c r="I231" i="16" s="1"/>
  <c r="Q289" i="2"/>
  <c r="P289" i="2"/>
  <c r="O289" i="2"/>
  <c r="Q288" i="2"/>
  <c r="P288" i="2"/>
  <c r="O288" i="2"/>
  <c r="Q287" i="2"/>
  <c r="P287" i="2"/>
  <c r="O287" i="2"/>
  <c r="Q286" i="2"/>
  <c r="P286" i="2"/>
  <c r="O286" i="2"/>
  <c r="Q285" i="2"/>
  <c r="N12" i="11" s="1"/>
  <c r="P285" i="2"/>
  <c r="O285" i="2"/>
  <c r="Q284" i="2"/>
  <c r="O12" i="11" s="1"/>
  <c r="O9" i="11" s="1"/>
  <c r="P284" i="2"/>
  <c r="O284" i="2"/>
  <c r="Q283" i="2"/>
  <c r="P283" i="2"/>
  <c r="O283" i="2"/>
  <c r="Q282" i="2"/>
  <c r="P282" i="2"/>
  <c r="O282" i="2"/>
  <c r="Q281" i="2"/>
  <c r="K230" i="16" s="1"/>
  <c r="P281" i="2"/>
  <c r="J230" i="16" s="1"/>
  <c r="O281" i="2"/>
  <c r="I230" i="16" s="1"/>
  <c r="Q280" i="2"/>
  <c r="P280" i="2"/>
  <c r="O280" i="2"/>
  <c r="Q279" i="2"/>
  <c r="P279" i="2"/>
  <c r="O279" i="2"/>
  <c r="Q278" i="2"/>
  <c r="P278" i="2"/>
  <c r="O278" i="2"/>
  <c r="Q277" i="2"/>
  <c r="P277" i="2"/>
  <c r="O277" i="2"/>
  <c r="Q276" i="2"/>
  <c r="S21" i="11" s="1"/>
  <c r="P276" i="2"/>
  <c r="O276" i="2"/>
  <c r="Q275" i="2"/>
  <c r="P275" i="2"/>
  <c r="O275" i="2"/>
  <c r="Q274" i="2"/>
  <c r="K236" i="16" s="1"/>
  <c r="P274" i="2"/>
  <c r="J236" i="16" s="1"/>
  <c r="O274" i="2"/>
  <c r="I236" i="16" s="1"/>
  <c r="Q273" i="2"/>
  <c r="K228" i="16" s="1"/>
  <c r="P273" i="2"/>
  <c r="J228" i="16" s="1"/>
  <c r="O273" i="2"/>
  <c r="I228" i="16" s="1"/>
  <c r="Q272" i="2"/>
  <c r="P272" i="2"/>
  <c r="O272" i="2"/>
  <c r="Q271" i="2"/>
  <c r="P271" i="2"/>
  <c r="O271" i="2"/>
  <c r="Q270" i="2"/>
  <c r="P270" i="2"/>
  <c r="O270" i="2"/>
  <c r="Q269" i="2"/>
  <c r="P269" i="2"/>
  <c r="O269" i="2"/>
  <c r="Q268" i="2"/>
  <c r="P268" i="2"/>
  <c r="O268" i="2"/>
  <c r="Q267" i="2"/>
  <c r="P267" i="2"/>
  <c r="O267" i="2"/>
  <c r="Q266" i="2"/>
  <c r="P266" i="2"/>
  <c r="O266" i="2"/>
  <c r="Q265" i="2"/>
  <c r="P265" i="2"/>
  <c r="O265" i="2"/>
  <c r="Q264" i="2"/>
  <c r="P264" i="2"/>
  <c r="O264" i="2"/>
  <c r="Q263" i="2"/>
  <c r="P263" i="2"/>
  <c r="O263" i="2"/>
  <c r="Q262" i="2"/>
  <c r="P262" i="2"/>
  <c r="O262" i="2"/>
  <c r="Q261" i="2"/>
  <c r="P261" i="2"/>
  <c r="O261" i="2"/>
  <c r="Q260" i="2"/>
  <c r="P260" i="2"/>
  <c r="O260" i="2"/>
  <c r="Q259" i="2"/>
  <c r="P259" i="2"/>
  <c r="O259" i="2"/>
  <c r="Q258" i="2"/>
  <c r="P258" i="2"/>
  <c r="O258" i="2"/>
  <c r="Q257" i="2"/>
  <c r="P257" i="2"/>
  <c r="O257" i="2"/>
  <c r="Q256" i="2"/>
  <c r="P256" i="2"/>
  <c r="O256" i="2"/>
  <c r="Q255" i="2"/>
  <c r="P255" i="2"/>
  <c r="O255" i="2"/>
  <c r="Q254" i="2"/>
  <c r="P254" i="2"/>
  <c r="O254" i="2"/>
  <c r="Q253" i="2"/>
  <c r="P253" i="2"/>
  <c r="O253" i="2"/>
  <c r="Q252" i="2"/>
  <c r="P252" i="2"/>
  <c r="O252" i="2"/>
  <c r="Q251" i="2"/>
  <c r="P251" i="2"/>
  <c r="O251" i="2"/>
  <c r="Q250" i="2"/>
  <c r="P250" i="2"/>
  <c r="O250" i="2"/>
  <c r="Q249" i="2"/>
  <c r="P249" i="2"/>
  <c r="O249" i="2"/>
  <c r="Q248" i="2"/>
  <c r="P248" i="2"/>
  <c r="O248" i="2"/>
  <c r="Q247" i="2"/>
  <c r="P247" i="2"/>
  <c r="O247" i="2"/>
  <c r="Q246" i="2"/>
  <c r="P246" i="2"/>
  <c r="O246" i="2"/>
  <c r="Q245" i="2"/>
  <c r="P245" i="2"/>
  <c r="O245" i="2"/>
  <c r="Q244" i="2"/>
  <c r="P244" i="2"/>
  <c r="O244" i="2"/>
  <c r="Q243" i="2"/>
  <c r="P243" i="2"/>
  <c r="O243" i="2"/>
  <c r="Q242" i="2"/>
  <c r="P242" i="2"/>
  <c r="O242" i="2"/>
  <c r="Q241" i="2"/>
  <c r="P241" i="2"/>
  <c r="O241" i="2"/>
  <c r="Q240" i="2"/>
  <c r="P240" i="2"/>
  <c r="O240" i="2"/>
  <c r="Q239" i="2"/>
  <c r="P239" i="2"/>
  <c r="O239" i="2"/>
  <c r="Q238" i="2"/>
  <c r="P238" i="2"/>
  <c r="O238" i="2"/>
  <c r="Q237" i="2"/>
  <c r="P237" i="2"/>
  <c r="O237" i="2"/>
  <c r="Q236" i="2"/>
  <c r="P236" i="2"/>
  <c r="O236" i="2"/>
  <c r="Q235" i="2"/>
  <c r="P235" i="2"/>
  <c r="O235" i="2"/>
  <c r="Q234" i="2"/>
  <c r="P234" i="2"/>
  <c r="O234" i="2"/>
  <c r="Q233" i="2"/>
  <c r="P233" i="2"/>
  <c r="O233" i="2"/>
  <c r="Q232" i="2"/>
  <c r="P232" i="2"/>
  <c r="O232" i="2"/>
  <c r="Q231" i="2"/>
  <c r="P231" i="2"/>
  <c r="O231" i="2"/>
  <c r="Q230" i="2"/>
  <c r="K229" i="16" s="1"/>
  <c r="P230" i="2"/>
  <c r="J229" i="16" s="1"/>
  <c r="O230" i="2"/>
  <c r="I229" i="16" s="1"/>
  <c r="Q229" i="2"/>
  <c r="P229" i="2"/>
  <c r="O229" i="2"/>
  <c r="Q228" i="2"/>
  <c r="P228" i="2"/>
  <c r="O228" i="2"/>
  <c r="Q227" i="2"/>
  <c r="P227" i="2"/>
  <c r="O227" i="2"/>
  <c r="Q226" i="2"/>
  <c r="P226" i="2"/>
  <c r="O226" i="2"/>
  <c r="Q225" i="2"/>
  <c r="P225" i="2"/>
  <c r="O225" i="2"/>
  <c r="Q224" i="2"/>
  <c r="P224" i="2"/>
  <c r="O224" i="2"/>
  <c r="Q223" i="2"/>
  <c r="P223" i="2"/>
  <c r="O223" i="2"/>
  <c r="Q222" i="2"/>
  <c r="P222" i="2"/>
  <c r="O222" i="2"/>
  <c r="Q221" i="2"/>
  <c r="P221" i="2"/>
  <c r="O221" i="2"/>
  <c r="Q220" i="2"/>
  <c r="P220" i="2"/>
  <c r="O220" i="2"/>
  <c r="Q219" i="2"/>
  <c r="P219" i="2"/>
  <c r="O219" i="2"/>
  <c r="Q218" i="2"/>
  <c r="P218" i="2"/>
  <c r="O218" i="2"/>
  <c r="Q217" i="2"/>
  <c r="P217" i="2"/>
  <c r="O217" i="2"/>
  <c r="Q216" i="2"/>
  <c r="P216" i="2"/>
  <c r="O216" i="2"/>
  <c r="Q215" i="2"/>
  <c r="P215" i="2"/>
  <c r="O215" i="2"/>
  <c r="Q214" i="2"/>
  <c r="P214" i="2"/>
  <c r="O214" i="2"/>
  <c r="Q213" i="2"/>
  <c r="P213" i="2"/>
  <c r="O213" i="2"/>
  <c r="Q212" i="2"/>
  <c r="P212" i="2"/>
  <c r="O212" i="2"/>
  <c r="Q211" i="2"/>
  <c r="P211" i="2"/>
  <c r="O211" i="2"/>
  <c r="Q210" i="2"/>
  <c r="P210" i="2"/>
  <c r="O210" i="2"/>
  <c r="Q209" i="2"/>
  <c r="P209" i="2"/>
  <c r="O209" i="2"/>
  <c r="Q208" i="2"/>
  <c r="P208" i="2"/>
  <c r="O208" i="2"/>
  <c r="Q207" i="2"/>
  <c r="P207" i="2"/>
  <c r="O207" i="2"/>
  <c r="Q206" i="2"/>
  <c r="P206" i="2"/>
  <c r="O206" i="2"/>
  <c r="Q205" i="2"/>
  <c r="K226" i="16" s="1"/>
  <c r="P205" i="2"/>
  <c r="J226" i="16" s="1"/>
  <c r="O205" i="2"/>
  <c r="I226" i="16" s="1"/>
  <c r="Q204" i="2"/>
  <c r="P204" i="2"/>
  <c r="O204" i="2"/>
  <c r="Q203" i="2"/>
  <c r="P203" i="2"/>
  <c r="O203" i="2"/>
  <c r="Q202" i="2"/>
  <c r="P202" i="2"/>
  <c r="O202" i="2"/>
  <c r="Q201" i="2"/>
  <c r="P201" i="2"/>
  <c r="O201" i="2"/>
  <c r="Q200" i="2"/>
  <c r="P200" i="2"/>
  <c r="O200" i="2"/>
  <c r="Q199" i="2"/>
  <c r="P199" i="2"/>
  <c r="O199" i="2"/>
  <c r="Q198" i="2"/>
  <c r="P198" i="2"/>
  <c r="O198" i="2"/>
  <c r="Q196" i="2"/>
  <c r="K225" i="16" s="1"/>
  <c r="P196" i="2"/>
  <c r="J225" i="16" s="1"/>
  <c r="O196" i="2"/>
  <c r="I225" i="16" s="1"/>
  <c r="Q195" i="2"/>
  <c r="K227" i="16" s="1"/>
  <c r="P195" i="2"/>
  <c r="J227" i="16" s="1"/>
  <c r="O195" i="2"/>
  <c r="I227" i="16" s="1"/>
  <c r="Q194" i="2"/>
  <c r="P194" i="2"/>
  <c r="O194" i="2"/>
  <c r="Q193" i="2"/>
  <c r="P193" i="2"/>
  <c r="O193" i="2"/>
  <c r="Q192" i="2"/>
  <c r="K334" i="16" s="1"/>
  <c r="P192" i="2"/>
  <c r="J334" i="16" s="1"/>
  <c r="O192" i="2"/>
  <c r="I334" i="16" s="1"/>
  <c r="Q191" i="2"/>
  <c r="P191" i="2"/>
  <c r="O191" i="2"/>
  <c r="Q190" i="2"/>
  <c r="W24" i="11" s="1"/>
  <c r="P190" i="2"/>
  <c r="O190" i="2"/>
  <c r="Q189" i="2"/>
  <c r="P189" i="2"/>
  <c r="O189" i="2"/>
  <c r="Q188" i="2"/>
  <c r="P188" i="2"/>
  <c r="O188" i="2"/>
  <c r="Q187" i="2"/>
  <c r="P187" i="2"/>
  <c r="O187" i="2"/>
  <c r="Q186" i="2"/>
  <c r="P186" i="2"/>
  <c r="O186" i="2"/>
  <c r="Q185" i="2"/>
  <c r="P185" i="2"/>
  <c r="O185" i="2"/>
  <c r="Q184" i="2"/>
  <c r="P184" i="2"/>
  <c r="O184" i="2"/>
  <c r="Q183" i="2"/>
  <c r="P183" i="2"/>
  <c r="O183" i="2"/>
  <c r="Q182" i="2"/>
  <c r="P182" i="2"/>
  <c r="O182" i="2"/>
  <c r="Q181" i="2"/>
  <c r="K222" i="16" s="1"/>
  <c r="P181" i="2"/>
  <c r="J222" i="16" s="1"/>
  <c r="O181" i="2"/>
  <c r="I222" i="16" s="1"/>
  <c r="Q180" i="2"/>
  <c r="P180" i="2"/>
  <c r="O180" i="2"/>
  <c r="Q179" i="2"/>
  <c r="P179" i="2"/>
  <c r="O179" i="2"/>
  <c r="Q178" i="2"/>
  <c r="K333" i="16" s="1"/>
  <c r="P178" i="2"/>
  <c r="J333" i="16" s="1"/>
  <c r="O178" i="2"/>
  <c r="I333" i="16" s="1"/>
  <c r="Q177" i="2"/>
  <c r="P177" i="2"/>
  <c r="O177" i="2"/>
  <c r="Q176" i="2"/>
  <c r="P176" i="2"/>
  <c r="O176" i="2"/>
  <c r="Q175" i="2"/>
  <c r="P175" i="2"/>
  <c r="O175" i="2"/>
  <c r="Q174" i="2"/>
  <c r="P174" i="2"/>
  <c r="O174" i="2"/>
  <c r="Q173" i="2"/>
  <c r="P173" i="2"/>
  <c r="O173" i="2"/>
  <c r="Q172" i="2"/>
  <c r="P172" i="2"/>
  <c r="O172" i="2"/>
  <c r="Q171" i="2"/>
  <c r="P171" i="2"/>
  <c r="O171" i="2"/>
  <c r="Q170" i="2"/>
  <c r="P170" i="2"/>
  <c r="O170" i="2"/>
  <c r="Q169" i="2"/>
  <c r="P169" i="2"/>
  <c r="O169" i="2"/>
  <c r="Q168" i="2"/>
  <c r="K221" i="16" s="1"/>
  <c r="P168" i="2"/>
  <c r="J221" i="16" s="1"/>
  <c r="O168" i="2"/>
  <c r="I221" i="16" s="1"/>
  <c r="Q167" i="2"/>
  <c r="K220" i="16" s="1"/>
  <c r="P167" i="2"/>
  <c r="J220" i="16" s="1"/>
  <c r="O167" i="2"/>
  <c r="I220" i="16" s="1"/>
  <c r="Q166" i="2"/>
  <c r="P166" i="2"/>
  <c r="O166" i="2"/>
  <c r="Q165" i="2"/>
  <c r="P165" i="2"/>
  <c r="O165" i="2"/>
  <c r="Q164" i="2"/>
  <c r="P164" i="2"/>
  <c r="O164" i="2"/>
  <c r="Q163" i="2"/>
  <c r="P163" i="2"/>
  <c r="O163" i="2"/>
  <c r="Q162" i="2"/>
  <c r="P162" i="2"/>
  <c r="O162" i="2"/>
  <c r="Q161" i="2"/>
  <c r="K223" i="16" s="1"/>
  <c r="P161" i="2"/>
  <c r="J223" i="16" s="1"/>
  <c r="O161" i="2"/>
  <c r="I223" i="16" s="1"/>
  <c r="Q160" i="2"/>
  <c r="P160" i="2"/>
  <c r="O160" i="2"/>
  <c r="Q159" i="2"/>
  <c r="P159" i="2"/>
  <c r="O159" i="2"/>
  <c r="Q158" i="2"/>
  <c r="P158" i="2"/>
  <c r="O158" i="2"/>
  <c r="Q157" i="2"/>
  <c r="P157" i="2"/>
  <c r="O157" i="2"/>
  <c r="Q156" i="2"/>
  <c r="P156" i="2"/>
  <c r="O156" i="2"/>
  <c r="Q155" i="2"/>
  <c r="P155" i="2"/>
  <c r="O155" i="2"/>
  <c r="Q154" i="2"/>
  <c r="P154" i="2"/>
  <c r="O154" i="2"/>
  <c r="Q153" i="2"/>
  <c r="P153" i="2"/>
  <c r="O153" i="2"/>
  <c r="Q152" i="2"/>
  <c r="P152" i="2"/>
  <c r="O152" i="2"/>
  <c r="Q151" i="2"/>
  <c r="P151" i="2"/>
  <c r="O151" i="2"/>
  <c r="Q150" i="2"/>
  <c r="K219" i="16" s="1"/>
  <c r="P150" i="2"/>
  <c r="J219" i="16" s="1"/>
  <c r="O150" i="2"/>
  <c r="I219" i="16" s="1"/>
  <c r="Q149" i="2"/>
  <c r="P149" i="2"/>
  <c r="O149" i="2"/>
  <c r="Q148" i="2"/>
  <c r="K218" i="16" s="1"/>
  <c r="P148" i="2"/>
  <c r="J218" i="16" s="1"/>
  <c r="O148" i="2"/>
  <c r="I218" i="16" s="1"/>
  <c r="Q147" i="2"/>
  <c r="P147" i="2"/>
  <c r="O147" i="2"/>
  <c r="Q146" i="2"/>
  <c r="P146" i="2"/>
  <c r="O146" i="2"/>
  <c r="Q145" i="2"/>
  <c r="P145" i="2"/>
  <c r="O145" i="2"/>
  <c r="Q144" i="2"/>
  <c r="P144" i="2"/>
  <c r="O144" i="2"/>
  <c r="Q143" i="2"/>
  <c r="P143" i="2"/>
  <c r="O143" i="2"/>
  <c r="Q142" i="2"/>
  <c r="P23" i="11" s="1"/>
  <c r="P20" i="11" s="1"/>
  <c r="P142" i="2"/>
  <c r="O142" i="2"/>
  <c r="Q141" i="2"/>
  <c r="K217" i="16" s="1"/>
  <c r="P141" i="2"/>
  <c r="J217" i="16" s="1"/>
  <c r="O141" i="2"/>
  <c r="I217" i="16" s="1"/>
  <c r="Q140" i="2"/>
  <c r="K224" i="16" s="1"/>
  <c r="P140" i="2"/>
  <c r="J224" i="16" s="1"/>
  <c r="O140" i="2"/>
  <c r="I224" i="16" s="1"/>
  <c r="Q139" i="2"/>
  <c r="K215" i="16" s="1"/>
  <c r="P139" i="2"/>
  <c r="J215" i="16" s="1"/>
  <c r="O139" i="2"/>
  <c r="I215" i="16" s="1"/>
  <c r="Q138" i="2"/>
  <c r="K214" i="16" s="1"/>
  <c r="P138" i="2"/>
  <c r="J214" i="16" s="1"/>
  <c r="O138" i="2"/>
  <c r="I214" i="16" s="1"/>
  <c r="Q137" i="2"/>
  <c r="K213" i="16" s="1"/>
  <c r="P137" i="2"/>
  <c r="J213" i="16" s="1"/>
  <c r="O137" i="2"/>
  <c r="I213" i="16" s="1"/>
  <c r="Q136" i="2"/>
  <c r="P136" i="2"/>
  <c r="O136" i="2"/>
  <c r="Q135" i="2"/>
  <c r="K433" i="16" s="1"/>
  <c r="P135" i="2"/>
  <c r="J433" i="16" s="1"/>
  <c r="O135" i="2"/>
  <c r="I433" i="16" s="1"/>
  <c r="Q134" i="2"/>
  <c r="K432" i="16" s="1"/>
  <c r="P134" i="2"/>
  <c r="J432" i="16" s="1"/>
  <c r="O134" i="2"/>
  <c r="I432" i="16" s="1"/>
  <c r="Q133" i="2"/>
  <c r="K212" i="16" s="1"/>
  <c r="P133" i="2"/>
  <c r="J212" i="16" s="1"/>
  <c r="O133" i="2"/>
  <c r="I212" i="16" s="1"/>
  <c r="Q132" i="2"/>
  <c r="P132" i="2"/>
  <c r="O132" i="2"/>
  <c r="Q131" i="2"/>
  <c r="P131" i="2"/>
  <c r="O131" i="2"/>
  <c r="Q130" i="2"/>
  <c r="P130" i="2"/>
  <c r="O130" i="2"/>
  <c r="Q129" i="2"/>
  <c r="P129" i="2"/>
  <c r="O129" i="2"/>
  <c r="Q128" i="2"/>
  <c r="P128" i="2"/>
  <c r="O128" i="2"/>
  <c r="Q127" i="2"/>
  <c r="P127" i="2"/>
  <c r="O127" i="2"/>
  <c r="Q126" i="2"/>
  <c r="P126" i="2"/>
  <c r="O126" i="2"/>
  <c r="Q125" i="2"/>
  <c r="P125" i="2"/>
  <c r="O125" i="2"/>
  <c r="Q124" i="2"/>
  <c r="P124" i="2"/>
  <c r="O124" i="2"/>
  <c r="Q123" i="2"/>
  <c r="K211" i="16" s="1"/>
  <c r="P123" i="2"/>
  <c r="J211" i="16" s="1"/>
  <c r="O123" i="2"/>
  <c r="I211" i="16" s="1"/>
  <c r="Q122" i="2"/>
  <c r="K210" i="16" s="1"/>
  <c r="P122" i="2"/>
  <c r="J210" i="16" s="1"/>
  <c r="O122" i="2"/>
  <c r="I210" i="16" s="1"/>
  <c r="Q121" i="2"/>
  <c r="P121" i="2"/>
  <c r="O121" i="2"/>
  <c r="Q120" i="2"/>
  <c r="P120" i="2"/>
  <c r="O120" i="2"/>
  <c r="Q119" i="2"/>
  <c r="P119" i="2"/>
  <c r="O119" i="2"/>
  <c r="Q118" i="2"/>
  <c r="P118" i="2"/>
  <c r="O118" i="2"/>
  <c r="Q117" i="2"/>
  <c r="K209" i="16" s="1"/>
  <c r="P117" i="2"/>
  <c r="J209" i="16" s="1"/>
  <c r="O117" i="2"/>
  <c r="I209" i="16" s="1"/>
  <c r="Q116" i="2"/>
  <c r="P116" i="2"/>
  <c r="O116" i="2"/>
  <c r="Q115" i="2"/>
  <c r="P115" i="2"/>
  <c r="O115" i="2"/>
  <c r="Q114" i="2"/>
  <c r="P114" i="2"/>
  <c r="O114" i="2"/>
  <c r="Q113" i="2"/>
  <c r="P113" i="2"/>
  <c r="O113" i="2"/>
  <c r="Q112" i="2"/>
  <c r="P112" i="2"/>
  <c r="O112" i="2"/>
  <c r="Q111" i="2"/>
  <c r="W28" i="11" s="1"/>
  <c r="X28" i="11" s="1"/>
  <c r="Y28" i="11" s="1"/>
  <c r="P111" i="2"/>
  <c r="O111" i="2"/>
  <c r="Q110" i="2"/>
  <c r="P110" i="2"/>
  <c r="O110" i="2"/>
  <c r="Q109" i="2"/>
  <c r="P109" i="2"/>
  <c r="O109" i="2"/>
  <c r="Q108" i="2"/>
  <c r="P108" i="2"/>
  <c r="O108" i="2"/>
  <c r="Q107" i="2"/>
  <c r="K207" i="16" s="1"/>
  <c r="P107" i="2"/>
  <c r="J207" i="16" s="1"/>
  <c r="O107" i="2"/>
  <c r="I207" i="16" s="1"/>
  <c r="Q106" i="2"/>
  <c r="P11" i="20" s="1"/>
  <c r="P106" i="2"/>
  <c r="O106" i="2"/>
  <c r="Q105" i="2"/>
  <c r="S11" i="20" s="1"/>
  <c r="P105" i="2"/>
  <c r="O105" i="2"/>
  <c r="Q104" i="2"/>
  <c r="P104" i="2"/>
  <c r="O104" i="2"/>
  <c r="Q103" i="2"/>
  <c r="K206" i="16" s="1"/>
  <c r="P103" i="2"/>
  <c r="J206" i="16" s="1"/>
  <c r="O103" i="2"/>
  <c r="I206" i="16" s="1"/>
  <c r="Q102" i="2"/>
  <c r="P102" i="2"/>
  <c r="O102" i="2"/>
  <c r="Q101" i="2"/>
  <c r="P101" i="2"/>
  <c r="O101" i="2"/>
  <c r="Q100" i="2"/>
  <c r="P100" i="2"/>
  <c r="O100" i="2"/>
  <c r="Q99" i="2"/>
  <c r="P99" i="2"/>
  <c r="O99" i="2"/>
  <c r="Q98" i="2"/>
  <c r="P98" i="2"/>
  <c r="O98" i="2"/>
  <c r="Q97" i="2"/>
  <c r="P97" i="2"/>
  <c r="O97" i="2"/>
  <c r="Q96" i="2"/>
  <c r="K205" i="16" s="1"/>
  <c r="P96" i="2"/>
  <c r="J205" i="16" s="1"/>
  <c r="O96" i="2"/>
  <c r="I205" i="16" s="1"/>
  <c r="Q95" i="2"/>
  <c r="K204" i="16" s="1"/>
  <c r="P95" i="2"/>
  <c r="J204" i="16" s="1"/>
  <c r="O95" i="2"/>
  <c r="I204" i="16" s="1"/>
  <c r="Q94" i="2"/>
  <c r="K216" i="16" s="1"/>
  <c r="P94" i="2"/>
  <c r="J216" i="16" s="1"/>
  <c r="O94" i="2"/>
  <c r="I216" i="16" s="1"/>
  <c r="Q93" i="2"/>
  <c r="P93" i="2"/>
  <c r="O93" i="2"/>
  <c r="Q92" i="2"/>
  <c r="P92" i="2"/>
  <c r="O92" i="2"/>
  <c r="Q91" i="2"/>
  <c r="P91" i="2"/>
  <c r="O91" i="2"/>
  <c r="Q90" i="2"/>
  <c r="P90" i="2"/>
  <c r="O90" i="2"/>
  <c r="Q89" i="2"/>
  <c r="K202" i="16" s="1"/>
  <c r="P89" i="2"/>
  <c r="J202" i="16" s="1"/>
  <c r="O89" i="2"/>
  <c r="I202" i="16" s="1"/>
  <c r="Q88" i="2"/>
  <c r="P88" i="2"/>
  <c r="O88" i="2"/>
  <c r="Q87" i="2"/>
  <c r="P87" i="2"/>
  <c r="O87" i="2"/>
  <c r="Q86" i="2"/>
  <c r="P86" i="2"/>
  <c r="O86" i="2"/>
  <c r="Q85" i="2"/>
  <c r="P85" i="2"/>
  <c r="O85" i="2"/>
  <c r="Q84" i="2"/>
  <c r="K201" i="16" s="1"/>
  <c r="P84" i="2"/>
  <c r="J201" i="16" s="1"/>
  <c r="O84" i="2"/>
  <c r="I201" i="16" s="1"/>
  <c r="Q83" i="2"/>
  <c r="K200" i="16" s="1"/>
  <c r="P83" i="2"/>
  <c r="J200" i="16" s="1"/>
  <c r="O83" i="2"/>
  <c r="I200" i="16" s="1"/>
  <c r="Q82" i="2"/>
  <c r="P82" i="2"/>
  <c r="O82" i="2"/>
  <c r="Q81" i="2"/>
  <c r="P81" i="2"/>
  <c r="O81" i="2"/>
  <c r="Q80" i="2"/>
  <c r="P80" i="2"/>
  <c r="O80" i="2"/>
  <c r="Q79" i="2"/>
  <c r="P79" i="2"/>
  <c r="O79" i="2"/>
  <c r="Q78" i="2"/>
  <c r="P78" i="2"/>
  <c r="O78" i="2"/>
  <c r="Q77" i="2"/>
  <c r="P77" i="2"/>
  <c r="O77" i="2"/>
  <c r="Q76" i="2"/>
  <c r="K208" i="16" s="1"/>
  <c r="P76" i="2"/>
  <c r="J208" i="16" s="1"/>
  <c r="O76" i="2"/>
  <c r="I208" i="16" s="1"/>
  <c r="Q74" i="2"/>
  <c r="P74" i="2"/>
  <c r="O74" i="2"/>
  <c r="Q73" i="2"/>
  <c r="K203" i="16" s="1"/>
  <c r="P73" i="2"/>
  <c r="J203" i="16" s="1"/>
  <c r="O73" i="2"/>
  <c r="I203" i="16" s="1"/>
  <c r="Q72" i="2"/>
  <c r="P72" i="2"/>
  <c r="O72" i="2"/>
  <c r="Q71" i="2"/>
  <c r="K198" i="16" s="1"/>
  <c r="P71" i="2"/>
  <c r="J198" i="16" s="1"/>
  <c r="O71" i="2"/>
  <c r="I198" i="16" s="1"/>
  <c r="Q70" i="2"/>
  <c r="K199" i="16" s="1"/>
  <c r="P70" i="2"/>
  <c r="J199" i="16" s="1"/>
  <c r="O70" i="2"/>
  <c r="I199" i="16" s="1"/>
  <c r="Q69" i="2"/>
  <c r="K195" i="16" s="1"/>
  <c r="P69" i="2"/>
  <c r="J195" i="16" s="1"/>
  <c r="O69" i="2"/>
  <c r="I195" i="16" s="1"/>
  <c r="Q68" i="2"/>
  <c r="K431" i="16" s="1"/>
  <c r="P68" i="2"/>
  <c r="J431" i="16" s="1"/>
  <c r="O68" i="2"/>
  <c r="I431" i="16" s="1"/>
  <c r="Q67" i="2"/>
  <c r="P67" i="2"/>
  <c r="O67" i="2"/>
  <c r="Q66" i="2"/>
  <c r="P66" i="2"/>
  <c r="O66" i="2"/>
  <c r="Q65" i="2"/>
  <c r="P65" i="2"/>
  <c r="O65" i="2"/>
  <c r="Q64" i="2"/>
  <c r="P64" i="2"/>
  <c r="O64" i="2"/>
  <c r="Q63" i="2"/>
  <c r="P63" i="2"/>
  <c r="O63" i="2"/>
  <c r="Q62" i="2"/>
  <c r="P62" i="2"/>
  <c r="O62" i="2"/>
  <c r="Q61" i="2"/>
  <c r="P61" i="2"/>
  <c r="O61" i="2"/>
  <c r="Q60" i="2"/>
  <c r="P60" i="2"/>
  <c r="O60" i="2"/>
  <c r="Q59" i="2"/>
  <c r="K194" i="16" s="1"/>
  <c r="P59" i="2"/>
  <c r="J194" i="16" s="1"/>
  <c r="O59" i="2"/>
  <c r="I194" i="16" s="1"/>
  <c r="Q58" i="2"/>
  <c r="K193" i="16" s="1"/>
  <c r="P58" i="2"/>
  <c r="J193" i="16" s="1"/>
  <c r="O58" i="2"/>
  <c r="I193" i="16" s="1"/>
  <c r="Q57" i="2"/>
  <c r="P57" i="2"/>
  <c r="O57" i="2"/>
  <c r="Q56" i="2"/>
  <c r="K192" i="16" s="1"/>
  <c r="P56" i="2"/>
  <c r="J192" i="16" s="1"/>
  <c r="O56" i="2"/>
  <c r="I192" i="16" s="1"/>
  <c r="Q55" i="2"/>
  <c r="K191" i="16" s="1"/>
  <c r="P55" i="2"/>
  <c r="J191" i="16" s="1"/>
  <c r="O55" i="2"/>
  <c r="I191" i="16" s="1"/>
  <c r="Q54" i="2"/>
  <c r="K190" i="16" s="1"/>
  <c r="P54" i="2"/>
  <c r="J190" i="16" s="1"/>
  <c r="O54" i="2"/>
  <c r="I190" i="16" s="1"/>
  <c r="Q53" i="2"/>
  <c r="P53" i="2"/>
  <c r="O53" i="2"/>
  <c r="Q52" i="2"/>
  <c r="P52" i="2"/>
  <c r="O52" i="2"/>
  <c r="Q51" i="2"/>
  <c r="K189" i="16" s="1"/>
  <c r="P51" i="2"/>
  <c r="J189" i="16" s="1"/>
  <c r="O51" i="2"/>
  <c r="I189" i="16" s="1"/>
  <c r="Q50" i="2"/>
  <c r="P50" i="2"/>
  <c r="O50" i="2"/>
  <c r="Q49" i="2"/>
  <c r="P49" i="2"/>
  <c r="O49" i="2"/>
  <c r="Q48" i="2"/>
  <c r="P48" i="2"/>
  <c r="O48" i="2"/>
  <c r="Q47" i="2"/>
  <c r="P47" i="2"/>
  <c r="O47" i="2"/>
  <c r="Q46" i="2"/>
  <c r="K197" i="16" s="1"/>
  <c r="P46" i="2"/>
  <c r="J197" i="16" s="1"/>
  <c r="O46" i="2"/>
  <c r="I197" i="16" s="1"/>
  <c r="Q45" i="2"/>
  <c r="K196" i="16" s="1"/>
  <c r="P45" i="2"/>
  <c r="J196" i="16" s="1"/>
  <c r="O45" i="2"/>
  <c r="I196" i="16" s="1"/>
  <c r="Q44" i="2"/>
  <c r="P44" i="2"/>
  <c r="O44" i="2"/>
  <c r="Q43" i="2"/>
  <c r="P43" i="2"/>
  <c r="O43" i="2"/>
  <c r="Q42" i="2"/>
  <c r="P42" i="2"/>
  <c r="O42" i="2"/>
  <c r="Q41" i="2"/>
  <c r="P41" i="2"/>
  <c r="O41" i="2"/>
  <c r="Q40" i="2"/>
  <c r="K187" i="16" s="1"/>
  <c r="P40" i="2"/>
  <c r="J187" i="16" s="1"/>
  <c r="O40" i="2"/>
  <c r="I187" i="16" s="1"/>
  <c r="Q39" i="2"/>
  <c r="K186" i="16" s="1"/>
  <c r="P39" i="2"/>
  <c r="J186" i="16" s="1"/>
  <c r="O39" i="2"/>
  <c r="I186" i="16" s="1"/>
  <c r="Q38" i="2"/>
  <c r="K332" i="16" s="1"/>
  <c r="P38" i="2"/>
  <c r="J332" i="16" s="1"/>
  <c r="O38" i="2"/>
  <c r="I332" i="16" s="1"/>
  <c r="Q37" i="2"/>
  <c r="K185" i="16" s="1"/>
  <c r="P37" i="2"/>
  <c r="J185" i="16" s="1"/>
  <c r="O37" i="2"/>
  <c r="I185" i="16" s="1"/>
  <c r="Q36" i="2"/>
  <c r="P36" i="2"/>
  <c r="O36" i="2"/>
  <c r="Q35" i="2"/>
  <c r="K184" i="16" s="1"/>
  <c r="P35" i="2"/>
  <c r="J184" i="16" s="1"/>
  <c r="O35" i="2"/>
  <c r="I184" i="16" s="1"/>
  <c r="Q34" i="2"/>
  <c r="P34" i="2"/>
  <c r="O34" i="2"/>
  <c r="Q33" i="2"/>
  <c r="K181" i="16" s="1"/>
  <c r="P33" i="2"/>
  <c r="J181" i="16" s="1"/>
  <c r="O33" i="2"/>
  <c r="I181" i="16" s="1"/>
  <c r="Q32" i="2"/>
  <c r="K183" i="16" s="1"/>
  <c r="P32" i="2"/>
  <c r="J183" i="16" s="1"/>
  <c r="O32" i="2"/>
  <c r="I183" i="16" s="1"/>
  <c r="Q30" i="2"/>
  <c r="K182" i="16" s="1"/>
  <c r="P30" i="2"/>
  <c r="J182" i="16" s="1"/>
  <c r="O30" i="2"/>
  <c r="I182" i="16" s="1"/>
  <c r="Q29" i="2"/>
  <c r="K176" i="16" s="1"/>
  <c r="P29" i="2"/>
  <c r="J176" i="16" s="1"/>
  <c r="O29" i="2"/>
  <c r="I176" i="16" s="1"/>
  <c r="Q28" i="2"/>
  <c r="P28" i="2"/>
  <c r="O28" i="2"/>
  <c r="Q27" i="2"/>
  <c r="K180" i="16" s="1"/>
  <c r="P27" i="2"/>
  <c r="J180" i="16" s="1"/>
  <c r="O27" i="2"/>
  <c r="I180" i="16" s="1"/>
  <c r="Q26" i="2"/>
  <c r="K179" i="16" s="1"/>
  <c r="P26" i="2"/>
  <c r="J179" i="16" s="1"/>
  <c r="O26" i="2"/>
  <c r="I179" i="16" s="1"/>
  <c r="Q25" i="2"/>
  <c r="K178" i="16" s="1"/>
  <c r="P25" i="2"/>
  <c r="J178" i="16" s="1"/>
  <c r="O25" i="2"/>
  <c r="I178" i="16" s="1"/>
  <c r="Q24" i="2"/>
  <c r="K177" i="16" s="1"/>
  <c r="P24" i="2"/>
  <c r="J177" i="16" s="1"/>
  <c r="O24" i="2"/>
  <c r="I177" i="16" s="1"/>
  <c r="Q22" i="2"/>
  <c r="P22" i="2"/>
  <c r="O22" i="2"/>
  <c r="Q21" i="2"/>
  <c r="K175" i="16" s="1"/>
  <c r="P21" i="2"/>
  <c r="J175" i="16" s="1"/>
  <c r="O21" i="2"/>
  <c r="I175" i="16" s="1"/>
  <c r="Q20" i="2"/>
  <c r="P20" i="2"/>
  <c r="O20" i="2"/>
  <c r="Q19" i="2"/>
  <c r="P19" i="2"/>
  <c r="O19" i="2"/>
  <c r="Q18" i="2"/>
  <c r="N6" i="20" s="1"/>
  <c r="P18" i="2"/>
  <c r="O18" i="2"/>
  <c r="Q17" i="2"/>
  <c r="P17" i="2"/>
  <c r="O17" i="2"/>
  <c r="Q16" i="2"/>
  <c r="P16" i="2"/>
  <c r="O16" i="2"/>
  <c r="Q15" i="2"/>
  <c r="P15" i="2"/>
  <c r="O15" i="2"/>
  <c r="Q14" i="2"/>
  <c r="P14" i="2"/>
  <c r="O14" i="2"/>
  <c r="Q13" i="2"/>
  <c r="P13" i="2"/>
  <c r="O13" i="2"/>
  <c r="Q12" i="2"/>
  <c r="P12" i="2"/>
  <c r="O12" i="2"/>
  <c r="Q11" i="2"/>
  <c r="P11" i="2"/>
  <c r="O11" i="2"/>
  <c r="Q10" i="2"/>
  <c r="P10" i="2"/>
  <c r="O10" i="2"/>
  <c r="Q9" i="2"/>
  <c r="P9" i="2"/>
  <c r="O9" i="2"/>
  <c r="Q8" i="2"/>
  <c r="K188" i="16" s="1"/>
  <c r="P8" i="2"/>
  <c r="J188" i="16" s="1"/>
  <c r="O8" i="2"/>
  <c r="I188" i="16" s="1"/>
  <c r="Q7" i="2"/>
  <c r="P7" i="2"/>
  <c r="O7" i="2"/>
  <c r="Q6" i="2"/>
  <c r="P6" i="2"/>
  <c r="O6" i="2"/>
  <c r="X14" i="11" l="1"/>
  <c r="Y14" i="11" s="1"/>
  <c r="S50" i="11"/>
  <c r="P65" i="11"/>
  <c r="W20" i="11"/>
  <c r="X24" i="11"/>
  <c r="Y24" i="11" s="1"/>
  <c r="P13" i="11"/>
  <c r="V13" i="11" s="1"/>
  <c r="N7" i="11"/>
  <c r="V21" i="11"/>
  <c r="V23" i="11"/>
  <c r="S25" i="11"/>
  <c r="S20" i="11" s="1"/>
  <c r="S11" i="11"/>
  <c r="S9" i="11" s="1"/>
  <c r="P12" i="11"/>
  <c r="V12" i="11" s="1"/>
  <c r="P10" i="11"/>
  <c r="N9" i="11"/>
  <c r="V7" i="20"/>
  <c r="X7" i="20" s="1"/>
  <c r="V54" i="11"/>
  <c r="T69" i="11"/>
  <c r="T78" i="11" s="1"/>
  <c r="J54" i="11"/>
  <c r="L54" i="11" s="1"/>
  <c r="I12" i="20"/>
  <c r="I40" i="11" s="1"/>
  <c r="P38" i="11"/>
  <c r="P6" i="20"/>
  <c r="U12" i="20"/>
  <c r="U40" i="11" s="1"/>
  <c r="D11" i="20"/>
  <c r="D6" i="20"/>
  <c r="X4" i="20"/>
  <c r="B6" i="20"/>
  <c r="B12" i="20" s="1"/>
  <c r="B40" i="11" s="1"/>
  <c r="G11" i="20"/>
  <c r="G12" i="20" s="1"/>
  <c r="G40" i="11" s="1"/>
  <c r="S12" i="20"/>
  <c r="S40" i="11" s="1"/>
  <c r="P39" i="11"/>
  <c r="P42" i="11"/>
  <c r="P43" i="11"/>
  <c r="P44" i="11"/>
  <c r="P45" i="11"/>
  <c r="P47" i="11"/>
  <c r="P48" i="11"/>
  <c r="P49" i="11"/>
  <c r="P51" i="11"/>
  <c r="P52" i="11"/>
  <c r="P53" i="11"/>
  <c r="P56" i="11"/>
  <c r="P57" i="11"/>
  <c r="P58" i="11"/>
  <c r="P59" i="11"/>
  <c r="P60" i="11"/>
  <c r="P61" i="11"/>
  <c r="P62" i="11"/>
  <c r="P63" i="11"/>
  <c r="P64" i="11"/>
  <c r="D39" i="11"/>
  <c r="D42" i="11"/>
  <c r="D43" i="11"/>
  <c r="D44" i="11"/>
  <c r="D45" i="11"/>
  <c r="D47" i="11"/>
  <c r="D48" i="11"/>
  <c r="D49" i="11"/>
  <c r="D51" i="11"/>
  <c r="D52" i="11"/>
  <c r="D53" i="11"/>
  <c r="D56" i="11"/>
  <c r="D57" i="11"/>
  <c r="D58" i="11"/>
  <c r="D59" i="11"/>
  <c r="D60" i="11"/>
  <c r="D61" i="11"/>
  <c r="D62" i="11"/>
  <c r="D63" i="11"/>
  <c r="D64" i="11"/>
  <c r="D14" i="15"/>
  <c r="D30" i="15"/>
  <c r="D13" i="15"/>
  <c r="D25" i="15"/>
  <c r="D7" i="15"/>
  <c r="D8" i="15"/>
  <c r="D31" i="15"/>
  <c r="D24" i="15"/>
  <c r="X12" i="11" l="1"/>
  <c r="Y12" i="11" s="1"/>
  <c r="X21" i="11"/>
  <c r="Y21" i="11" s="1"/>
  <c r="X54" i="11"/>
  <c r="Y54" i="11" s="1"/>
  <c r="X23" i="11"/>
  <c r="Y23" i="11" s="1"/>
  <c r="X13" i="11"/>
  <c r="Y13" i="11" s="1"/>
  <c r="P9" i="11"/>
  <c r="V25" i="11"/>
  <c r="V20" i="11" s="1"/>
  <c r="V11" i="11"/>
  <c r="B69" i="11"/>
  <c r="V10" i="11"/>
  <c r="D92" i="11"/>
  <c r="U69" i="11"/>
  <c r="D93" i="11" s="1"/>
  <c r="I69" i="11"/>
  <c r="C93" i="11" s="1"/>
  <c r="P12" i="20"/>
  <c r="P40" i="11" s="1"/>
  <c r="D12" i="20"/>
  <c r="D40" i="11" s="1"/>
  <c r="J40" i="11" s="1"/>
  <c r="V6" i="20"/>
  <c r="N12" i="20"/>
  <c r="N40" i="11" s="1"/>
  <c r="V11" i="20"/>
  <c r="X11" i="20" s="1"/>
  <c r="D16" i="1"/>
  <c r="P55" i="11"/>
  <c r="P37" i="11"/>
  <c r="D9" i="1"/>
  <c r="D55" i="11"/>
  <c r="D38" i="11"/>
  <c r="B7" i="15"/>
  <c r="H8" i="15"/>
  <c r="B13" i="15"/>
  <c r="L8" i="15"/>
  <c r="X11" i="11" l="1"/>
  <c r="Y11" i="11" s="1"/>
  <c r="X10" i="11"/>
  <c r="Y10" i="11" s="1"/>
  <c r="X20" i="11"/>
  <c r="B75" i="11"/>
  <c r="C86" i="11"/>
  <c r="X25" i="11"/>
  <c r="Y25" i="11" s="1"/>
  <c r="V9" i="11"/>
  <c r="C17" i="15"/>
  <c r="I17" i="15"/>
  <c r="D17" i="15"/>
  <c r="J17" i="15"/>
  <c r="B17" i="15"/>
  <c r="X6" i="20"/>
  <c r="X12" i="20" s="1"/>
  <c r="V12" i="20"/>
  <c r="D41" i="11"/>
  <c r="P41" i="11"/>
  <c r="D66" i="11"/>
  <c r="D65" i="11"/>
  <c r="P66" i="11"/>
  <c r="D7" i="11"/>
  <c r="P7" i="11"/>
  <c r="C10" i="16"/>
  <c r="C8" i="16"/>
  <c r="C7" i="16"/>
  <c r="B349" i="16"/>
  <c r="B348" i="16"/>
  <c r="B347" i="16"/>
  <c r="B346" i="16"/>
  <c r="B345" i="16"/>
  <c r="B344" i="16"/>
  <c r="B343" i="16"/>
  <c r="B342" i="16"/>
  <c r="B341" i="16"/>
  <c r="B340" i="16"/>
  <c r="B339" i="16"/>
  <c r="B338" i="16"/>
  <c r="B337" i="16"/>
  <c r="B336" i="16"/>
  <c r="B335" i="16"/>
  <c r="B334" i="16"/>
  <c r="B333" i="16"/>
  <c r="B332" i="16"/>
  <c r="B331" i="16"/>
  <c r="B330" i="16"/>
  <c r="B388" i="16"/>
  <c r="B328" i="16"/>
  <c r="B327" i="16"/>
  <c r="B326" i="16"/>
  <c r="B325" i="16"/>
  <c r="B324" i="16"/>
  <c r="B323" i="16"/>
  <c r="B322" i="16"/>
  <c r="B321" i="16"/>
  <c r="B320" i="16"/>
  <c r="B319" i="16"/>
  <c r="B318" i="16"/>
  <c r="B317" i="16"/>
  <c r="B316" i="16"/>
  <c r="B315" i="16"/>
  <c r="B314" i="16"/>
  <c r="B313" i="16"/>
  <c r="B312" i="16"/>
  <c r="B311" i="16"/>
  <c r="B386" i="16"/>
  <c r="B329" i="16"/>
  <c r="B310" i="16"/>
  <c r="B309" i="16"/>
  <c r="B306" i="16"/>
  <c r="B305" i="16"/>
  <c r="B304" i="16"/>
  <c r="B303" i="16"/>
  <c r="B308" i="16"/>
  <c r="B307" i="16"/>
  <c r="B300" i="16"/>
  <c r="B299" i="16"/>
  <c r="B298" i="16"/>
  <c r="B297" i="16"/>
  <c r="B302" i="16"/>
  <c r="B295" i="16"/>
  <c r="B294" i="16"/>
  <c r="B293" i="16"/>
  <c r="B292" i="16"/>
  <c r="B291" i="16"/>
  <c r="B290" i="16"/>
  <c r="B289" i="16"/>
  <c r="B288" i="16"/>
  <c r="B287" i="16"/>
  <c r="B286" i="16"/>
  <c r="B285" i="16"/>
  <c r="B284" i="16"/>
  <c r="B283" i="16"/>
  <c r="B282" i="16"/>
  <c r="B281" i="16"/>
  <c r="B280" i="16"/>
  <c r="B279" i="16"/>
  <c r="B278" i="16"/>
  <c r="B277" i="16"/>
  <c r="B276" i="16"/>
  <c r="B275" i="16"/>
  <c r="B274" i="16"/>
  <c r="B273" i="16"/>
  <c r="B301" i="16"/>
  <c r="B271" i="16"/>
  <c r="B270" i="16"/>
  <c r="B296" i="16"/>
  <c r="B268" i="16"/>
  <c r="B267" i="16"/>
  <c r="B266" i="16"/>
  <c r="B265" i="16"/>
  <c r="B264" i="16"/>
  <c r="B263" i="16"/>
  <c r="B262" i="16"/>
  <c r="B261" i="16"/>
  <c r="B260" i="16"/>
  <c r="B259" i="16"/>
  <c r="B258" i="16"/>
  <c r="B257" i="16"/>
  <c r="B272" i="16"/>
  <c r="B255" i="16"/>
  <c r="B254" i="16"/>
  <c r="B253" i="16"/>
  <c r="B252" i="16"/>
  <c r="B251" i="16"/>
  <c r="B250" i="16"/>
  <c r="B249" i="16"/>
  <c r="B248" i="16"/>
  <c r="B247" i="16"/>
  <c r="B246" i="16"/>
  <c r="B245" i="16"/>
  <c r="B244" i="16"/>
  <c r="B243" i="16"/>
  <c r="B242" i="16"/>
  <c r="B241" i="16"/>
  <c r="B240" i="16"/>
  <c r="B239" i="16"/>
  <c r="B238" i="16"/>
  <c r="B237" i="16"/>
  <c r="B256" i="16"/>
  <c r="B235" i="16"/>
  <c r="B234" i="16"/>
  <c r="B233" i="16"/>
  <c r="B232" i="16"/>
  <c r="B231" i="16"/>
  <c r="B230" i="16"/>
  <c r="B236" i="16"/>
  <c r="B228" i="16"/>
  <c r="B229" i="16"/>
  <c r="B226" i="16"/>
  <c r="B225" i="16"/>
  <c r="B227" i="16"/>
  <c r="B223" i="16"/>
  <c r="B222" i="16"/>
  <c r="B221" i="16"/>
  <c r="B220" i="16"/>
  <c r="B219" i="16"/>
  <c r="B218" i="16"/>
  <c r="B217" i="16"/>
  <c r="B224" i="16"/>
  <c r="B215" i="16"/>
  <c r="B214" i="16"/>
  <c r="B213" i="16"/>
  <c r="B212" i="16"/>
  <c r="B211" i="16"/>
  <c r="B210" i="16"/>
  <c r="B209" i="16"/>
  <c r="B203" i="16"/>
  <c r="B207" i="16"/>
  <c r="B206" i="16"/>
  <c r="B205" i="16"/>
  <c r="B204" i="16"/>
  <c r="B216" i="16"/>
  <c r="B202" i="16"/>
  <c r="B201" i="16"/>
  <c r="B200" i="16"/>
  <c r="B208" i="16"/>
  <c r="B198" i="16"/>
  <c r="B199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2" i="16"/>
  <c r="B183" i="16"/>
  <c r="B181" i="16"/>
  <c r="B180" i="16"/>
  <c r="B179" i="16"/>
  <c r="B178" i="16"/>
  <c r="B177" i="16"/>
  <c r="B176" i="16"/>
  <c r="B175" i="16"/>
  <c r="B174" i="16"/>
  <c r="Q5" i="2"/>
  <c r="Q3" i="2" s="1"/>
  <c r="P5" i="2"/>
  <c r="P3" i="2" s="1"/>
  <c r="O5" i="2"/>
  <c r="O3" i="2" s="1"/>
  <c r="N5" i="2"/>
  <c r="N3" i="2" s="1"/>
  <c r="Y20" i="11" l="1"/>
  <c r="X9" i="11"/>
  <c r="Y9" i="11" s="1"/>
  <c r="D69" i="11"/>
  <c r="C88" i="11" s="1"/>
  <c r="P69" i="11"/>
  <c r="D88" i="11" s="1"/>
  <c r="C1" i="5"/>
  <c r="D75" i="11" l="1"/>
  <c r="E1" i="5"/>
  <c r="F1" i="5"/>
  <c r="D1" i="5"/>
  <c r="K40" i="11"/>
  <c r="V40" i="11" l="1"/>
  <c r="L40" i="11"/>
  <c r="X40" i="11" l="1"/>
  <c r="Y40" i="11" s="1"/>
  <c r="K148" i="16"/>
  <c r="I148" i="16"/>
  <c r="H148" i="16"/>
  <c r="K147" i="16"/>
  <c r="J147" i="16"/>
  <c r="I147" i="16"/>
  <c r="H147" i="16"/>
  <c r="K145" i="16"/>
  <c r="J145" i="16"/>
  <c r="I145" i="16"/>
  <c r="H145" i="16"/>
  <c r="K146" i="16"/>
  <c r="J146" i="16"/>
  <c r="I146" i="16"/>
  <c r="H146" i="16"/>
  <c r="K144" i="16"/>
  <c r="J144" i="16"/>
  <c r="I144" i="16"/>
  <c r="H144" i="16"/>
  <c r="F148" i="16"/>
  <c r="E148" i="16"/>
  <c r="D148" i="16"/>
  <c r="C148" i="16"/>
  <c r="F147" i="16"/>
  <c r="E147" i="16"/>
  <c r="D147" i="16"/>
  <c r="C147" i="16"/>
  <c r="F145" i="16"/>
  <c r="E145" i="16"/>
  <c r="D145" i="16"/>
  <c r="C145" i="16"/>
  <c r="F146" i="16"/>
  <c r="E146" i="16"/>
  <c r="D146" i="16"/>
  <c r="C146" i="16"/>
  <c r="F144" i="16"/>
  <c r="E144" i="16"/>
  <c r="D144" i="16"/>
  <c r="C144" i="16"/>
  <c r="F143" i="16"/>
  <c r="E143" i="16"/>
  <c r="D143" i="16"/>
  <c r="C143" i="16"/>
  <c r="F142" i="16"/>
  <c r="E142" i="16"/>
  <c r="D142" i="16"/>
  <c r="C142" i="16"/>
  <c r="J148" i="16"/>
  <c r="B147" i="16"/>
  <c r="B146" i="16"/>
  <c r="B145" i="16"/>
  <c r="B144" i="16"/>
  <c r="B143" i="16"/>
  <c r="B142" i="16"/>
  <c r="B141" i="16"/>
  <c r="O5" i="14"/>
  <c r="N5" i="14"/>
  <c r="M5" i="14"/>
  <c r="L5" i="14"/>
  <c r="K5" i="14"/>
  <c r="J5" i="14"/>
  <c r="I5" i="14"/>
  <c r="H5" i="14"/>
  <c r="G5" i="14"/>
  <c r="F5" i="14"/>
  <c r="E5" i="14"/>
  <c r="C5" i="14"/>
  <c r="B5" i="14"/>
  <c r="C51" i="11" l="1"/>
  <c r="E51" i="11"/>
  <c r="G51" i="11"/>
  <c r="K51" i="11"/>
  <c r="N51" i="11"/>
  <c r="O51" i="11"/>
  <c r="Q51" i="11"/>
  <c r="S51" i="11"/>
  <c r="W51" i="11"/>
  <c r="C57" i="11"/>
  <c r="E57" i="11"/>
  <c r="G57" i="11"/>
  <c r="K57" i="11"/>
  <c r="N57" i="11"/>
  <c r="O57" i="11"/>
  <c r="Q57" i="11"/>
  <c r="S57" i="11"/>
  <c r="W57" i="11"/>
  <c r="F57" i="11"/>
  <c r="F51" i="11"/>
  <c r="J57" i="11" l="1"/>
  <c r="L57" i="11" s="1"/>
  <c r="J51" i="11"/>
  <c r="L51" i="11" s="1"/>
  <c r="O33" i="19" l="1"/>
  <c r="N33" i="19"/>
  <c r="M33" i="19"/>
  <c r="L33" i="19"/>
  <c r="J33" i="19"/>
  <c r="I33" i="19"/>
  <c r="H33" i="19"/>
  <c r="G33" i="19"/>
  <c r="E33" i="19"/>
  <c r="D33" i="19"/>
  <c r="C33" i="19"/>
  <c r="B33" i="19"/>
  <c r="O32" i="19"/>
  <c r="N32" i="19"/>
  <c r="M32" i="19"/>
  <c r="L32" i="19"/>
  <c r="J32" i="19"/>
  <c r="I32" i="19"/>
  <c r="H32" i="19"/>
  <c r="G32" i="19"/>
  <c r="E32" i="19"/>
  <c r="D32" i="19"/>
  <c r="C32" i="19"/>
  <c r="B32" i="19"/>
  <c r="O31" i="19"/>
  <c r="N31" i="19"/>
  <c r="M31" i="19"/>
  <c r="L31" i="19"/>
  <c r="J31" i="19"/>
  <c r="I31" i="19"/>
  <c r="H31" i="19"/>
  <c r="G31" i="19"/>
  <c r="E31" i="19"/>
  <c r="D31" i="19"/>
  <c r="C31" i="19"/>
  <c r="B31" i="19"/>
  <c r="O30" i="19"/>
  <c r="N30" i="19"/>
  <c r="M30" i="19"/>
  <c r="L30" i="19"/>
  <c r="J30" i="19"/>
  <c r="I30" i="19"/>
  <c r="H30" i="19"/>
  <c r="G30" i="19"/>
  <c r="E30" i="19"/>
  <c r="D30" i="19"/>
  <c r="C30" i="19"/>
  <c r="B30" i="19"/>
  <c r="O29" i="19"/>
  <c r="N29" i="19"/>
  <c r="M29" i="19"/>
  <c r="L29" i="19"/>
  <c r="J29" i="19"/>
  <c r="I29" i="19"/>
  <c r="H29" i="19"/>
  <c r="G29" i="19"/>
  <c r="E29" i="19"/>
  <c r="D29" i="19"/>
  <c r="C29" i="19"/>
  <c r="B29" i="19"/>
  <c r="O28" i="19"/>
  <c r="N28" i="19"/>
  <c r="M28" i="19"/>
  <c r="L28" i="19"/>
  <c r="J28" i="19"/>
  <c r="I28" i="19"/>
  <c r="H28" i="19"/>
  <c r="G28" i="19"/>
  <c r="E28" i="19"/>
  <c r="D28" i="19"/>
  <c r="C28" i="19"/>
  <c r="B28" i="19"/>
  <c r="O27" i="19"/>
  <c r="N27" i="19"/>
  <c r="M27" i="19"/>
  <c r="L27" i="19"/>
  <c r="J27" i="19"/>
  <c r="I27" i="19"/>
  <c r="H27" i="19"/>
  <c r="G27" i="19"/>
  <c r="E27" i="19"/>
  <c r="D27" i="19"/>
  <c r="C27" i="19"/>
  <c r="B27" i="19"/>
  <c r="O26" i="19"/>
  <c r="N26" i="19"/>
  <c r="M26" i="19"/>
  <c r="L26" i="19"/>
  <c r="J26" i="19"/>
  <c r="I26" i="19"/>
  <c r="H26" i="19"/>
  <c r="G26" i="19"/>
  <c r="E26" i="19"/>
  <c r="D26" i="19"/>
  <c r="C26" i="19"/>
  <c r="B26" i="19"/>
  <c r="O25" i="19"/>
  <c r="N25" i="19"/>
  <c r="M25" i="19"/>
  <c r="L25" i="19"/>
  <c r="J25" i="19"/>
  <c r="I25" i="19"/>
  <c r="H25" i="19"/>
  <c r="G25" i="19"/>
  <c r="E25" i="19"/>
  <c r="D25" i="19"/>
  <c r="C25" i="19"/>
  <c r="B25" i="19"/>
  <c r="O24" i="19"/>
  <c r="N24" i="19"/>
  <c r="M24" i="19"/>
  <c r="L24" i="19"/>
  <c r="J24" i="19"/>
  <c r="I24" i="19"/>
  <c r="H24" i="19"/>
  <c r="G24" i="19"/>
  <c r="E24" i="19"/>
  <c r="D24" i="19"/>
  <c r="C24" i="19"/>
  <c r="B24" i="19"/>
  <c r="O23" i="19"/>
  <c r="N23" i="19"/>
  <c r="M23" i="19"/>
  <c r="L23" i="19"/>
  <c r="J23" i="19"/>
  <c r="I23" i="19"/>
  <c r="H23" i="19"/>
  <c r="G23" i="19"/>
  <c r="E23" i="19"/>
  <c r="D23" i="19"/>
  <c r="C23" i="19"/>
  <c r="B23" i="19"/>
  <c r="O22" i="19"/>
  <c r="N22" i="19"/>
  <c r="N34" i="19" s="1"/>
  <c r="M22" i="19"/>
  <c r="M34" i="19" s="1"/>
  <c r="L22" i="19"/>
  <c r="J22" i="19"/>
  <c r="I22" i="19"/>
  <c r="H22" i="19"/>
  <c r="H34" i="19" s="1"/>
  <c r="G22" i="19"/>
  <c r="E22" i="19"/>
  <c r="D22" i="19"/>
  <c r="D34" i="19" s="1"/>
  <c r="C22" i="19"/>
  <c r="C34" i="19" s="1"/>
  <c r="B22" i="19"/>
  <c r="H17" i="19"/>
  <c r="G17" i="19"/>
  <c r="F17" i="19"/>
  <c r="E17" i="19"/>
  <c r="D17" i="19"/>
  <c r="C17" i="19"/>
  <c r="B17" i="19"/>
  <c r="M16" i="19"/>
  <c r="L16" i="19"/>
  <c r="K16" i="19"/>
  <c r="I16" i="19"/>
  <c r="M15" i="19"/>
  <c r="L15" i="19"/>
  <c r="K15" i="19"/>
  <c r="I15" i="19"/>
  <c r="M14" i="19"/>
  <c r="L14" i="19"/>
  <c r="K14" i="19"/>
  <c r="I14" i="19"/>
  <c r="M13" i="19"/>
  <c r="L13" i="19"/>
  <c r="K13" i="19"/>
  <c r="I13" i="19"/>
  <c r="M12" i="19"/>
  <c r="L12" i="19"/>
  <c r="K12" i="19"/>
  <c r="I12" i="19"/>
  <c r="M11" i="19"/>
  <c r="L11" i="19"/>
  <c r="K11" i="19"/>
  <c r="I11" i="19"/>
  <c r="M10" i="19"/>
  <c r="L10" i="19"/>
  <c r="K10" i="19"/>
  <c r="I10" i="19"/>
  <c r="M9" i="19"/>
  <c r="L9" i="19"/>
  <c r="K9" i="19"/>
  <c r="I9" i="19"/>
  <c r="M8" i="19"/>
  <c r="L8" i="19"/>
  <c r="K8" i="19"/>
  <c r="I8" i="19"/>
  <c r="M7" i="19"/>
  <c r="L7" i="19"/>
  <c r="K7" i="19"/>
  <c r="I7" i="19"/>
  <c r="M6" i="19"/>
  <c r="L6" i="19"/>
  <c r="K6" i="19"/>
  <c r="I6" i="19"/>
  <c r="M5" i="19"/>
  <c r="L5" i="19"/>
  <c r="K5" i="19"/>
  <c r="I5" i="19"/>
  <c r="L24" i="15"/>
  <c r="R5" i="9"/>
  <c r="L7" i="15"/>
  <c r="J15" i="1"/>
  <c r="A2" i="12"/>
  <c r="A3" i="14" s="1"/>
  <c r="A1" i="17"/>
  <c r="K141" i="16"/>
  <c r="J141" i="16"/>
  <c r="I141" i="16"/>
  <c r="H141" i="16"/>
  <c r="F141" i="16"/>
  <c r="E141" i="16"/>
  <c r="D141" i="16"/>
  <c r="C141" i="16"/>
  <c r="F140" i="16"/>
  <c r="E140" i="16"/>
  <c r="D140" i="16"/>
  <c r="C140" i="16"/>
  <c r="B140" i="16"/>
  <c r="K139" i="16"/>
  <c r="J139" i="16"/>
  <c r="I139" i="16"/>
  <c r="H139" i="16"/>
  <c r="F139" i="16"/>
  <c r="E139" i="16"/>
  <c r="D139" i="16"/>
  <c r="C139" i="16"/>
  <c r="B139" i="16"/>
  <c r="F138" i="16"/>
  <c r="E138" i="16"/>
  <c r="D138" i="16"/>
  <c r="C138" i="16"/>
  <c r="B138" i="16"/>
  <c r="F137" i="16"/>
  <c r="E137" i="16"/>
  <c r="D137" i="16"/>
  <c r="C137" i="16"/>
  <c r="B137" i="16"/>
  <c r="F136" i="16"/>
  <c r="E136" i="16"/>
  <c r="D136" i="16"/>
  <c r="C136" i="16"/>
  <c r="B136" i="16"/>
  <c r="F135" i="16"/>
  <c r="E135" i="16"/>
  <c r="D135" i="16"/>
  <c r="C135" i="16"/>
  <c r="B135" i="16"/>
  <c r="F134" i="16"/>
  <c r="E134" i="16"/>
  <c r="D134" i="16"/>
  <c r="C134" i="16"/>
  <c r="B134" i="16"/>
  <c r="B133" i="16"/>
  <c r="B132" i="16"/>
  <c r="F131" i="16"/>
  <c r="E131" i="16"/>
  <c r="D131" i="16"/>
  <c r="C131" i="16"/>
  <c r="B131" i="16"/>
  <c r="F130" i="16"/>
  <c r="E130" i="16"/>
  <c r="D130" i="16"/>
  <c r="C130" i="16"/>
  <c r="B130" i="16"/>
  <c r="B129" i="16"/>
  <c r="K128" i="16"/>
  <c r="J128" i="16"/>
  <c r="I128" i="16"/>
  <c r="H128" i="16"/>
  <c r="F128" i="16"/>
  <c r="E128" i="16"/>
  <c r="D128" i="16"/>
  <c r="C128" i="16"/>
  <c r="B128" i="16"/>
  <c r="F127" i="16"/>
  <c r="E127" i="16"/>
  <c r="D127" i="16"/>
  <c r="C127" i="16"/>
  <c r="B127" i="16"/>
  <c r="F126" i="16"/>
  <c r="E126" i="16"/>
  <c r="D126" i="16"/>
  <c r="C126" i="16"/>
  <c r="B126" i="16"/>
  <c r="F125" i="16"/>
  <c r="E125" i="16"/>
  <c r="D125" i="16"/>
  <c r="C125" i="16"/>
  <c r="B125" i="16"/>
  <c r="F124" i="16"/>
  <c r="E124" i="16"/>
  <c r="D124" i="16"/>
  <c r="C124" i="16"/>
  <c r="B124" i="16"/>
  <c r="F123" i="16"/>
  <c r="E123" i="16"/>
  <c r="D123" i="16"/>
  <c r="C123" i="16"/>
  <c r="B123" i="16"/>
  <c r="B122" i="16"/>
  <c r="K121" i="16"/>
  <c r="J121" i="16"/>
  <c r="I121" i="16"/>
  <c r="H121" i="16"/>
  <c r="F121" i="16"/>
  <c r="E121" i="16"/>
  <c r="D121" i="16"/>
  <c r="C121" i="16"/>
  <c r="B121" i="16"/>
  <c r="B120" i="16"/>
  <c r="B119" i="16"/>
  <c r="K118" i="16"/>
  <c r="J118" i="16"/>
  <c r="I118" i="16"/>
  <c r="H118" i="16"/>
  <c r="F118" i="16"/>
  <c r="E118" i="16"/>
  <c r="D118" i="16"/>
  <c r="C118" i="16"/>
  <c r="B118" i="16"/>
  <c r="K117" i="16"/>
  <c r="J117" i="16"/>
  <c r="I117" i="16"/>
  <c r="H117" i="16"/>
  <c r="F117" i="16"/>
  <c r="E117" i="16"/>
  <c r="D117" i="16"/>
  <c r="C117" i="16"/>
  <c r="B117" i="16"/>
  <c r="B116" i="16"/>
  <c r="F115" i="16"/>
  <c r="E115" i="16"/>
  <c r="D115" i="16"/>
  <c r="C115" i="16"/>
  <c r="B115" i="16"/>
  <c r="F114" i="16"/>
  <c r="E114" i="16"/>
  <c r="D114" i="16"/>
  <c r="C114" i="16"/>
  <c r="B114" i="16"/>
  <c r="F113" i="16"/>
  <c r="E113" i="16"/>
  <c r="D113" i="16"/>
  <c r="C113" i="16"/>
  <c r="B113" i="16"/>
  <c r="B112" i="16"/>
  <c r="F111" i="16"/>
  <c r="E111" i="16"/>
  <c r="D111" i="16"/>
  <c r="C111" i="16"/>
  <c r="B111" i="16"/>
  <c r="F110" i="16"/>
  <c r="E110" i="16"/>
  <c r="D110" i="16"/>
  <c r="C110" i="16"/>
  <c r="B110" i="16"/>
  <c r="F109" i="16"/>
  <c r="E109" i="16"/>
  <c r="D109" i="16"/>
  <c r="C109" i="16"/>
  <c r="B109" i="16"/>
  <c r="F108" i="16"/>
  <c r="E108" i="16"/>
  <c r="D108" i="16"/>
  <c r="C108" i="16"/>
  <c r="B108" i="16"/>
  <c r="F107" i="16"/>
  <c r="E107" i="16"/>
  <c r="D107" i="16"/>
  <c r="C107" i="16"/>
  <c r="B107" i="16"/>
  <c r="F106" i="16"/>
  <c r="E106" i="16"/>
  <c r="D106" i="16"/>
  <c r="C106" i="16"/>
  <c r="B106" i="16"/>
  <c r="F105" i="16"/>
  <c r="E105" i="16"/>
  <c r="D105" i="16"/>
  <c r="C105" i="16"/>
  <c r="B105" i="16"/>
  <c r="F104" i="16"/>
  <c r="E104" i="16"/>
  <c r="D104" i="16"/>
  <c r="C104" i="16"/>
  <c r="B104" i="16"/>
  <c r="B103" i="16"/>
  <c r="F102" i="16"/>
  <c r="E102" i="16"/>
  <c r="D102" i="16"/>
  <c r="C102" i="16"/>
  <c r="B102" i="16"/>
  <c r="B101" i="16"/>
  <c r="B100" i="16"/>
  <c r="F99" i="16"/>
  <c r="E99" i="16"/>
  <c r="D99" i="16"/>
  <c r="C99" i="16"/>
  <c r="B99" i="16"/>
  <c r="F98" i="16"/>
  <c r="E98" i="16"/>
  <c r="D98" i="16"/>
  <c r="C98" i="16"/>
  <c r="B98" i="16"/>
  <c r="F97" i="16"/>
  <c r="E97" i="16"/>
  <c r="D97" i="16"/>
  <c r="C97" i="16"/>
  <c r="B97" i="16"/>
  <c r="B96" i="16"/>
  <c r="F95" i="16"/>
  <c r="E95" i="16"/>
  <c r="D95" i="16"/>
  <c r="C95" i="16"/>
  <c r="B95" i="16"/>
  <c r="K94" i="16"/>
  <c r="J94" i="16"/>
  <c r="I94" i="16"/>
  <c r="H94" i="16"/>
  <c r="F94" i="16"/>
  <c r="E94" i="16"/>
  <c r="D94" i="16"/>
  <c r="C94" i="16"/>
  <c r="B94" i="16"/>
  <c r="K93" i="16"/>
  <c r="J93" i="16"/>
  <c r="I93" i="16"/>
  <c r="H93" i="16"/>
  <c r="F93" i="16"/>
  <c r="E93" i="16"/>
  <c r="D93" i="16"/>
  <c r="C93" i="16"/>
  <c r="B93" i="16"/>
  <c r="F92" i="16"/>
  <c r="E92" i="16"/>
  <c r="D92" i="16"/>
  <c r="C92" i="16"/>
  <c r="B92" i="16"/>
  <c r="K91" i="16"/>
  <c r="J91" i="16"/>
  <c r="I91" i="16"/>
  <c r="H91" i="16"/>
  <c r="F91" i="16"/>
  <c r="E91" i="16"/>
  <c r="D91" i="16"/>
  <c r="C91" i="16"/>
  <c r="B91" i="16"/>
  <c r="K90" i="16"/>
  <c r="J90" i="16"/>
  <c r="I90" i="16"/>
  <c r="H90" i="16"/>
  <c r="F90" i="16"/>
  <c r="E90" i="16"/>
  <c r="D90" i="16"/>
  <c r="C90" i="16"/>
  <c r="B90" i="16"/>
  <c r="B89" i="16"/>
  <c r="F88" i="16"/>
  <c r="E88" i="16"/>
  <c r="D88" i="16"/>
  <c r="C88" i="16"/>
  <c r="B88" i="16"/>
  <c r="B87" i="16"/>
  <c r="B86" i="16"/>
  <c r="F85" i="16"/>
  <c r="E85" i="16"/>
  <c r="D85" i="16"/>
  <c r="C85" i="16"/>
  <c r="B85" i="16"/>
  <c r="F84" i="16"/>
  <c r="E84" i="16"/>
  <c r="D84" i="16"/>
  <c r="C84" i="16"/>
  <c r="B84" i="16"/>
  <c r="F83" i="16"/>
  <c r="E83" i="16"/>
  <c r="D83" i="16"/>
  <c r="C83" i="16"/>
  <c r="B83" i="16"/>
  <c r="F82" i="16"/>
  <c r="E82" i="16"/>
  <c r="D82" i="16"/>
  <c r="C82" i="16"/>
  <c r="B82" i="16"/>
  <c r="F81" i="16"/>
  <c r="E81" i="16"/>
  <c r="D81" i="16"/>
  <c r="C81" i="16"/>
  <c r="B81" i="16"/>
  <c r="F80" i="16"/>
  <c r="E80" i="16"/>
  <c r="D80" i="16"/>
  <c r="C80" i="16"/>
  <c r="B80" i="16"/>
  <c r="F79" i="16"/>
  <c r="E79" i="16"/>
  <c r="D79" i="16"/>
  <c r="C79" i="16"/>
  <c r="B79" i="16"/>
  <c r="F78" i="16"/>
  <c r="E78" i="16"/>
  <c r="D78" i="16"/>
  <c r="C78" i="16"/>
  <c r="B78" i="16"/>
  <c r="B77" i="16"/>
  <c r="F76" i="16"/>
  <c r="E76" i="16"/>
  <c r="D76" i="16"/>
  <c r="C76" i="16"/>
  <c r="B76" i="16"/>
  <c r="F75" i="16"/>
  <c r="E75" i="16"/>
  <c r="D75" i="16"/>
  <c r="C75" i="16"/>
  <c r="B75" i="16"/>
  <c r="B74" i="16"/>
  <c r="B73" i="16"/>
  <c r="B72" i="16"/>
  <c r="F71" i="16"/>
  <c r="E71" i="16"/>
  <c r="D71" i="16"/>
  <c r="C71" i="16"/>
  <c r="B71" i="16"/>
  <c r="F70" i="16"/>
  <c r="E70" i="16"/>
  <c r="D70" i="16"/>
  <c r="C70" i="16"/>
  <c r="B70" i="16"/>
  <c r="B69" i="16"/>
  <c r="K68" i="16"/>
  <c r="J68" i="16"/>
  <c r="I68" i="16"/>
  <c r="H68" i="16"/>
  <c r="F68" i="16"/>
  <c r="E68" i="16"/>
  <c r="D68" i="16"/>
  <c r="C68" i="16"/>
  <c r="B68" i="16"/>
  <c r="K67" i="16"/>
  <c r="J67" i="16"/>
  <c r="I67" i="16"/>
  <c r="H67" i="16"/>
  <c r="F67" i="16"/>
  <c r="E67" i="16"/>
  <c r="D67" i="16"/>
  <c r="C67" i="16"/>
  <c r="B67" i="16"/>
  <c r="F66" i="16"/>
  <c r="E66" i="16"/>
  <c r="D66" i="16"/>
  <c r="C66" i="16"/>
  <c r="B66" i="16"/>
  <c r="K65" i="16"/>
  <c r="J65" i="16"/>
  <c r="I65" i="16"/>
  <c r="H65" i="16"/>
  <c r="F65" i="16"/>
  <c r="E65" i="16"/>
  <c r="D65" i="16"/>
  <c r="C65" i="16"/>
  <c r="B65" i="16"/>
  <c r="B64" i="16"/>
  <c r="F63" i="16"/>
  <c r="E63" i="16"/>
  <c r="D63" i="16"/>
  <c r="C63" i="16"/>
  <c r="B63" i="16"/>
  <c r="F62" i="16"/>
  <c r="E62" i="16"/>
  <c r="D62" i="16"/>
  <c r="C62" i="16"/>
  <c r="B62" i="16"/>
  <c r="B61" i="16"/>
  <c r="K60" i="16"/>
  <c r="J60" i="16"/>
  <c r="I60" i="16"/>
  <c r="H60" i="16"/>
  <c r="F60" i="16"/>
  <c r="E60" i="16"/>
  <c r="D60" i="16"/>
  <c r="C60" i="16"/>
  <c r="B60" i="16"/>
  <c r="B59" i="16"/>
  <c r="K58" i="16"/>
  <c r="J58" i="16"/>
  <c r="I58" i="16"/>
  <c r="H58" i="16"/>
  <c r="F58" i="16"/>
  <c r="E58" i="16"/>
  <c r="D58" i="16"/>
  <c r="C58" i="16"/>
  <c r="B58" i="16"/>
  <c r="K57" i="16"/>
  <c r="J57" i="16"/>
  <c r="I57" i="16"/>
  <c r="H57" i="16"/>
  <c r="F57" i="16"/>
  <c r="E57" i="16"/>
  <c r="D57" i="16"/>
  <c r="C57" i="16"/>
  <c r="B57" i="16"/>
  <c r="K56" i="16"/>
  <c r="J56" i="16"/>
  <c r="I56" i="16"/>
  <c r="H56" i="16"/>
  <c r="F56" i="16"/>
  <c r="E56" i="16"/>
  <c r="D56" i="16"/>
  <c r="C56" i="16"/>
  <c r="B56" i="16"/>
  <c r="K55" i="16"/>
  <c r="J55" i="16"/>
  <c r="I55" i="16"/>
  <c r="H55" i="16"/>
  <c r="F55" i="16"/>
  <c r="E55" i="16"/>
  <c r="D55" i="16"/>
  <c r="C55" i="16"/>
  <c r="B55" i="16"/>
  <c r="F54" i="16"/>
  <c r="E54" i="16"/>
  <c r="D54" i="16"/>
  <c r="C54" i="16"/>
  <c r="B54" i="16"/>
  <c r="F53" i="16"/>
  <c r="E53" i="16"/>
  <c r="D53" i="16"/>
  <c r="C53" i="16"/>
  <c r="B53" i="16"/>
  <c r="B52" i="16"/>
  <c r="B51" i="16"/>
  <c r="B50" i="16"/>
  <c r="B49" i="16"/>
  <c r="B48" i="16"/>
  <c r="B47" i="16"/>
  <c r="F46" i="16"/>
  <c r="E46" i="16"/>
  <c r="D46" i="16"/>
  <c r="C46" i="16"/>
  <c r="B46" i="16"/>
  <c r="B45" i="16"/>
  <c r="B44" i="16"/>
  <c r="B43" i="16"/>
  <c r="K42" i="16"/>
  <c r="J42" i="16"/>
  <c r="I42" i="16"/>
  <c r="H42" i="16"/>
  <c r="F42" i="16"/>
  <c r="E42" i="16"/>
  <c r="D42" i="16"/>
  <c r="C42" i="16"/>
  <c r="B42" i="16"/>
  <c r="K41" i="16"/>
  <c r="J41" i="16"/>
  <c r="I41" i="16"/>
  <c r="H41" i="16"/>
  <c r="F41" i="16"/>
  <c r="E41" i="16"/>
  <c r="D41" i="16"/>
  <c r="C41" i="16"/>
  <c r="B41" i="16"/>
  <c r="B40" i="16"/>
  <c r="B39" i="16"/>
  <c r="B38" i="16"/>
  <c r="K37" i="16"/>
  <c r="J37" i="16"/>
  <c r="I37" i="16"/>
  <c r="H37" i="16"/>
  <c r="F37" i="16"/>
  <c r="E37" i="16"/>
  <c r="D37" i="16"/>
  <c r="C37" i="16"/>
  <c r="B37" i="16"/>
  <c r="K36" i="16"/>
  <c r="J36" i="16"/>
  <c r="I36" i="16"/>
  <c r="H36" i="16"/>
  <c r="F36" i="16"/>
  <c r="E36" i="16"/>
  <c r="D36" i="16"/>
  <c r="C36" i="16"/>
  <c r="B36" i="16"/>
  <c r="B35" i="16"/>
  <c r="K34" i="16"/>
  <c r="J34" i="16"/>
  <c r="I34" i="16"/>
  <c r="H34" i="16"/>
  <c r="F34" i="16"/>
  <c r="E34" i="16"/>
  <c r="D34" i="16"/>
  <c r="C34" i="16"/>
  <c r="B34" i="16"/>
  <c r="B33" i="16"/>
  <c r="B32" i="16"/>
  <c r="B31" i="16"/>
  <c r="K30" i="16"/>
  <c r="J30" i="16"/>
  <c r="I30" i="16"/>
  <c r="H30" i="16"/>
  <c r="F30" i="16"/>
  <c r="E30" i="16"/>
  <c r="D30" i="16"/>
  <c r="C30" i="16"/>
  <c r="B30" i="16"/>
  <c r="K29" i="16"/>
  <c r="J29" i="16"/>
  <c r="I29" i="16"/>
  <c r="H29" i="16"/>
  <c r="F29" i="16"/>
  <c r="E29" i="16"/>
  <c r="D29" i="16"/>
  <c r="C29" i="16"/>
  <c r="B29" i="16"/>
  <c r="K23" i="16"/>
  <c r="J23" i="16"/>
  <c r="I23" i="16"/>
  <c r="H23" i="16"/>
  <c r="F23" i="16"/>
  <c r="E23" i="16"/>
  <c r="D23" i="16"/>
  <c r="C23" i="16"/>
  <c r="H5" i="16"/>
  <c r="H15" i="16" s="1"/>
  <c r="C5" i="16"/>
  <c r="C15" i="16" s="1"/>
  <c r="A2" i="16"/>
  <c r="A1" i="16"/>
  <c r="G39" i="11"/>
  <c r="F133" i="16"/>
  <c r="E133" i="16"/>
  <c r="D133" i="16"/>
  <c r="C133" i="16"/>
  <c r="J136" i="16"/>
  <c r="I136" i="16"/>
  <c r="F132" i="16"/>
  <c r="E132" i="16"/>
  <c r="D132" i="16"/>
  <c r="C132" i="16"/>
  <c r="K131" i="16"/>
  <c r="J131" i="16"/>
  <c r="I131" i="16"/>
  <c r="H131" i="16"/>
  <c r="K130" i="16"/>
  <c r="J130" i="16"/>
  <c r="I130" i="16"/>
  <c r="H130" i="16"/>
  <c r="K129" i="16"/>
  <c r="J129" i="16"/>
  <c r="I129" i="16"/>
  <c r="H129" i="16"/>
  <c r="F129" i="16"/>
  <c r="E129" i="16"/>
  <c r="D129" i="16"/>
  <c r="C129" i="16"/>
  <c r="K143" i="16"/>
  <c r="J143" i="16"/>
  <c r="I143" i="16"/>
  <c r="H143" i="16"/>
  <c r="K124" i="16"/>
  <c r="J124" i="16"/>
  <c r="I124" i="16"/>
  <c r="H124" i="16"/>
  <c r="F64" i="11"/>
  <c r="F58" i="11"/>
  <c r="K126" i="16"/>
  <c r="I126" i="16"/>
  <c r="H126" i="16"/>
  <c r="I125" i="16"/>
  <c r="H125" i="16"/>
  <c r="F122" i="16"/>
  <c r="E122" i="16"/>
  <c r="D122" i="16"/>
  <c r="C122" i="16"/>
  <c r="K120" i="16"/>
  <c r="J120" i="16"/>
  <c r="I120" i="16"/>
  <c r="H120" i="16"/>
  <c r="F120" i="16"/>
  <c r="E120" i="16"/>
  <c r="D120" i="16"/>
  <c r="C120" i="16"/>
  <c r="F119" i="16"/>
  <c r="E119" i="16"/>
  <c r="D119" i="16"/>
  <c r="C119" i="16"/>
  <c r="F116" i="16"/>
  <c r="E116" i="16"/>
  <c r="D116" i="16"/>
  <c r="C116" i="16"/>
  <c r="K112" i="16"/>
  <c r="J112" i="16"/>
  <c r="I112" i="16"/>
  <c r="H112" i="16"/>
  <c r="F112" i="16"/>
  <c r="E112" i="16"/>
  <c r="D112" i="16"/>
  <c r="C112" i="16"/>
  <c r="K114" i="16"/>
  <c r="J114" i="16"/>
  <c r="I114" i="16"/>
  <c r="H114" i="16"/>
  <c r="J111" i="16"/>
  <c r="K108" i="16"/>
  <c r="J108" i="16"/>
  <c r="I108" i="16"/>
  <c r="H108" i="16"/>
  <c r="K107" i="16"/>
  <c r="F53" i="11"/>
  <c r="E53" i="11"/>
  <c r="I105" i="16"/>
  <c r="K103" i="16"/>
  <c r="J103" i="16"/>
  <c r="I103" i="16"/>
  <c r="H103" i="16"/>
  <c r="F103" i="16"/>
  <c r="E103" i="16"/>
  <c r="D103" i="16"/>
  <c r="C103" i="16"/>
  <c r="K101" i="16"/>
  <c r="J101" i="16"/>
  <c r="I101" i="16"/>
  <c r="H101" i="16"/>
  <c r="F101" i="16"/>
  <c r="E101" i="16"/>
  <c r="D101" i="16"/>
  <c r="C101" i="16"/>
  <c r="R63" i="11"/>
  <c r="O63" i="11"/>
  <c r="K100" i="16"/>
  <c r="J100" i="16"/>
  <c r="I100" i="16"/>
  <c r="H100" i="16"/>
  <c r="F100" i="16"/>
  <c r="E100" i="16"/>
  <c r="D100" i="16"/>
  <c r="C100" i="16"/>
  <c r="K99" i="16"/>
  <c r="J99" i="16"/>
  <c r="I99" i="16"/>
  <c r="H99" i="16"/>
  <c r="E16" i="1"/>
  <c r="E9" i="1"/>
  <c r="K98" i="16"/>
  <c r="R56" i="11"/>
  <c r="F56" i="11"/>
  <c r="K96" i="16"/>
  <c r="J96" i="16"/>
  <c r="I96" i="16"/>
  <c r="H96" i="16"/>
  <c r="F96" i="16"/>
  <c r="E96" i="16"/>
  <c r="D96" i="16"/>
  <c r="C96" i="16"/>
  <c r="F89" i="16"/>
  <c r="E89" i="16"/>
  <c r="D89" i="16"/>
  <c r="C89" i="16"/>
  <c r="K87" i="16"/>
  <c r="J87" i="16"/>
  <c r="I87" i="16"/>
  <c r="H87" i="16"/>
  <c r="F87" i="16"/>
  <c r="E87" i="16"/>
  <c r="D87" i="16"/>
  <c r="C87" i="16"/>
  <c r="I88" i="16"/>
  <c r="F86" i="16"/>
  <c r="E86" i="16"/>
  <c r="D86" i="16"/>
  <c r="C86" i="16"/>
  <c r="G53" i="11"/>
  <c r="N63" i="11"/>
  <c r="J85" i="16"/>
  <c r="I85" i="16"/>
  <c r="H85" i="16"/>
  <c r="K82" i="16"/>
  <c r="J82" i="16"/>
  <c r="I82" i="16"/>
  <c r="H82" i="16"/>
  <c r="F16" i="1"/>
  <c r="K78" i="16"/>
  <c r="J78" i="16"/>
  <c r="I78" i="16"/>
  <c r="H78" i="16"/>
  <c r="K77" i="16"/>
  <c r="J77" i="16"/>
  <c r="I77" i="16"/>
  <c r="H77" i="16"/>
  <c r="F77" i="16"/>
  <c r="E77" i="16"/>
  <c r="D77" i="16"/>
  <c r="C77" i="16"/>
  <c r="K140" i="16"/>
  <c r="J140" i="16"/>
  <c r="I140" i="16"/>
  <c r="H140" i="16"/>
  <c r="F55" i="11"/>
  <c r="O59" i="11"/>
  <c r="C59" i="11"/>
  <c r="J76" i="16"/>
  <c r="F74" i="16"/>
  <c r="E74" i="16"/>
  <c r="D74" i="16"/>
  <c r="C74" i="16"/>
  <c r="K73" i="16"/>
  <c r="J73" i="16"/>
  <c r="I75" i="16"/>
  <c r="H73" i="16"/>
  <c r="F73" i="16"/>
  <c r="E73" i="16"/>
  <c r="C73" i="16"/>
  <c r="R57" i="11"/>
  <c r="V57" i="11" s="1"/>
  <c r="K72" i="16"/>
  <c r="J72" i="16"/>
  <c r="I72" i="16"/>
  <c r="H72" i="16"/>
  <c r="F72" i="16"/>
  <c r="E72" i="16"/>
  <c r="D72" i="16"/>
  <c r="C72" i="16"/>
  <c r="K69" i="16"/>
  <c r="J69" i="16"/>
  <c r="I69" i="16"/>
  <c r="H69" i="16"/>
  <c r="F69" i="16"/>
  <c r="E69" i="16"/>
  <c r="D69" i="16"/>
  <c r="C69" i="16"/>
  <c r="K142" i="16"/>
  <c r="J142" i="16"/>
  <c r="I142" i="16"/>
  <c r="H142" i="16"/>
  <c r="R51" i="11"/>
  <c r="K66" i="16"/>
  <c r="J66" i="16"/>
  <c r="I66" i="16"/>
  <c r="H66" i="16"/>
  <c r="K64" i="16"/>
  <c r="J64" i="16"/>
  <c r="I64" i="16"/>
  <c r="H64" i="16"/>
  <c r="F64" i="16"/>
  <c r="E64" i="16"/>
  <c r="D64" i="16"/>
  <c r="C64" i="16"/>
  <c r="R59" i="11"/>
  <c r="F59" i="11"/>
  <c r="E58" i="11"/>
  <c r="N52" i="11"/>
  <c r="F17" i="16"/>
  <c r="E17" i="16"/>
  <c r="D17" i="16"/>
  <c r="C17" i="16"/>
  <c r="B9" i="1"/>
  <c r="Q64" i="11"/>
  <c r="E64" i="11"/>
  <c r="Q50" i="11"/>
  <c r="F61" i="16"/>
  <c r="E61" i="16"/>
  <c r="D61" i="16"/>
  <c r="C61" i="16"/>
  <c r="F59" i="16"/>
  <c r="E59" i="16"/>
  <c r="D59" i="16"/>
  <c r="C59" i="16"/>
  <c r="J9" i="16"/>
  <c r="F9" i="16"/>
  <c r="E9" i="16"/>
  <c r="D9" i="16"/>
  <c r="C9" i="16"/>
  <c r="C13" i="16" s="1"/>
  <c r="F22" i="16"/>
  <c r="E22" i="16"/>
  <c r="D22" i="16"/>
  <c r="C22" i="16"/>
  <c r="K138" i="16"/>
  <c r="J138" i="16"/>
  <c r="I138" i="16"/>
  <c r="H138" i="16"/>
  <c r="N48" i="11"/>
  <c r="Q48" i="11"/>
  <c r="E48" i="11"/>
  <c r="W61" i="11"/>
  <c r="K61" i="11"/>
  <c r="O7" i="11"/>
  <c r="C16" i="1"/>
  <c r="C9" i="1"/>
  <c r="K54" i="16"/>
  <c r="F52" i="16"/>
  <c r="E52" i="16"/>
  <c r="D52" i="16"/>
  <c r="C52" i="16"/>
  <c r="S47" i="11"/>
  <c r="G47" i="11"/>
  <c r="R48" i="11"/>
  <c r="F48" i="11"/>
  <c r="F51" i="16"/>
  <c r="E51" i="16"/>
  <c r="D51" i="16"/>
  <c r="C51" i="16"/>
  <c r="C50" i="16"/>
  <c r="F49" i="16"/>
  <c r="E49" i="16"/>
  <c r="D49" i="16"/>
  <c r="C49" i="16"/>
  <c r="R44" i="11"/>
  <c r="F44" i="11"/>
  <c r="Q44" i="11"/>
  <c r="R43" i="11"/>
  <c r="Q43" i="11"/>
  <c r="E43" i="11"/>
  <c r="F48" i="16"/>
  <c r="E48" i="16"/>
  <c r="D48" i="16"/>
  <c r="C48" i="16"/>
  <c r="F47" i="16"/>
  <c r="E47" i="16"/>
  <c r="D47" i="16"/>
  <c r="C47" i="16"/>
  <c r="W42" i="11"/>
  <c r="K42" i="11"/>
  <c r="C45" i="16"/>
  <c r="F44" i="16"/>
  <c r="E44" i="16"/>
  <c r="D44" i="16"/>
  <c r="C44" i="16"/>
  <c r="K43" i="16"/>
  <c r="J43" i="16"/>
  <c r="I43" i="16"/>
  <c r="H43" i="16"/>
  <c r="F43" i="16"/>
  <c r="E43" i="16"/>
  <c r="D43" i="16"/>
  <c r="C43" i="16"/>
  <c r="E60" i="11"/>
  <c r="G41" i="11"/>
  <c r="K40" i="16"/>
  <c r="J40" i="16"/>
  <c r="I40" i="16"/>
  <c r="H40" i="16"/>
  <c r="F40" i="16"/>
  <c r="E40" i="16"/>
  <c r="D40" i="16"/>
  <c r="C40" i="16"/>
  <c r="K39" i="16"/>
  <c r="J39" i="16"/>
  <c r="I39" i="16"/>
  <c r="H39" i="16"/>
  <c r="F39" i="16"/>
  <c r="E39" i="16"/>
  <c r="D39" i="16"/>
  <c r="C39" i="16"/>
  <c r="K38" i="16"/>
  <c r="J38" i="16"/>
  <c r="I38" i="16"/>
  <c r="H38" i="16"/>
  <c r="F38" i="16"/>
  <c r="E38" i="16"/>
  <c r="D38" i="16"/>
  <c r="C38" i="16"/>
  <c r="K35" i="16"/>
  <c r="J35" i="16"/>
  <c r="I35" i="16"/>
  <c r="H35" i="16"/>
  <c r="F35" i="16"/>
  <c r="E35" i="16"/>
  <c r="D35" i="16"/>
  <c r="C35" i="16"/>
  <c r="K33" i="16"/>
  <c r="J33" i="16"/>
  <c r="I33" i="16"/>
  <c r="H33" i="16"/>
  <c r="F33" i="16"/>
  <c r="E33" i="16"/>
  <c r="D33" i="16"/>
  <c r="C33" i="16"/>
  <c r="K32" i="16"/>
  <c r="J32" i="16"/>
  <c r="I32" i="16"/>
  <c r="H32" i="16"/>
  <c r="F32" i="16"/>
  <c r="E32" i="16"/>
  <c r="D32" i="16"/>
  <c r="C32" i="16"/>
  <c r="N38" i="11"/>
  <c r="E19" i="16"/>
  <c r="J31" i="16"/>
  <c r="E31" i="16"/>
  <c r="A3" i="2"/>
  <c r="A5" i="9" s="1"/>
  <c r="Q1" i="2"/>
  <c r="L1" i="2"/>
  <c r="F12" i="18"/>
  <c r="F4" i="18"/>
  <c r="J17" i="1"/>
  <c r="J16" i="1"/>
  <c r="G16" i="1"/>
  <c r="B13" i="1"/>
  <c r="J10" i="1"/>
  <c r="J9" i="1"/>
  <c r="F9" i="1"/>
  <c r="B6" i="1"/>
  <c r="A4" i="1"/>
  <c r="A2" i="1"/>
  <c r="A1" i="1"/>
  <c r="L30" i="15"/>
  <c r="L27" i="15"/>
  <c r="B22" i="15"/>
  <c r="L13" i="15"/>
  <c r="L12" i="15"/>
  <c r="L10" i="15"/>
  <c r="B5" i="15"/>
  <c r="A4" i="15"/>
  <c r="A2" i="15"/>
  <c r="A1" i="15"/>
  <c r="C85" i="11"/>
  <c r="W66" i="11"/>
  <c r="S66" i="11"/>
  <c r="R66" i="11"/>
  <c r="Q66" i="11"/>
  <c r="O66" i="11"/>
  <c r="N66" i="11"/>
  <c r="K66" i="11"/>
  <c r="G66" i="11"/>
  <c r="F66" i="11"/>
  <c r="E66" i="11"/>
  <c r="C66" i="11"/>
  <c r="W65" i="11"/>
  <c r="S65" i="11"/>
  <c r="R65" i="11"/>
  <c r="Q65" i="11"/>
  <c r="O65" i="11"/>
  <c r="N65" i="11"/>
  <c r="K65" i="11"/>
  <c r="F65" i="11"/>
  <c r="E65" i="11"/>
  <c r="C65" i="11"/>
  <c r="W64" i="11"/>
  <c r="S64" i="11"/>
  <c r="O64" i="11"/>
  <c r="N64" i="11"/>
  <c r="K64" i="11"/>
  <c r="G64" i="11"/>
  <c r="C64" i="11"/>
  <c r="S63" i="11"/>
  <c r="Q63" i="11"/>
  <c r="K63" i="11"/>
  <c r="G63" i="11"/>
  <c r="F63" i="11"/>
  <c r="E63" i="11"/>
  <c r="C63" i="11"/>
  <c r="W62" i="11"/>
  <c r="S62" i="11"/>
  <c r="R62" i="11"/>
  <c r="Q62" i="11"/>
  <c r="O62" i="11"/>
  <c r="N62" i="11"/>
  <c r="K62" i="11"/>
  <c r="G62" i="11"/>
  <c r="F62" i="11"/>
  <c r="E62" i="11"/>
  <c r="C62" i="11"/>
  <c r="S61" i="11"/>
  <c r="Q61" i="11"/>
  <c r="O61" i="11"/>
  <c r="N61" i="11"/>
  <c r="G61" i="11"/>
  <c r="E61" i="11"/>
  <c r="C61" i="11"/>
  <c r="W60" i="11"/>
  <c r="S60" i="11"/>
  <c r="N60" i="11"/>
  <c r="K60" i="11"/>
  <c r="G60" i="11"/>
  <c r="W59" i="11"/>
  <c r="S59" i="11"/>
  <c r="Q59" i="11"/>
  <c r="N59" i="11"/>
  <c r="K59" i="11"/>
  <c r="G59" i="11"/>
  <c r="E59" i="11"/>
  <c r="W58" i="11"/>
  <c r="S58" i="11"/>
  <c r="R58" i="11"/>
  <c r="O58" i="11"/>
  <c r="N58" i="11"/>
  <c r="K58" i="11"/>
  <c r="G58" i="11"/>
  <c r="C58" i="11"/>
  <c r="W56" i="11"/>
  <c r="S56" i="11"/>
  <c r="Q56" i="11"/>
  <c r="O56" i="11"/>
  <c r="N56" i="11"/>
  <c r="K56" i="11"/>
  <c r="G56" i="11"/>
  <c r="E56" i="11"/>
  <c r="C56" i="11"/>
  <c r="W55" i="11"/>
  <c r="S55" i="11"/>
  <c r="Q55" i="11"/>
  <c r="O55" i="11"/>
  <c r="N55" i="11"/>
  <c r="K55" i="11"/>
  <c r="G55" i="11"/>
  <c r="E55" i="11"/>
  <c r="C55" i="11"/>
  <c r="W53" i="11"/>
  <c r="S53" i="11"/>
  <c r="R53" i="11"/>
  <c r="O53" i="11"/>
  <c r="N53" i="11"/>
  <c r="K53" i="11"/>
  <c r="C53" i="11"/>
  <c r="W52" i="11"/>
  <c r="S52" i="11"/>
  <c r="R52" i="11"/>
  <c r="Q52" i="11"/>
  <c r="O52" i="11"/>
  <c r="K52" i="11"/>
  <c r="G52" i="11"/>
  <c r="F52" i="11"/>
  <c r="E52" i="11"/>
  <c r="C52" i="11"/>
  <c r="W50" i="11"/>
  <c r="R50" i="11"/>
  <c r="O50" i="11"/>
  <c r="N50" i="11"/>
  <c r="K50" i="11"/>
  <c r="F50" i="11"/>
  <c r="E50" i="11"/>
  <c r="C50" i="11"/>
  <c r="W49" i="11"/>
  <c r="S49" i="11"/>
  <c r="R49" i="11"/>
  <c r="Q49" i="11"/>
  <c r="O49" i="11"/>
  <c r="N49" i="11"/>
  <c r="K49" i="11"/>
  <c r="G49" i="11"/>
  <c r="F49" i="11"/>
  <c r="E49" i="11"/>
  <c r="C49" i="11"/>
  <c r="W48" i="11"/>
  <c r="S48" i="11"/>
  <c r="O48" i="11"/>
  <c r="K48" i="11"/>
  <c r="G48" i="11"/>
  <c r="C48" i="11"/>
  <c r="W47" i="11"/>
  <c r="R47" i="11"/>
  <c r="Q47" i="11"/>
  <c r="O47" i="11"/>
  <c r="N47" i="11"/>
  <c r="K47" i="11"/>
  <c r="F47" i="11"/>
  <c r="E47" i="11"/>
  <c r="C47" i="11"/>
  <c r="W45" i="11"/>
  <c r="S45" i="11"/>
  <c r="R45" i="11"/>
  <c r="Q45" i="11"/>
  <c r="O45" i="11"/>
  <c r="N45" i="11"/>
  <c r="K45" i="11"/>
  <c r="G45" i="11"/>
  <c r="F45" i="11"/>
  <c r="E45" i="11"/>
  <c r="C45" i="11"/>
  <c r="W44" i="11"/>
  <c r="S44" i="11"/>
  <c r="O44" i="11"/>
  <c r="N44" i="11"/>
  <c r="K44" i="11"/>
  <c r="G44" i="11"/>
  <c r="E44" i="11"/>
  <c r="C44" i="11"/>
  <c r="W43" i="11"/>
  <c r="S43" i="11"/>
  <c r="O43" i="11"/>
  <c r="N43" i="11"/>
  <c r="K43" i="11"/>
  <c r="G43" i="11"/>
  <c r="F43" i="11"/>
  <c r="C43" i="11"/>
  <c r="S42" i="11"/>
  <c r="R42" i="11"/>
  <c r="Q42" i="11"/>
  <c r="O42" i="11"/>
  <c r="N42" i="11"/>
  <c r="G42" i="11"/>
  <c r="F42" i="11"/>
  <c r="E42" i="11"/>
  <c r="C42" i="11"/>
  <c r="W41" i="11"/>
  <c r="R41" i="11"/>
  <c r="Q41" i="11"/>
  <c r="O41" i="11"/>
  <c r="N41" i="11"/>
  <c r="K41" i="11"/>
  <c r="F41" i="11"/>
  <c r="E41" i="11"/>
  <c r="C41" i="11"/>
  <c r="W39" i="11"/>
  <c r="S39" i="11"/>
  <c r="R39" i="11"/>
  <c r="Q39" i="11"/>
  <c r="O39" i="11"/>
  <c r="N39" i="11"/>
  <c r="K39" i="11"/>
  <c r="F39" i="11"/>
  <c r="E39" i="11"/>
  <c r="C39" i="11"/>
  <c r="W38" i="11"/>
  <c r="S38" i="11"/>
  <c r="R38" i="11"/>
  <c r="Q38" i="11"/>
  <c r="O38" i="11"/>
  <c r="K38" i="11"/>
  <c r="G38" i="11"/>
  <c r="F38" i="11"/>
  <c r="E38" i="11"/>
  <c r="C38" i="11"/>
  <c r="W37" i="11"/>
  <c r="S37" i="11"/>
  <c r="R37" i="11"/>
  <c r="Q37" i="11"/>
  <c r="O37" i="11"/>
  <c r="N37" i="11"/>
  <c r="K37" i="11"/>
  <c r="X30" i="11"/>
  <c r="Y30" i="11" s="1"/>
  <c r="L30" i="11"/>
  <c r="W7" i="11"/>
  <c r="S7" i="11"/>
  <c r="R7" i="11"/>
  <c r="Q7" i="11"/>
  <c r="K7" i="11"/>
  <c r="K23" i="11" s="1"/>
  <c r="L23" i="11" s="1"/>
  <c r="G7" i="11"/>
  <c r="F7" i="11"/>
  <c r="E7" i="11"/>
  <c r="C7" i="11"/>
  <c r="C14" i="15"/>
  <c r="C7" i="15"/>
  <c r="H31" i="15"/>
  <c r="C31" i="15"/>
  <c r="B24" i="15"/>
  <c r="B8" i="15"/>
  <c r="B14" i="15"/>
  <c r="H13" i="15"/>
  <c r="B31" i="15"/>
  <c r="L31" i="15"/>
  <c r="H25" i="15"/>
  <c r="H7" i="15"/>
  <c r="B25" i="15"/>
  <c r="L14" i="15"/>
  <c r="C8" i="15"/>
  <c r="H30" i="15"/>
  <c r="C25" i="15"/>
  <c r="L25" i="15"/>
  <c r="B30" i="15"/>
  <c r="C13" i="15"/>
  <c r="H24" i="15"/>
  <c r="C30" i="15"/>
  <c r="K24" i="15" l="1"/>
  <c r="K7" i="15"/>
  <c r="L11" i="15"/>
  <c r="J7" i="11"/>
  <c r="L28" i="15"/>
  <c r="V50" i="11"/>
  <c r="N69" i="11"/>
  <c r="D86" i="11" s="1"/>
  <c r="V7" i="11"/>
  <c r="W69" i="11"/>
  <c r="D32" i="11" a="1"/>
  <c r="D32" i="11" s="1"/>
  <c r="J34" i="15"/>
  <c r="I34" i="15"/>
  <c r="D34" i="15"/>
  <c r="C34" i="15"/>
  <c r="D33" i="15"/>
  <c r="C33" i="15"/>
  <c r="J33" i="15"/>
  <c r="I33" i="15"/>
  <c r="H32" i="11" a="1"/>
  <c r="H32" i="11" s="1"/>
  <c r="G69" i="11"/>
  <c r="H34" i="15"/>
  <c r="V39" i="11"/>
  <c r="V37" i="11"/>
  <c r="V38" i="11"/>
  <c r="J64" i="11"/>
  <c r="L64" i="11" s="1"/>
  <c r="J62" i="11"/>
  <c r="L62" i="11" s="1"/>
  <c r="J63" i="11"/>
  <c r="L63" i="11" s="1"/>
  <c r="J65" i="11"/>
  <c r="L65" i="11" s="1"/>
  <c r="J66" i="11"/>
  <c r="L66" i="11" s="1"/>
  <c r="J56" i="11"/>
  <c r="L56" i="11" s="1"/>
  <c r="J37" i="11"/>
  <c r="J39" i="11"/>
  <c r="L39" i="11" s="1"/>
  <c r="J44" i="11"/>
  <c r="L44" i="11" s="1"/>
  <c r="J52" i="11"/>
  <c r="L52" i="11" s="1"/>
  <c r="J53" i="11"/>
  <c r="L53" i="11" s="1"/>
  <c r="J55" i="11"/>
  <c r="L55" i="11" s="1"/>
  <c r="J58" i="11"/>
  <c r="L58" i="11" s="1"/>
  <c r="J42" i="11"/>
  <c r="L42" i="11" s="1"/>
  <c r="J45" i="11"/>
  <c r="L45" i="11" s="1"/>
  <c r="J47" i="11"/>
  <c r="L47" i="11" s="1"/>
  <c r="J49" i="11"/>
  <c r="L49" i="11" s="1"/>
  <c r="J50" i="11"/>
  <c r="L50" i="11" s="1"/>
  <c r="J59" i="11"/>
  <c r="L59" i="11" s="1"/>
  <c r="J41" i="11"/>
  <c r="L41" i="11" s="1"/>
  <c r="J43" i="11"/>
  <c r="L43" i="11" s="1"/>
  <c r="J38" i="11"/>
  <c r="L38" i="11" s="1"/>
  <c r="J48" i="11"/>
  <c r="L48" i="11" s="1"/>
  <c r="L19" i="15"/>
  <c r="I16" i="15"/>
  <c r="D16" i="15"/>
  <c r="J16" i="15"/>
  <c r="C16" i="15"/>
  <c r="B16" i="15"/>
  <c r="K69" i="11"/>
  <c r="E69" i="11"/>
  <c r="E75" i="11" s="1"/>
  <c r="I9" i="1"/>
  <c r="K9" i="1" s="1"/>
  <c r="V49" i="11"/>
  <c r="V56" i="11"/>
  <c r="V42" i="11"/>
  <c r="V43" i="11"/>
  <c r="V47" i="11"/>
  <c r="V62" i="11"/>
  <c r="V65" i="11"/>
  <c r="V66" i="11"/>
  <c r="V48" i="11"/>
  <c r="V52" i="11"/>
  <c r="V51" i="11"/>
  <c r="V63" i="11"/>
  <c r="V44" i="11"/>
  <c r="V45" i="11"/>
  <c r="V59" i="11"/>
  <c r="K13" i="15"/>
  <c r="M13" i="15" s="1"/>
  <c r="K25" i="15"/>
  <c r="M25" i="15" s="1"/>
  <c r="K14" i="15"/>
  <c r="K31" i="15"/>
  <c r="M31" i="15" s="1"/>
  <c r="K30" i="15"/>
  <c r="M30" i="15" s="1"/>
  <c r="K8" i="15"/>
  <c r="M8" i="15" s="1"/>
  <c r="X57" i="11"/>
  <c r="Y57" i="11" s="1"/>
  <c r="N16" i="19"/>
  <c r="N7" i="19"/>
  <c r="N9" i="19"/>
  <c r="N11" i="19"/>
  <c r="N13" i="19"/>
  <c r="G34" i="19"/>
  <c r="N8" i="19"/>
  <c r="N12" i="19"/>
  <c r="I34" i="19"/>
  <c r="D35" i="19" s="1"/>
  <c r="L17" i="19"/>
  <c r="J34" i="19"/>
  <c r="B34" i="19"/>
  <c r="L34" i="19"/>
  <c r="M17" i="19"/>
  <c r="N15" i="19"/>
  <c r="I17" i="19"/>
  <c r="I19" i="19" s="1"/>
  <c r="K17" i="19"/>
  <c r="E34" i="19"/>
  <c r="O34" i="19"/>
  <c r="N10" i="19"/>
  <c r="N14" i="19"/>
  <c r="C35" i="19"/>
  <c r="N6" i="19"/>
  <c r="J18" i="1"/>
  <c r="W8" i="11" s="1"/>
  <c r="W16" i="11" s="1"/>
  <c r="N5" i="19"/>
  <c r="A2" i="5"/>
  <c r="L29" i="15"/>
  <c r="J8" i="1"/>
  <c r="J11" i="1" s="1"/>
  <c r="K8" i="11" s="1"/>
  <c r="I137" i="16"/>
  <c r="H137" i="16"/>
  <c r="J137" i="16"/>
  <c r="K137" i="16"/>
  <c r="K46" i="16"/>
  <c r="H50" i="16"/>
  <c r="J52" i="16"/>
  <c r="H84" i="16"/>
  <c r="J97" i="16"/>
  <c r="H104" i="16"/>
  <c r="J106" i="16"/>
  <c r="H46" i="16"/>
  <c r="K52" i="16"/>
  <c r="H47" i="16"/>
  <c r="I49" i="16"/>
  <c r="J53" i="16"/>
  <c r="H59" i="16"/>
  <c r="I74" i="16"/>
  <c r="I81" i="16"/>
  <c r="I110" i="16"/>
  <c r="H119" i="16"/>
  <c r="J47" i="16"/>
  <c r="K49" i="16"/>
  <c r="H53" i="16"/>
  <c r="J59" i="16"/>
  <c r="K74" i="16"/>
  <c r="K81" i="16"/>
  <c r="J84" i="16"/>
  <c r="H97" i="16"/>
  <c r="J104" i="16"/>
  <c r="H106" i="16"/>
  <c r="K110" i="16"/>
  <c r="J119" i="16"/>
  <c r="C27" i="16"/>
  <c r="C172" i="16" s="1"/>
  <c r="I46" i="16"/>
  <c r="J48" i="16"/>
  <c r="J61" i="16"/>
  <c r="J62" i="16"/>
  <c r="K83" i="16"/>
  <c r="J86" i="16"/>
  <c r="J89" i="16"/>
  <c r="J92" i="16"/>
  <c r="H109" i="16"/>
  <c r="K113" i="16"/>
  <c r="K116" i="16"/>
  <c r="J122" i="16"/>
  <c r="J123" i="16"/>
  <c r="K132" i="16"/>
  <c r="K133" i="16"/>
  <c r="K134" i="16"/>
  <c r="J63" i="16"/>
  <c r="K70" i="16"/>
  <c r="J71" i="16"/>
  <c r="J75" i="16"/>
  <c r="I76" i="16"/>
  <c r="J79" i="16"/>
  <c r="I80" i="16"/>
  <c r="J95" i="16"/>
  <c r="K102" i="16"/>
  <c r="H105" i="16"/>
  <c r="J107" i="16"/>
  <c r="J115" i="16"/>
  <c r="J127" i="16"/>
  <c r="J135" i="16"/>
  <c r="H44" i="16"/>
  <c r="J51" i="16"/>
  <c r="H52" i="16"/>
  <c r="I44" i="16"/>
  <c r="H45" i="16"/>
  <c r="J46" i="16"/>
  <c r="K47" i="16"/>
  <c r="K48" i="16"/>
  <c r="H49" i="16"/>
  <c r="K51" i="16"/>
  <c r="I52" i="16"/>
  <c r="I53" i="16"/>
  <c r="K59" i="16"/>
  <c r="K61" i="16"/>
  <c r="H74" i="16"/>
  <c r="H81" i="16"/>
  <c r="H83" i="16"/>
  <c r="K84" i="16"/>
  <c r="K86" i="16"/>
  <c r="K89" i="16"/>
  <c r="K92" i="16"/>
  <c r="I97" i="16"/>
  <c r="K104" i="16"/>
  <c r="I106" i="16"/>
  <c r="I109" i="16"/>
  <c r="H110" i="16"/>
  <c r="H113" i="16"/>
  <c r="H116" i="16"/>
  <c r="K119" i="16"/>
  <c r="K122" i="16"/>
  <c r="K123" i="16"/>
  <c r="H132" i="16"/>
  <c r="H133" i="16"/>
  <c r="H134" i="16"/>
  <c r="H54" i="16"/>
  <c r="K63" i="16"/>
  <c r="H70" i="16"/>
  <c r="K71" i="16"/>
  <c r="K75" i="16"/>
  <c r="K79" i="16"/>
  <c r="J80" i="16"/>
  <c r="J88" i="16"/>
  <c r="K95" i="16"/>
  <c r="H98" i="16"/>
  <c r="H102" i="16"/>
  <c r="K111" i="16"/>
  <c r="K115" i="16"/>
  <c r="K127" i="16"/>
  <c r="K135" i="16"/>
  <c r="H48" i="16"/>
  <c r="H61" i="16"/>
  <c r="H62" i="16"/>
  <c r="I83" i="16"/>
  <c r="H86" i="16"/>
  <c r="H89" i="16"/>
  <c r="H92" i="16"/>
  <c r="J109" i="16"/>
  <c r="I113" i="16"/>
  <c r="I116" i="16"/>
  <c r="H122" i="16"/>
  <c r="H123" i="16"/>
  <c r="I132" i="16"/>
  <c r="I133" i="16"/>
  <c r="I134" i="16"/>
  <c r="I54" i="16"/>
  <c r="H63" i="16"/>
  <c r="I70" i="16"/>
  <c r="H71" i="16"/>
  <c r="H75" i="16"/>
  <c r="K76" i="16"/>
  <c r="H79" i="16"/>
  <c r="K80" i="16"/>
  <c r="K88" i="16"/>
  <c r="H95" i="16"/>
  <c r="I98" i="16"/>
  <c r="I102" i="16"/>
  <c r="J105" i="16"/>
  <c r="H107" i="16"/>
  <c r="H111" i="16"/>
  <c r="H115" i="16"/>
  <c r="J125" i="16"/>
  <c r="H127" i="16"/>
  <c r="H135" i="16"/>
  <c r="K136" i="16"/>
  <c r="J44" i="16"/>
  <c r="H51" i="16"/>
  <c r="K44" i="16"/>
  <c r="I47" i="16"/>
  <c r="I48" i="16"/>
  <c r="J49" i="16"/>
  <c r="I51" i="16"/>
  <c r="K53" i="16"/>
  <c r="I59" i="16"/>
  <c r="I61" i="16"/>
  <c r="I62" i="16"/>
  <c r="J74" i="16"/>
  <c r="J81" i="16"/>
  <c r="J83" i="16"/>
  <c r="I84" i="16"/>
  <c r="I86" i="16"/>
  <c r="I89" i="16"/>
  <c r="I92" i="16"/>
  <c r="K97" i="16"/>
  <c r="I104" i="16"/>
  <c r="K106" i="16"/>
  <c r="K109" i="16"/>
  <c r="J110" i="16"/>
  <c r="J113" i="16"/>
  <c r="J116" i="16"/>
  <c r="I119" i="16"/>
  <c r="I122" i="16"/>
  <c r="I123" i="16"/>
  <c r="J132" i="16"/>
  <c r="J133" i="16"/>
  <c r="J134" i="16"/>
  <c r="J54" i="16"/>
  <c r="I63" i="16"/>
  <c r="J70" i="16"/>
  <c r="I71" i="16"/>
  <c r="H76" i="16"/>
  <c r="I79" i="16"/>
  <c r="H80" i="16"/>
  <c r="K85" i="16"/>
  <c r="H88" i="16"/>
  <c r="I95" i="16"/>
  <c r="J98" i="16"/>
  <c r="J102" i="16"/>
  <c r="K105" i="16"/>
  <c r="I107" i="16"/>
  <c r="I111" i="16"/>
  <c r="I115" i="16"/>
  <c r="K125" i="16"/>
  <c r="J126" i="16"/>
  <c r="I127" i="16"/>
  <c r="I135" i="16"/>
  <c r="H136" i="16"/>
  <c r="R64" i="11"/>
  <c r="V64" i="11" s="1"/>
  <c r="B16" i="1"/>
  <c r="K9" i="16"/>
  <c r="I9" i="16"/>
  <c r="H9" i="16"/>
  <c r="Q53" i="11"/>
  <c r="S41" i="11"/>
  <c r="S69" i="11" s="1"/>
  <c r="J19" i="16"/>
  <c r="I22" i="16"/>
  <c r="R55" i="11"/>
  <c r="H17" i="15"/>
  <c r="K17" i="15" s="1"/>
  <c r="H16" i="15"/>
  <c r="L15" i="15"/>
  <c r="L18" i="15" s="1"/>
  <c r="L36" i="15"/>
  <c r="H33" i="15"/>
  <c r="H8" i="16"/>
  <c r="Q60" i="11"/>
  <c r="J22" i="16"/>
  <c r="Q58" i="11"/>
  <c r="V58" i="11" s="1"/>
  <c r="K22" i="16"/>
  <c r="H22" i="16"/>
  <c r="H27" i="16"/>
  <c r="H172" i="16" s="1"/>
  <c r="A2" i="13"/>
  <c r="K62" i="16"/>
  <c r="F61" i="11"/>
  <c r="J61" i="11" s="1"/>
  <c r="R61" i="11"/>
  <c r="V61" i="11" s="1"/>
  <c r="D73" i="16"/>
  <c r="I73" i="16"/>
  <c r="I8" i="16"/>
  <c r="D45" i="16"/>
  <c r="D10" i="16"/>
  <c r="I45" i="16"/>
  <c r="I10" i="16"/>
  <c r="D18" i="16"/>
  <c r="D50" i="16"/>
  <c r="I18" i="16"/>
  <c r="I50" i="16"/>
  <c r="D21" i="16"/>
  <c r="I21" i="16"/>
  <c r="E8" i="16"/>
  <c r="J8" i="16"/>
  <c r="E45" i="16"/>
  <c r="E10" i="16"/>
  <c r="J45" i="16"/>
  <c r="J10" i="16"/>
  <c r="E18" i="16"/>
  <c r="E50" i="16"/>
  <c r="J18" i="16"/>
  <c r="J50" i="16"/>
  <c r="E21" i="16"/>
  <c r="J21" i="16"/>
  <c r="D8" i="16"/>
  <c r="F8" i="16"/>
  <c r="K8" i="16"/>
  <c r="C60" i="11"/>
  <c r="O60" i="11"/>
  <c r="O69" i="11" s="1"/>
  <c r="F60" i="11"/>
  <c r="R60" i="11"/>
  <c r="F45" i="16"/>
  <c r="F10" i="16"/>
  <c r="K45" i="16"/>
  <c r="K10" i="16"/>
  <c r="F18" i="16"/>
  <c r="K18" i="16"/>
  <c r="F21" i="16"/>
  <c r="K21" i="16"/>
  <c r="C18" i="16"/>
  <c r="H18" i="16"/>
  <c r="C21" i="16"/>
  <c r="H21" i="16"/>
  <c r="H10" i="16"/>
  <c r="F50" i="16"/>
  <c r="K50" i="16"/>
  <c r="H31" i="16"/>
  <c r="H7" i="16"/>
  <c r="C20" i="16"/>
  <c r="D31" i="16"/>
  <c r="D7" i="16"/>
  <c r="I31" i="16"/>
  <c r="I7" i="16"/>
  <c r="D19" i="16"/>
  <c r="D174" i="16"/>
  <c r="I19" i="16"/>
  <c r="I174" i="16"/>
  <c r="D20" i="16"/>
  <c r="I20" i="16"/>
  <c r="I17" i="16"/>
  <c r="C19" i="16"/>
  <c r="C174" i="16"/>
  <c r="C440" i="16" s="1"/>
  <c r="F31" i="16"/>
  <c r="F7" i="16"/>
  <c r="K31" i="16"/>
  <c r="K7" i="16"/>
  <c r="F174" i="16"/>
  <c r="F19" i="16"/>
  <c r="K174" i="16"/>
  <c r="K19" i="16"/>
  <c r="F20" i="16"/>
  <c r="K20" i="16"/>
  <c r="K17" i="16"/>
  <c r="C31" i="16"/>
  <c r="C170" i="16" s="1"/>
  <c r="H19" i="16"/>
  <c r="H174" i="16"/>
  <c r="H20" i="16"/>
  <c r="H17" i="16"/>
  <c r="E174" i="16"/>
  <c r="J174" i="16"/>
  <c r="E7" i="16"/>
  <c r="J7" i="16"/>
  <c r="J17" i="16"/>
  <c r="E20" i="16"/>
  <c r="J20" i="16"/>
  <c r="W75" i="11" l="1"/>
  <c r="W78" i="11"/>
  <c r="W79" i="11" s="1"/>
  <c r="X44" i="11"/>
  <c r="Y44" i="11" s="1"/>
  <c r="X48" i="11"/>
  <c r="Y48" i="11" s="1"/>
  <c r="X47" i="11"/>
  <c r="Y47" i="11" s="1"/>
  <c r="X49" i="11"/>
  <c r="Y49" i="11" s="1"/>
  <c r="X39" i="11"/>
  <c r="Y39" i="11" s="1"/>
  <c r="X63" i="11"/>
  <c r="Y63" i="11" s="1"/>
  <c r="X66" i="11"/>
  <c r="Y66" i="11" s="1"/>
  <c r="X43" i="11"/>
  <c r="Y43" i="11" s="1"/>
  <c r="X59" i="11"/>
  <c r="Y59" i="11" s="1"/>
  <c r="X51" i="11"/>
  <c r="Y51" i="11" s="1"/>
  <c r="X65" i="11"/>
  <c r="Y65" i="11" s="1"/>
  <c r="X42" i="11"/>
  <c r="Y42" i="11" s="1"/>
  <c r="X38" i="11"/>
  <c r="Y38" i="11" s="1"/>
  <c r="X45" i="11"/>
  <c r="Y45" i="11" s="1"/>
  <c r="X52" i="11"/>
  <c r="Y52" i="11" s="1"/>
  <c r="X62" i="11"/>
  <c r="Y62" i="11" s="1"/>
  <c r="X56" i="11"/>
  <c r="Y56" i="11" s="1"/>
  <c r="X50" i="11"/>
  <c r="Y50" i="11" s="1"/>
  <c r="W17" i="11"/>
  <c r="W31" i="11"/>
  <c r="W32" i="11" s="1"/>
  <c r="K34" i="15"/>
  <c r="M24" i="15"/>
  <c r="N74" i="11"/>
  <c r="U74" i="11"/>
  <c r="U75" i="11" s="1"/>
  <c r="S74" i="11"/>
  <c r="S75" i="11" s="1"/>
  <c r="P74" i="11"/>
  <c r="P75" i="11" s="1"/>
  <c r="O74" i="11"/>
  <c r="O75" i="11" s="1"/>
  <c r="X7" i="11"/>
  <c r="Y7" i="11" s="1"/>
  <c r="Q74" i="11"/>
  <c r="R74" i="11"/>
  <c r="T74" i="11"/>
  <c r="T75" i="11" s="1"/>
  <c r="C74" i="11"/>
  <c r="G74" i="11"/>
  <c r="G75" i="11" s="1"/>
  <c r="I74" i="11"/>
  <c r="I75" i="11" s="1"/>
  <c r="K16" i="11"/>
  <c r="K17" i="11" s="1"/>
  <c r="K24" i="11"/>
  <c r="K33" i="15"/>
  <c r="L7" i="11"/>
  <c r="D8" i="1"/>
  <c r="G8" i="1"/>
  <c r="F69" i="11"/>
  <c r="F75" i="11" s="1"/>
  <c r="M7" i="15"/>
  <c r="I12" i="15"/>
  <c r="I10" i="15"/>
  <c r="I11" i="15" s="1"/>
  <c r="I27" i="15"/>
  <c r="I28" i="15" s="1"/>
  <c r="I29" i="15"/>
  <c r="J60" i="11"/>
  <c r="L60" i="11" s="1"/>
  <c r="K16" i="15"/>
  <c r="M14" i="15"/>
  <c r="R69" i="11"/>
  <c r="Q69" i="11"/>
  <c r="D89" i="11" s="1"/>
  <c r="D87" i="11"/>
  <c r="C69" i="11"/>
  <c r="C87" i="11" s="1"/>
  <c r="H13" i="16"/>
  <c r="K13" i="16"/>
  <c r="E13" i="16"/>
  <c r="I13" i="16"/>
  <c r="F13" i="16"/>
  <c r="D13" i="16"/>
  <c r="J13" i="16"/>
  <c r="I16" i="1"/>
  <c r="F15" i="18"/>
  <c r="F17" i="18"/>
  <c r="E17" i="18"/>
  <c r="D17" i="18"/>
  <c r="C17" i="18"/>
  <c r="F9" i="18"/>
  <c r="C9" i="18"/>
  <c r="E9" i="18"/>
  <c r="D9" i="18"/>
  <c r="V60" i="11"/>
  <c r="V55" i="11"/>
  <c r="V41" i="11"/>
  <c r="V53" i="11"/>
  <c r="L61" i="11"/>
  <c r="J12" i="15"/>
  <c r="H17" i="1"/>
  <c r="H15" i="1"/>
  <c r="J10" i="15"/>
  <c r="J11" i="15" s="1"/>
  <c r="J29" i="15"/>
  <c r="J27" i="15"/>
  <c r="J28" i="15" s="1"/>
  <c r="H10" i="1"/>
  <c r="H8" i="1"/>
  <c r="J25" i="16"/>
  <c r="C25" i="16"/>
  <c r="C441" i="16" s="1"/>
  <c r="F25" i="16"/>
  <c r="D25" i="16"/>
  <c r="E25" i="16"/>
  <c r="I25" i="16"/>
  <c r="H25" i="16"/>
  <c r="K25" i="16"/>
  <c r="N17" i="19"/>
  <c r="X64" i="11"/>
  <c r="Y64" i="11" s="1"/>
  <c r="X58" i="11"/>
  <c r="Y58" i="11" s="1"/>
  <c r="X61" i="11"/>
  <c r="Y61" i="11" s="1"/>
  <c r="E10" i="1"/>
  <c r="D27" i="15"/>
  <c r="D28" i="15" s="1"/>
  <c r="D10" i="1"/>
  <c r="D29" i="15"/>
  <c r="C16" i="18"/>
  <c r="B10" i="15"/>
  <c r="B11" i="15" s="1"/>
  <c r="D17" i="1"/>
  <c r="D15" i="1"/>
  <c r="D12" i="15"/>
  <c r="D10" i="15"/>
  <c r="D11" i="15" s="1"/>
  <c r="C91" i="11"/>
  <c r="L32" i="15"/>
  <c r="L35" i="15" s="1"/>
  <c r="E35" i="19"/>
  <c r="D14" i="18"/>
  <c r="C8" i="1"/>
  <c r="B8" i="1"/>
  <c r="B12" i="15"/>
  <c r="C12" i="15"/>
  <c r="F170" i="16"/>
  <c r="E16" i="18"/>
  <c r="E14" i="18"/>
  <c r="H29" i="15"/>
  <c r="F10" i="1"/>
  <c r="H27" i="15"/>
  <c r="H28" i="15" s="1"/>
  <c r="F14" i="18"/>
  <c r="D15" i="18"/>
  <c r="C10" i="1"/>
  <c r="C27" i="15"/>
  <c r="C28" i="15" s="1"/>
  <c r="B10" i="1"/>
  <c r="B27" i="15"/>
  <c r="B28" i="15" s="1"/>
  <c r="G10" i="1"/>
  <c r="B29" i="15"/>
  <c r="C14" i="18"/>
  <c r="F8" i="1"/>
  <c r="E15" i="18"/>
  <c r="E8" i="1"/>
  <c r="D170" i="16"/>
  <c r="E170" i="16"/>
  <c r="H170" i="16"/>
  <c r="K170" i="16"/>
  <c r="I170" i="16"/>
  <c r="J170" i="16"/>
  <c r="I440" i="16"/>
  <c r="Q34" i="19"/>
  <c r="C29" i="15"/>
  <c r="D16" i="18"/>
  <c r="H440" i="16"/>
  <c r="C15" i="18"/>
  <c r="F16" i="18"/>
  <c r="E440" i="16"/>
  <c r="D91" i="11"/>
  <c r="J440" i="16"/>
  <c r="K440" i="16"/>
  <c r="D440" i="16"/>
  <c r="F440" i="16"/>
  <c r="C171" i="16"/>
  <c r="D8" i="18"/>
  <c r="D7" i="18"/>
  <c r="D6" i="18"/>
  <c r="F17" i="1"/>
  <c r="C17" i="1"/>
  <c r="F15" i="1"/>
  <c r="C15" i="1"/>
  <c r="C8" i="18"/>
  <c r="E17" i="1"/>
  <c r="F8" i="18"/>
  <c r="F7" i="18"/>
  <c r="F6" i="18"/>
  <c r="E8" i="18"/>
  <c r="E7" i="18"/>
  <c r="E6" i="18"/>
  <c r="G17" i="1"/>
  <c r="G15" i="1"/>
  <c r="H12" i="15"/>
  <c r="C7" i="18"/>
  <c r="C6" i="18"/>
  <c r="B17" i="1"/>
  <c r="E15" i="1"/>
  <c r="B15" i="1"/>
  <c r="H10" i="15"/>
  <c r="H11" i="15" s="1"/>
  <c r="C10" i="15"/>
  <c r="C11" i="15" s="1"/>
  <c r="X37" i="11"/>
  <c r="Y37" i="11" s="1"/>
  <c r="C89" i="11"/>
  <c r="L37" i="11"/>
  <c r="K20" i="11" l="1"/>
  <c r="K31" i="11" s="1"/>
  <c r="K32" i="11" s="1"/>
  <c r="L24" i="11"/>
  <c r="L20" i="11" s="1"/>
  <c r="X53" i="11"/>
  <c r="Y53" i="11" s="1"/>
  <c r="X55" i="11"/>
  <c r="Y55" i="11" s="1"/>
  <c r="X41" i="11"/>
  <c r="Y41" i="11" s="1"/>
  <c r="X60" i="11"/>
  <c r="Y60" i="11" s="1"/>
  <c r="C75" i="11"/>
  <c r="V74" i="11"/>
  <c r="X74" i="11" s="1"/>
  <c r="N75" i="11"/>
  <c r="V69" i="11"/>
  <c r="J74" i="11"/>
  <c r="Q75" i="11"/>
  <c r="J69" i="11"/>
  <c r="R75" i="11"/>
  <c r="K16" i="1"/>
  <c r="K79" i="11"/>
  <c r="I15" i="15"/>
  <c r="I18" i="15" s="1"/>
  <c r="I32" i="15"/>
  <c r="I35" i="15" s="1"/>
  <c r="L69" i="11"/>
  <c r="I17" i="1"/>
  <c r="K17" i="1" s="1"/>
  <c r="I10" i="1"/>
  <c r="K10" i="1" s="1"/>
  <c r="I15" i="1"/>
  <c r="I8" i="1"/>
  <c r="K8" i="1" s="1"/>
  <c r="D10" i="18"/>
  <c r="F18" i="18"/>
  <c r="E18" i="18"/>
  <c r="D18" i="18"/>
  <c r="C18" i="18"/>
  <c r="E10" i="18"/>
  <c r="C10" i="18"/>
  <c r="F10" i="18"/>
  <c r="J15" i="15"/>
  <c r="J18" i="15" s="1"/>
  <c r="H18" i="1"/>
  <c r="U8" i="11" s="1"/>
  <c r="H11" i="1"/>
  <c r="I8" i="11" s="1"/>
  <c r="J32" i="15"/>
  <c r="J35" i="15" s="1"/>
  <c r="K12" i="15"/>
  <c r="K10" i="15"/>
  <c r="K11" i="15" s="1"/>
  <c r="K29" i="15"/>
  <c r="M29" i="15" s="1"/>
  <c r="K27" i="15"/>
  <c r="K28" i="15" s="1"/>
  <c r="H15" i="15"/>
  <c r="H18" i="15" s="1"/>
  <c r="E35" i="15"/>
  <c r="D11" i="1"/>
  <c r="D8" i="11" s="1"/>
  <c r="D16" i="11" s="1"/>
  <c r="D15" i="15"/>
  <c r="D18" i="15" s="1"/>
  <c r="D18" i="1"/>
  <c r="E11" i="1"/>
  <c r="E8" i="11" s="1"/>
  <c r="D32" i="15"/>
  <c r="D35" i="15" s="1"/>
  <c r="D90" i="11"/>
  <c r="D94" i="11" s="1"/>
  <c r="G11" i="1"/>
  <c r="B11" i="1"/>
  <c r="B8" i="11" s="1"/>
  <c r="B16" i="11" s="1"/>
  <c r="C11" i="1"/>
  <c r="C8" i="11" s="1"/>
  <c r="F11" i="1"/>
  <c r="H32" i="15"/>
  <c r="H35" i="15" s="1"/>
  <c r="C32" i="15"/>
  <c r="C35" i="15" s="1"/>
  <c r="J171" i="16"/>
  <c r="B18" i="1"/>
  <c r="N8" i="11" s="1"/>
  <c r="N16" i="11" s="1"/>
  <c r="N78" i="11" s="1"/>
  <c r="C18" i="1"/>
  <c r="O8" i="11" s="1"/>
  <c r="E18" i="1"/>
  <c r="Q8" i="11" s="1"/>
  <c r="G18" i="1"/>
  <c r="S8" i="11" s="1"/>
  <c r="S16" i="11" s="1"/>
  <c r="F18" i="1"/>
  <c r="I441" i="16"/>
  <c r="J441" i="16"/>
  <c r="I171" i="16"/>
  <c r="K171" i="16"/>
  <c r="K441" i="16"/>
  <c r="H171" i="16"/>
  <c r="H441" i="16"/>
  <c r="C15" i="15"/>
  <c r="D441" i="16"/>
  <c r="F171" i="16"/>
  <c r="E171" i="16"/>
  <c r="E441" i="16"/>
  <c r="D171" i="16"/>
  <c r="C90" i="11"/>
  <c r="C94" i="11" s="1"/>
  <c r="F441" i="16"/>
  <c r="B15" i="15"/>
  <c r="B18" i="15" s="1"/>
  <c r="X69" i="11" l="1"/>
  <c r="Y69" i="11" s="1"/>
  <c r="D78" i="11"/>
  <c r="D17" i="11"/>
  <c r="S31" i="11"/>
  <c r="N32" i="11" s="1"/>
  <c r="S78" i="11"/>
  <c r="B17" i="11"/>
  <c r="B78" i="11"/>
  <c r="V75" i="11"/>
  <c r="J75" i="11"/>
  <c r="L75" i="11" s="1"/>
  <c r="N17" i="11"/>
  <c r="N31" i="11"/>
  <c r="K82" i="11"/>
  <c r="K32" i="15"/>
  <c r="K35" i="15" s="1"/>
  <c r="K36" i="15" s="1"/>
  <c r="U16" i="11"/>
  <c r="O16" i="11"/>
  <c r="O78" i="11" s="1"/>
  <c r="Q16" i="11"/>
  <c r="C16" i="11"/>
  <c r="C17" i="11" s="1"/>
  <c r="B72" i="11"/>
  <c r="E16" i="11"/>
  <c r="E78" i="11" s="1"/>
  <c r="I16" i="11"/>
  <c r="I18" i="1"/>
  <c r="P8" i="11"/>
  <c r="P16" i="11" s="1"/>
  <c r="B32" i="15"/>
  <c r="B35" i="15" s="1"/>
  <c r="T79" i="11"/>
  <c r="M12" i="15"/>
  <c r="K15" i="15"/>
  <c r="G8" i="11"/>
  <c r="G16" i="11" s="1"/>
  <c r="H16" i="11"/>
  <c r="H78" i="11" s="1"/>
  <c r="R8" i="11"/>
  <c r="N72" i="11"/>
  <c r="O72" i="11"/>
  <c r="D72" i="11"/>
  <c r="P72" i="11"/>
  <c r="C72" i="11"/>
  <c r="C18" i="15"/>
  <c r="K18" i="15" s="1"/>
  <c r="F8" i="11"/>
  <c r="F16" i="11" s="1"/>
  <c r="F78" i="11" s="1"/>
  <c r="K11" i="1"/>
  <c r="I11" i="1"/>
  <c r="M27" i="15"/>
  <c r="K15" i="1"/>
  <c r="K18" i="1" s="1"/>
  <c r="M10" i="15"/>
  <c r="M11" i="15" s="1"/>
  <c r="X75" i="11" l="1"/>
  <c r="M28" i="15"/>
  <c r="M32" i="15" s="1"/>
  <c r="M35" i="15" s="1"/>
  <c r="C31" i="11"/>
  <c r="P32" i="11"/>
  <c r="O32" i="11"/>
  <c r="S32" i="11"/>
  <c r="U32" i="11"/>
  <c r="I31" i="11"/>
  <c r="I78" i="11"/>
  <c r="G31" i="11"/>
  <c r="C32" i="11" s="1"/>
  <c r="G78" i="11"/>
  <c r="C78" i="11"/>
  <c r="Q31" i="11"/>
  <c r="Q78" i="11"/>
  <c r="Q79" i="11" s="1"/>
  <c r="P31" i="11"/>
  <c r="P78" i="11"/>
  <c r="U31" i="11"/>
  <c r="U78" i="11"/>
  <c r="U79" i="11" s="1"/>
  <c r="O17" i="11"/>
  <c r="O31" i="11"/>
  <c r="F31" i="11"/>
  <c r="H31" i="11"/>
  <c r="U17" i="11"/>
  <c r="D31" i="11"/>
  <c r="B31" i="11"/>
  <c r="E17" i="11"/>
  <c r="E31" i="11"/>
  <c r="Q17" i="11"/>
  <c r="O73" i="11"/>
  <c r="R16" i="11"/>
  <c r="R78" i="11" s="1"/>
  <c r="J8" i="11"/>
  <c r="J16" i="11" s="1"/>
  <c r="K38" i="15"/>
  <c r="I17" i="11"/>
  <c r="D73" i="11"/>
  <c r="B73" i="11"/>
  <c r="P17" i="11"/>
  <c r="M15" i="15"/>
  <c r="M18" i="15" s="1"/>
  <c r="H17" i="11"/>
  <c r="V8" i="11"/>
  <c r="K19" i="15"/>
  <c r="K21" i="15" s="1"/>
  <c r="P73" i="11"/>
  <c r="S17" i="11"/>
  <c r="S79" i="11"/>
  <c r="N73" i="11"/>
  <c r="C73" i="11"/>
  <c r="E79" i="11"/>
  <c r="J72" i="11"/>
  <c r="L72" i="11" s="1"/>
  <c r="V72" i="11"/>
  <c r="X72" i="11" s="1"/>
  <c r="J78" i="11" l="1"/>
  <c r="J79" i="11" s="1"/>
  <c r="J31" i="11"/>
  <c r="V16" i="11"/>
  <c r="V78" i="11" s="1"/>
  <c r="V82" i="11" s="1"/>
  <c r="V84" i="11" s="1"/>
  <c r="V32" i="11"/>
  <c r="I32" i="11"/>
  <c r="I79" i="11" s="1"/>
  <c r="G32" i="11"/>
  <c r="R31" i="11"/>
  <c r="R79" i="11"/>
  <c r="O79" i="11"/>
  <c r="X8" i="11"/>
  <c r="Y8" i="11" s="1"/>
  <c r="L8" i="11"/>
  <c r="L16" i="11" s="1"/>
  <c r="L78" i="11" s="1"/>
  <c r="L79" i="11" s="1"/>
  <c r="B79" i="11"/>
  <c r="D79" i="11"/>
  <c r="J17" i="11"/>
  <c r="P79" i="11"/>
  <c r="H79" i="11"/>
  <c r="C79" i="11"/>
  <c r="G79" i="11"/>
  <c r="G17" i="11"/>
  <c r="V73" i="11"/>
  <c r="X73" i="11" s="1"/>
  <c r="R17" i="11"/>
  <c r="J73" i="11"/>
  <c r="L73" i="11" s="1"/>
  <c r="F79" i="11"/>
  <c r="F17" i="11"/>
  <c r="V31" i="11" l="1"/>
  <c r="X32" i="11"/>
  <c r="Y32" i="11" s="1"/>
  <c r="J32" i="11"/>
  <c r="L32" i="11" s="1"/>
  <c r="X16" i="11"/>
  <c r="L74" i="11"/>
  <c r="J82" i="11"/>
  <c r="J84" i="11" s="1"/>
  <c r="L17" i="11"/>
  <c r="L31" i="11"/>
  <c r="V17" i="11"/>
  <c r="N79" i="11"/>
  <c r="Y16" i="11" l="1"/>
  <c r="X78" i="11"/>
  <c r="X79" i="11" s="1"/>
  <c r="X17" i="11"/>
  <c r="Y17" i="11" s="1"/>
  <c r="X31" i="11"/>
  <c r="Y31" i="11" s="1"/>
  <c r="V79" i="11"/>
  <c r="J7" i="20"/>
  <c r="L7" i="20" s="1"/>
  <c r="J9" i="20"/>
  <c r="L9" i="20" s="1"/>
  <c r="J11" i="20"/>
  <c r="L11" i="20" s="1"/>
  <c r="J10" i="20"/>
  <c r="L10" i="20" s="1"/>
  <c r="J6" i="20"/>
  <c r="L6" i="20" s="1"/>
  <c r="J8" i="20"/>
  <c r="L8" i="20" s="1"/>
  <c r="J4" i="20"/>
  <c r="L4" i="20" s="1"/>
  <c r="J3" i="20"/>
  <c r="L3" i="20" s="1"/>
  <c r="J5" i="20"/>
  <c r="L5" i="20" s="1"/>
  <c r="L12" i="20" l="1"/>
  <c r="J12" i="20"/>
  <c r="A872" i="2"/>
  <c r="A873" i="2" s="1"/>
  <c r="A650" i="2"/>
  <c r="A652" i="2" s="1"/>
  <c r="A654" i="2" s="1"/>
  <c r="A656" i="2" s="1"/>
  <c r="A658" i="2" s="1"/>
  <c r="A660" i="2" s="1"/>
  <c r="A662" i="2" s="1"/>
  <c r="A664" i="2" s="1"/>
  <c r="A666" i="2" s="1"/>
  <c r="A668" i="2" s="1"/>
  <c r="A670" i="2" s="1"/>
  <c r="A672" i="2" s="1"/>
  <c r="A674" i="2" s="1"/>
  <c r="A676" i="2" s="1"/>
  <c r="A678" i="2" s="1"/>
  <c r="A680" i="2" s="1"/>
  <c r="A682" i="2" s="1"/>
  <c r="A684" i="2" s="1"/>
  <c r="A686" i="2" s="1"/>
  <c r="A688" i="2" s="1"/>
  <c r="A690" i="2" s="1"/>
  <c r="A692" i="2" s="1"/>
  <c r="A694" i="2" s="1"/>
  <c r="A696" i="2" s="1"/>
  <c r="A698" i="2" s="1"/>
  <c r="A700" i="2" s="1"/>
  <c r="A702" i="2" s="1"/>
  <c r="A704" i="2" s="1"/>
  <c r="A706" i="2" s="1"/>
  <c r="A708" i="2" s="1"/>
  <c r="A710" i="2" s="1"/>
  <c r="A712" i="2" s="1"/>
  <c r="A925" i="2"/>
  <c r="A927" i="2" s="1"/>
  <c r="A929" i="2" s="1"/>
  <c r="A486" i="2"/>
  <c r="A488" i="2" s="1"/>
  <c r="A880" i="2"/>
  <c r="A883" i="2"/>
  <c r="A885" i="2" s="1"/>
  <c r="A886" i="2" s="1"/>
  <c r="A889" i="2" s="1"/>
  <c r="A890" i="2" s="1"/>
  <c r="A892" i="2" s="1"/>
  <c r="A894" i="2" s="1"/>
  <c r="A896" i="2" s="1"/>
  <c r="A898" i="2" s="1"/>
  <c r="A900" i="2" s="1"/>
  <c r="A902" i="2" s="1"/>
  <c r="A904" i="2" s="1"/>
  <c r="A906" i="2" s="1"/>
  <c r="A908" i="2" s="1"/>
  <c r="A910" i="2" s="1"/>
  <c r="A912" i="2" s="1"/>
  <c r="A914" i="2" s="1"/>
  <c r="A916" i="2" s="1"/>
  <c r="A918" i="2" s="1"/>
  <c r="A425" i="2"/>
  <c r="A921" i="2"/>
  <c r="A197" i="2"/>
  <c r="A306" i="2"/>
  <c r="A308" i="2" s="1"/>
  <c r="A310" i="2" s="1"/>
  <c r="A312" i="2" s="1"/>
  <c r="A31" i="2"/>
  <c r="A75" i="2"/>
  <c r="A536" i="2"/>
  <c r="A844" i="2"/>
  <c r="A846" i="2" s="1"/>
  <c r="A847" i="2" s="1"/>
  <c r="A849" i="2" s="1"/>
  <c r="A851" i="2" l="1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B435" authorId="0" shapeId="0" xr:uid="{27F3A213-92A9-44DE-BA35-58FAFA7B21C6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Why Export?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<sst xmlns="http://schemas.openxmlformats.org/spreadsheetml/2006/main" count="6842" uniqueCount="1418">
  <si>
    <t>YTD'26</t>
  </si>
  <si>
    <t>Expenses Type</t>
  </si>
  <si>
    <t>Bluestreak</t>
  </si>
  <si>
    <t>Clarus</t>
  </si>
  <si>
    <t>IT</t>
  </si>
  <si>
    <t>Factory</t>
  </si>
  <si>
    <t>Office</t>
  </si>
  <si>
    <t>Common</t>
  </si>
  <si>
    <t>Spices - A to Z</t>
  </si>
  <si>
    <t>Spices - Vashi</t>
  </si>
  <si>
    <t>Total (without share trading)</t>
  </si>
  <si>
    <t>Share Trading</t>
  </si>
  <si>
    <t>Total (including share trading)</t>
  </si>
  <si>
    <t>Creative agency charges</t>
  </si>
  <si>
    <t>Website charges</t>
  </si>
  <si>
    <t>SEO charges</t>
  </si>
  <si>
    <t>Advertisements costs</t>
  </si>
  <si>
    <t>Exhibitions costs</t>
  </si>
  <si>
    <t>Buyer Sellers Meets costs</t>
  </si>
  <si>
    <t>Brochures</t>
  </si>
  <si>
    <t>Display material</t>
  </si>
  <si>
    <t>Bussiness Development costs</t>
  </si>
  <si>
    <t>Grand Total</t>
  </si>
  <si>
    <t>M J P T &amp; Co LLP</t>
  </si>
  <si>
    <t>Pristine Worldwide Private Limited</t>
  </si>
  <si>
    <t>P&amp;L Analysis</t>
  </si>
  <si>
    <t>Particulars</t>
  </si>
  <si>
    <t>Sales</t>
  </si>
  <si>
    <t>Less: COGS</t>
  </si>
  <si>
    <t>Gross margin</t>
  </si>
  <si>
    <t xml:space="preserve">Gross margin % </t>
  </si>
  <si>
    <t>Gross margin % (previous month)</t>
  </si>
  <si>
    <t>Indirect income</t>
  </si>
  <si>
    <t>Depreciation &amp; amortization</t>
  </si>
  <si>
    <t>Net income</t>
  </si>
  <si>
    <t>Net allocable income</t>
  </si>
  <si>
    <t>Net profit</t>
  </si>
  <si>
    <t>Audit Fees</t>
  </si>
  <si>
    <t>Accomodation expenses</t>
  </si>
  <si>
    <t>Advertisement</t>
  </si>
  <si>
    <t>Bad debt</t>
  </si>
  <si>
    <t>Marketing Expense</t>
  </si>
  <si>
    <t>Bank charges</t>
  </si>
  <si>
    <t>Brokerage and commission</t>
  </si>
  <si>
    <t>Conveyance expenses</t>
  </si>
  <si>
    <t>Courier charges</t>
  </si>
  <si>
    <t>Donation</t>
  </si>
  <si>
    <t>Domain Expenses</t>
  </si>
  <si>
    <t>Depreciation</t>
  </si>
  <si>
    <t>Electricity charges</t>
  </si>
  <si>
    <t>Export charges</t>
  </si>
  <si>
    <t>Fuel Expenses</t>
  </si>
  <si>
    <t>Insurance expenses</t>
  </si>
  <si>
    <t>Interest expense</t>
  </si>
  <si>
    <t>Labour charges</t>
  </si>
  <si>
    <t>Loading &amp; Unloading charges</t>
  </si>
  <si>
    <t>Misc Expenses</t>
  </si>
  <si>
    <t>Membership Expenses</t>
  </si>
  <si>
    <t>Printing &amp; Stationery</t>
  </si>
  <si>
    <t>Professional charges</t>
  </si>
  <si>
    <t>Rates &amp; Taxes</t>
  </si>
  <si>
    <t>Rent expenses</t>
  </si>
  <si>
    <t>Repairs &amp; maintenance expenses</t>
  </si>
  <si>
    <t>Salary &amp; wages</t>
  </si>
  <si>
    <t>Share trading expenses</t>
  </si>
  <si>
    <t>Staff welfare expenses</t>
  </si>
  <si>
    <t>Subscription fees</t>
  </si>
  <si>
    <t>Telephone &amp; Internet charges</t>
  </si>
  <si>
    <t>Transportation</t>
  </si>
  <si>
    <t>Travelling expenses</t>
  </si>
  <si>
    <t>Packing Charges</t>
  </si>
  <si>
    <t>Port Expenses</t>
  </si>
  <si>
    <t>Total indirect costs</t>
  </si>
  <si>
    <t>Allocation of expenses:</t>
  </si>
  <si>
    <t>Profit/ (loss) before tax</t>
  </si>
  <si>
    <t>Net margin %</t>
  </si>
  <si>
    <t>Net margin % (previous month)</t>
  </si>
  <si>
    <t>Difference</t>
  </si>
  <si>
    <t>Business Vertical</t>
  </si>
  <si>
    <t>YTD</t>
  </si>
  <si>
    <t>Total Operating Expenses</t>
  </si>
  <si>
    <t>Business-wise profit:</t>
  </si>
  <si>
    <t>Export</t>
  </si>
  <si>
    <t>Closing Stock</t>
  </si>
  <si>
    <t>Opening Stock</t>
  </si>
  <si>
    <t>Purchases</t>
  </si>
  <si>
    <t>Indirect expenses</t>
  </si>
  <si>
    <t>Allocation of common expenses</t>
  </si>
  <si>
    <t>-</t>
  </si>
  <si>
    <t>Net Allocable income</t>
  </si>
  <si>
    <t>Net profit after allocation</t>
  </si>
  <si>
    <t>Calculation of COGS:</t>
  </si>
  <si>
    <t>Opening stock</t>
  </si>
  <si>
    <t>Purchase</t>
  </si>
  <si>
    <t>Less: Closing Stock</t>
  </si>
  <si>
    <t>COGS</t>
  </si>
  <si>
    <t>Stock Summary</t>
  </si>
  <si>
    <t>Sr. No</t>
  </si>
  <si>
    <t>Business Verticle</t>
  </si>
  <si>
    <t>Opening Balance</t>
  </si>
  <si>
    <t>Inward</t>
  </si>
  <si>
    <t>Outward</t>
  </si>
  <si>
    <t>Closing Balance</t>
  </si>
  <si>
    <t>Total</t>
  </si>
  <si>
    <t>Remarks</t>
  </si>
  <si>
    <t>Due to Vauation method (Weighted Avg Method) impact is there on Closing Balance of 42K</t>
  </si>
  <si>
    <t>List of Ledgers</t>
  </si>
  <si>
    <t>Sl. No.</t>
  </si>
  <si>
    <t>Name of Ledger</t>
  </si>
  <si>
    <t>Under</t>
  </si>
  <si>
    <t>Group</t>
  </si>
  <si>
    <t>Head</t>
  </si>
  <si>
    <t>Indirect exp classification</t>
  </si>
  <si>
    <t>Opening Bal</t>
  </si>
  <si>
    <t>Opening</t>
  </si>
  <si>
    <t>Debit</t>
  </si>
  <si>
    <t>Credit</t>
  </si>
  <si>
    <t>Closing</t>
  </si>
  <si>
    <t>Opening Bal YTD</t>
  </si>
  <si>
    <t>Opening YTD</t>
  </si>
  <si>
    <t>Debit YTD</t>
  </si>
  <si>
    <t>Credit YTD</t>
  </si>
  <si>
    <t>Closing YTD</t>
  </si>
  <si>
    <t>33 x 33, 2 Colour Printed Serviettes Converting</t>
  </si>
  <si>
    <t>Plant &amp; Machinery</t>
  </si>
  <si>
    <t>420 MM Interfold Box Tissue Converting Machine</t>
  </si>
  <si>
    <t>A to Z Industrial Premises Co-Op Soc Ltd (Society)</t>
  </si>
  <si>
    <t>Security Deposit (A To Z Industrial Estate)</t>
  </si>
  <si>
    <t>BS</t>
  </si>
  <si>
    <t>A.Mangals Marketing</t>
  </si>
  <si>
    <t>Sundry Creditors for (OFFICE)</t>
  </si>
  <si>
    <t>Sundry Creditor</t>
  </si>
  <si>
    <t>ABHA PRINTERS &amp; STATIONERS</t>
  </si>
  <si>
    <t>Rajasthan</t>
  </si>
  <si>
    <t>Sundry Debtor</t>
  </si>
  <si>
    <t>Abhay Infotech</t>
  </si>
  <si>
    <t>SUNDRY DEBTORS BLUESTREAK - AJAYSIR</t>
  </si>
  <si>
    <t>Add on Enterprises</t>
  </si>
  <si>
    <t>Legal Case</t>
  </si>
  <si>
    <t>Aditi Creations</t>
  </si>
  <si>
    <t>Sundry Creditors for (Expenses)</t>
  </si>
  <si>
    <t>ADITYA MEHTA (LOAN A/C)</t>
  </si>
  <si>
    <t>Unsecured Loans</t>
  </si>
  <si>
    <t>Advance Kuldeep Singh</t>
  </si>
  <si>
    <t>STAFF LOAN - OFFICE</t>
  </si>
  <si>
    <t>Advance Tax (A.Y 2025-26)</t>
  </si>
  <si>
    <t>Tax Advances</t>
  </si>
  <si>
    <t>Advance Tax (A.Y. 2008-09)</t>
  </si>
  <si>
    <t>Advance Tax (A.Y. 2010-11)</t>
  </si>
  <si>
    <t>Advertisement (URD) (Blue Streak)</t>
  </si>
  <si>
    <t>BLUESTREAK (EXPENSES)</t>
  </si>
  <si>
    <t>P&amp;L</t>
  </si>
  <si>
    <t>6. Indirect Expense</t>
  </si>
  <si>
    <t>Advertisement (URD) (IT)</t>
  </si>
  <si>
    <t>IT EXPENSE</t>
  </si>
  <si>
    <t>Advhika Enterprises</t>
  </si>
  <si>
    <t>JAMMU</t>
  </si>
  <si>
    <t>Agricultural &amp; Processed Food Products Development</t>
  </si>
  <si>
    <t>SUNDRY CREDITORS (EXPORT)</t>
  </si>
  <si>
    <t>Air Conditioner</t>
  </si>
  <si>
    <t>Office Equipment</t>
  </si>
  <si>
    <t>AIR INDIA LIMITED</t>
  </si>
  <si>
    <t>AIR INDIA LIMITED (DELHI)</t>
  </si>
  <si>
    <t>AIR INDIA LIMITED (KERALA)</t>
  </si>
  <si>
    <t>AIR INDIA LIMITED (MAH.)</t>
  </si>
  <si>
    <t>AIR TICKET SERVICE CHG GST 18%  (EXPORT)</t>
  </si>
  <si>
    <t>EXPORT (EXPENSE)</t>
  </si>
  <si>
    <t>Airdoot India Pvt. Ltd.</t>
  </si>
  <si>
    <t>AIRTEL  - BHAVESH MEHTA</t>
  </si>
  <si>
    <t>AIRTEL - ATUL MEHTA</t>
  </si>
  <si>
    <t>AIRTEL AJAY MEHTA</t>
  </si>
  <si>
    <t>Aissa Maritime Pvt Ltd</t>
  </si>
  <si>
    <t>Deposits (Asset)</t>
  </si>
  <si>
    <t>AJAY MEHTA (CAR RENTAL)</t>
  </si>
  <si>
    <t>Ajay Mehta (Loan A/c)</t>
  </si>
  <si>
    <t>Alex Enterprises</t>
  </si>
  <si>
    <t>Sundry Creditors for Factory</t>
  </si>
  <si>
    <t>ALIBABA.COM</t>
  </si>
  <si>
    <t>Allinfo India Pvt. Ltd.</t>
  </si>
  <si>
    <t>Alphabet Imaging Technologies Private Limited</t>
  </si>
  <si>
    <t>Sundry Creditors ( Blue Streak )</t>
  </si>
  <si>
    <t>Aluminium Foil Winding Machine</t>
  </si>
  <si>
    <t>Always Marketing</t>
  </si>
  <si>
    <t>Tamil Nadu</t>
  </si>
  <si>
    <t>Amba Agencies</t>
  </si>
  <si>
    <t>Sundry Debtor Clarus (Current)</t>
  </si>
  <si>
    <t>Ambrish Typing Institute</t>
  </si>
  <si>
    <t>Madhya Pradesh</t>
  </si>
  <si>
    <t>AMERICAN EXPRESS CREDIT CARD NO. 379877054832005</t>
  </si>
  <si>
    <t>COMMON EXPENSE</t>
  </si>
  <si>
    <t>American Express Credit Card No.-379877054833003</t>
  </si>
  <si>
    <t>Amit Jha Loan A/C</t>
  </si>
  <si>
    <t>Analah Venture Partners LLP</t>
  </si>
  <si>
    <t>Share Investment Swiggy Ltd</t>
  </si>
  <si>
    <t>ANAND RATHI SHARES AND STOCK BROKERS LTD</t>
  </si>
  <si>
    <t>Anjali Traders</t>
  </si>
  <si>
    <t>ANP Associates</t>
  </si>
  <si>
    <t>Anshu Printer</t>
  </si>
  <si>
    <t>Chhattishgarh</t>
  </si>
  <si>
    <t>Apeksha Trading company - adv</t>
  </si>
  <si>
    <t>ADV FROM CUSTOMER</t>
  </si>
  <si>
    <t>APEX ENTERPRISES</t>
  </si>
  <si>
    <t>Appario Retail Private Limited</t>
  </si>
  <si>
    <t>APS Infotech</t>
  </si>
  <si>
    <t>Aquaguard Water Purifier</t>
  </si>
  <si>
    <t>Arjun Ramanarayanan</t>
  </si>
  <si>
    <t>ARK Chemicals Pvt Ltd</t>
  </si>
  <si>
    <t>Sundry Creditors ( Clarus )</t>
  </si>
  <si>
    <t>ARYAN ALLIANCE INDIA PVT. LTD</t>
  </si>
  <si>
    <t>Aryan Facilities</t>
  </si>
  <si>
    <t>Ashapura Agency</t>
  </si>
  <si>
    <t>Assessment Due MVAT 2014-2015</t>
  </si>
  <si>
    <t>Assessment Dues KVAT 2012-13</t>
  </si>
  <si>
    <t>Assessment Dues MVAT 2012-13</t>
  </si>
  <si>
    <t>Atul Mehta (Loan A/c)</t>
  </si>
  <si>
    <t>Loans &amp; Advances (Asset)</t>
  </si>
  <si>
    <t>Auto Direct Heat Sealing Machine</t>
  </si>
  <si>
    <t>Axis Bank Credit Card 4152</t>
  </si>
  <si>
    <t>Axis bank HORIZON Credit Card 5498 5205 1223 2211</t>
  </si>
  <si>
    <t>Axis Bank Ltd Credit Card No. 5334670023248285</t>
  </si>
  <si>
    <t>Axis Bank Ltd Credit Card No. 6530 4700 0565 2004</t>
  </si>
  <si>
    <t>Aznelle Naturals Private Limited</t>
  </si>
  <si>
    <t>B.V.Dalal &amp; Co.</t>
  </si>
  <si>
    <t>Bagging And Sealiing Machine</t>
  </si>
  <si>
    <t>BAJAJ ALLIANZ GENRAL INSURANCE COMPANY LTD</t>
  </si>
  <si>
    <t>Band Saw Style Cutting Machine</t>
  </si>
  <si>
    <t>BANK CHARGES</t>
  </si>
  <si>
    <t>BANK CHARGES 18%</t>
  </si>
  <si>
    <t>Bank Charges URD</t>
  </si>
  <si>
    <t>BANK CHARGES(EXPORT)</t>
  </si>
  <si>
    <t>BANK CHG GST 18% (EXPORT)</t>
  </si>
  <si>
    <t>Bank Service - BMC</t>
  </si>
  <si>
    <t>Bank Service - ICICI</t>
  </si>
  <si>
    <t>Basic Pay - Bluestreak</t>
  </si>
  <si>
    <t>Salary &amp; Wages - Bluestreak</t>
  </si>
  <si>
    <t>Basic Pay - Factory</t>
  </si>
  <si>
    <t>Salary &amp; Wages - Factory</t>
  </si>
  <si>
    <t>Basic Pay - Office</t>
  </si>
  <si>
    <t>Salary &amp; Wages - Office</t>
  </si>
  <si>
    <t>Basic Pay-Clarus</t>
  </si>
  <si>
    <t>Salary &amp; Wages - Clarus</t>
  </si>
  <si>
    <t>Battery Zone</t>
  </si>
  <si>
    <t>Beriwal Computers &amp; Mobile</t>
  </si>
  <si>
    <t>Bhagwandas Sons</t>
  </si>
  <si>
    <t>Sundry Debtor Clarus</t>
  </si>
  <si>
    <t>Bhagyalaxmi Enterprises</t>
  </si>
  <si>
    <t>Telangana</t>
  </si>
  <si>
    <t>Bharat Agencies</t>
  </si>
  <si>
    <t>Bharti Airtel Limited</t>
  </si>
  <si>
    <t>Bhavesh P Mhatre</t>
  </si>
  <si>
    <t>Sundry Creditors (Transports/Logistics)</t>
  </si>
  <si>
    <t>Bicnet Infoservices Pvt. Ltd.</t>
  </si>
  <si>
    <t>Bikes</t>
  </si>
  <si>
    <t>Vehicles</t>
  </si>
  <si>
    <t>Bio Time-3 (Full Loaded) with Adaptor</t>
  </si>
  <si>
    <t>Biomax Attendance Machine</t>
  </si>
  <si>
    <t>BL PROCESS CHARGES-FRT</t>
  </si>
  <si>
    <t>Blink Technologies FZCO</t>
  </si>
  <si>
    <t>Bombay Mercantile Co.Op.Bank Ltd.</t>
  </si>
  <si>
    <t>Bank OD A/c</t>
  </si>
  <si>
    <t>Brew Lab Enterprises</t>
  </si>
  <si>
    <t>Brokerage</t>
  </si>
  <si>
    <t>SHARE EXPENSE</t>
  </si>
  <si>
    <t>Business Development Expenses</t>
  </si>
  <si>
    <t>BUSINESS DEVLOPEMENT (IT)</t>
  </si>
  <si>
    <t>Buzz Retail India Pvt Ltd</t>
  </si>
  <si>
    <t>Cabletronics</t>
  </si>
  <si>
    <t>Rest of Maharashtra</t>
  </si>
  <si>
    <t>Cancellation Charges ( Export )</t>
  </si>
  <si>
    <t>Canon LBP 2900 Laser Printer</t>
  </si>
  <si>
    <t>Capital Loss</t>
  </si>
  <si>
    <t>Indirect Incomes</t>
  </si>
  <si>
    <t>2. Indirect Income</t>
  </si>
  <si>
    <t>Indirect Income</t>
  </si>
  <si>
    <t>CAR INSURANCE (AJAY SIR)</t>
  </si>
  <si>
    <t>OFFICE EXPENSE</t>
  </si>
  <si>
    <t>CAR INSURANCE (EXPORT)</t>
  </si>
  <si>
    <t>CAR ON RENT</t>
  </si>
  <si>
    <t>Car Parking Charges</t>
  </si>
  <si>
    <t>Car Purchase</t>
  </si>
  <si>
    <t>CARAVAN FREIGHT CARRIER PVT LTD</t>
  </si>
  <si>
    <t>Carriage Inward (Local) GST</t>
  </si>
  <si>
    <t>Carriage Inward (URD)</t>
  </si>
  <si>
    <t>Cash</t>
  </si>
  <si>
    <t>Cash-in-Hand</t>
  </si>
  <si>
    <t>CASTROL INDIA LTD.</t>
  </si>
  <si>
    <t>Share Investment Anand Rathi</t>
  </si>
  <si>
    <t>CATHAY PACIFIC AIRWAYS LTD.</t>
  </si>
  <si>
    <t>CCL PRODUCTS INDIA LTD</t>
  </si>
  <si>
    <t>CCTV Camera</t>
  </si>
  <si>
    <t>CFS CHARGE</t>
  </si>
  <si>
    <t>CFS CHARGE-CHA</t>
  </si>
  <si>
    <t>CGST 14%</t>
  </si>
  <si>
    <t>GST Payable</t>
  </si>
  <si>
    <t>CGST 2.5%</t>
  </si>
  <si>
    <t>CGST 6%</t>
  </si>
  <si>
    <t>CGST 9%</t>
  </si>
  <si>
    <t>CGST PAYABLE UNDER RCM</t>
  </si>
  <si>
    <t>Reverse Charges Mechanisam</t>
  </si>
  <si>
    <t>Chandresh Kishore Shah</t>
  </si>
  <si>
    <t>Chohan Stationery &amp; Xerox</t>
  </si>
  <si>
    <t>Citi Bank Credit Card -Platinum</t>
  </si>
  <si>
    <t>CitiBank Credit Card</t>
  </si>
  <si>
    <t>City Compensatory Allowance - Office</t>
  </si>
  <si>
    <t>CLASSIC CREATION PRINT PACK PRIVATE LIMITED</t>
  </si>
  <si>
    <t>Clicktech Retail Private Limited</t>
  </si>
  <si>
    <t>Clicktech Retail Private Limited(GJ)</t>
  </si>
  <si>
    <t>CLOUDSTORE RETAIL PRIVATE LIMITED</t>
  </si>
  <si>
    <t>COCOBLU RETAIL LIMITED</t>
  </si>
  <si>
    <t>Commission</t>
  </si>
  <si>
    <t>Direct Incomes</t>
  </si>
  <si>
    <t>Compressor</t>
  </si>
  <si>
    <t>Computer &amp; Cartridge Point</t>
  </si>
  <si>
    <t>Computer &amp; Peripherals</t>
  </si>
  <si>
    <t>Computers</t>
  </si>
  <si>
    <t>Computer Suppliers FZCO (Dubai)</t>
  </si>
  <si>
    <t>Computer World</t>
  </si>
  <si>
    <t>Compuworld Complete IT Solutions</t>
  </si>
  <si>
    <t>Consultancy Charges (URD) (OFFICE)</t>
  </si>
  <si>
    <t>Consulting Rooms Private Limited</t>
  </si>
  <si>
    <t>Continious Sealing Machine</t>
  </si>
  <si>
    <t>Conveyance - Factory</t>
  </si>
  <si>
    <t>FACTORY EXPENSE</t>
  </si>
  <si>
    <t>Conveyance - Office</t>
  </si>
  <si>
    <t>Courier Charges (URD) (FACTORY)</t>
  </si>
  <si>
    <t>Courier Charges (URD) (OFFICE)</t>
  </si>
  <si>
    <t>Courier Charges GST 18%</t>
  </si>
  <si>
    <t>Crates</t>
  </si>
  <si>
    <t>Furniture &amp; Fittings</t>
  </si>
  <si>
    <t>Currency Exchange (EXPORT)</t>
  </si>
  <si>
    <t>Currency Exchange (Office)</t>
  </si>
  <si>
    <t>CUSTOM CLEARANCE CHARGES-CHA</t>
  </si>
  <si>
    <t>D S DATA SPEC PRIVATE LIMITED</t>
  </si>
  <si>
    <t>D. S. Data Spec Pvt Ltd</t>
  </si>
  <si>
    <t>D.B.Enterprises</t>
  </si>
  <si>
    <t>D.M. Plant &amp; UV Systems</t>
  </si>
  <si>
    <t>D.P CHARGE</t>
  </si>
  <si>
    <t>Das Paper Enterprises</t>
  </si>
  <si>
    <t>West Bengal</t>
  </si>
  <si>
    <t>Datamation Services</t>
  </si>
  <si>
    <t>Dawntech Electronics Pvt. Ltd.</t>
  </si>
  <si>
    <t>Deepanshu Enterprises</t>
  </si>
  <si>
    <t>Delta Make A.C. Drive</t>
  </si>
  <si>
    <t>Demat Charges</t>
  </si>
  <si>
    <t>DEPRECIATION</t>
  </si>
  <si>
    <t>Device Technologies</t>
  </si>
  <si>
    <t>DH-5M-5Rolls Wet Tissue Spunlaced Converting Machin</t>
  </si>
  <si>
    <t>Dhal Associates</t>
  </si>
  <si>
    <t>Dia &amp; Mould A/c</t>
  </si>
  <si>
    <t>Differences &amp; Discount (BLUE STREAK)</t>
  </si>
  <si>
    <t>SALES BLUESTREAK</t>
  </si>
  <si>
    <t>1. Sales Accounts</t>
  </si>
  <si>
    <t>DIGITAL IT SOLUTIONS</t>
  </si>
  <si>
    <t>Digital Mediation</t>
  </si>
  <si>
    <t>DILIP AGENCY RK</t>
  </si>
  <si>
    <t>Dilip Kisan Rathod</t>
  </si>
  <si>
    <t>Sundry Creditors</t>
  </si>
  <si>
    <t>Dilip Kisan Rathod Loan A/c</t>
  </si>
  <si>
    <t>STAFF LOAN - FACTORY</t>
  </si>
  <si>
    <t>Dilip Sales</t>
  </si>
  <si>
    <t>DISCOUNT &amp; DIFFERENCE (CLARUS)</t>
  </si>
  <si>
    <t>CLARUS (EXPENSE)</t>
  </si>
  <si>
    <t>5. Purchase Accounts</t>
  </si>
  <si>
    <t>Discount Expense</t>
  </si>
  <si>
    <t>Discount on Sales (CLARUS)</t>
  </si>
  <si>
    <t>SALES CLARUS</t>
  </si>
  <si>
    <t>Discount On Sales Export</t>
  </si>
  <si>
    <t>SALES EXPORT</t>
  </si>
  <si>
    <t>Discount On Sales IT</t>
  </si>
  <si>
    <t>SALES IT</t>
  </si>
  <si>
    <t>Display TV</t>
  </si>
  <si>
    <t>Dividend Income</t>
  </si>
  <si>
    <t>Share Dividend Income</t>
  </si>
  <si>
    <t>Dividend Receivable</t>
  </si>
  <si>
    <t>Current Assets</t>
  </si>
  <si>
    <t>DM Services Private Limited</t>
  </si>
  <si>
    <t>DOCUMENTATION CHARGES</t>
  </si>
  <si>
    <t>Indirect Expenses</t>
  </si>
  <si>
    <t>Dtdc Express Limited</t>
  </si>
  <si>
    <t>DURALABEL GRAPHICS PVT LTD</t>
  </si>
  <si>
    <t>E.S.I.C.</t>
  </si>
  <si>
    <t>EL Enterprises</t>
  </si>
  <si>
    <t>Statewise</t>
  </si>
  <si>
    <t>Electricity Charges - Factory</t>
  </si>
  <si>
    <t>Electricity Charges - Factory(TAMBADMAL)</t>
  </si>
  <si>
    <t>Electricity Charges - Office</t>
  </si>
  <si>
    <t>Electricity Deposit (MSEB)</t>
  </si>
  <si>
    <t>Electronic Weighting Scale</t>
  </si>
  <si>
    <t>EMIRATES</t>
  </si>
  <si>
    <t>Employer's Contri  to Pension Fund A/c # 10 -Fac.</t>
  </si>
  <si>
    <t>Employer's Contribution - Factory</t>
  </si>
  <si>
    <t>Employers Contribution ESIC Payable - Office</t>
  </si>
  <si>
    <t>ESIC Payable</t>
  </si>
  <si>
    <t>Employer's Contribution Paid</t>
  </si>
  <si>
    <t>Employers Contribution Payable</t>
  </si>
  <si>
    <t>ESIC  Payable Office</t>
  </si>
  <si>
    <t>Employers Contribution Payable - Bluestreak</t>
  </si>
  <si>
    <t>ESIC  Payable - Bluestreak</t>
  </si>
  <si>
    <t>Employers Contribution Payable - Fact.</t>
  </si>
  <si>
    <t>PF &amp; ESIC Payable - Factory</t>
  </si>
  <si>
    <t>Employer's Contribution to PF A/c # 1 -Fac.</t>
  </si>
  <si>
    <t>Employer's Contribution - Fact</t>
  </si>
  <si>
    <t>EPF - Employee's Share of Contribution A/c No.01</t>
  </si>
  <si>
    <t>EPF - Employer's Share of Contribution A/c No.01</t>
  </si>
  <si>
    <t>EPF Administration Charges A/c # 2 - Fac.</t>
  </si>
  <si>
    <t>EPF -Employee's Share of Contribution A/c No.01 Fac</t>
  </si>
  <si>
    <t>EPF Employer's Contribution A/c No. 01 &amp; 10</t>
  </si>
  <si>
    <t>EPF Employer's Contribution to PF A/c # 21 - Fac.</t>
  </si>
  <si>
    <t>EPF Expenses</t>
  </si>
  <si>
    <t>Equity Share Capital</t>
  </si>
  <si>
    <t>Capital Account</t>
  </si>
  <si>
    <t>ESIC - Employees - Bluestreak</t>
  </si>
  <si>
    <t>ESIC - Employees  -Factory</t>
  </si>
  <si>
    <t>ESIC - Employees - Office</t>
  </si>
  <si>
    <t>ESIC - Employer's - Bluestreak</t>
  </si>
  <si>
    <t>Employer's Contribution - Bluestreak</t>
  </si>
  <si>
    <t>ESIC - Employer's - Fac.</t>
  </si>
  <si>
    <t>ESIC - Employer's - Office</t>
  </si>
  <si>
    <t>Employer's Contribution - Office</t>
  </si>
  <si>
    <t>ESIC Employers Bluestreak Exp</t>
  </si>
  <si>
    <t>ESIC Employers Factory Expense</t>
  </si>
  <si>
    <t>ESIC Employers Office Expense</t>
  </si>
  <si>
    <t>Etrade Marketing Pvt Ltd</t>
  </si>
  <si>
    <t>EXAMINATION CHARGES</t>
  </si>
  <si>
    <t>Expenses Payable</t>
  </si>
  <si>
    <t>Liabilities for Expenses</t>
  </si>
  <si>
    <t>Expenses Payable - Bluestreak ( Bonus )</t>
  </si>
  <si>
    <t>Expenses Payable - Clarus ( Bonus )</t>
  </si>
  <si>
    <t>Expenses Payable - Factory ( Bonus )</t>
  </si>
  <si>
    <t>Expenses Payable - Office ( Bonus )</t>
  </si>
  <si>
    <t>EXPORT GST REFUND</t>
  </si>
  <si>
    <t>Eye Mark Sensor</t>
  </si>
  <si>
    <t>Falguni Mehta Loan A/c</t>
  </si>
  <si>
    <t>Fans</t>
  </si>
  <si>
    <t>Fax Machine</t>
  </si>
  <si>
    <t>FD PRE CLOSURE CHARGE</t>
  </si>
  <si>
    <t>FD With ICICI Bank 034813014812</t>
  </si>
  <si>
    <t>FDR WITH ICICI BANK</t>
  </si>
  <si>
    <t>FD WITH ICICI BANK 34813014821</t>
  </si>
  <si>
    <t>FD WITH ICICI BANK 34813014822</t>
  </si>
  <si>
    <t>FD WITH ICICI BANK FD NO.034813014731</t>
  </si>
  <si>
    <t>FD WITH ICICI BANK FD NO-034810011355</t>
  </si>
  <si>
    <t>FD WITH ICICI BANK FD NO-034813012794</t>
  </si>
  <si>
    <t>FD WITH ICICI BANK FD NO-034813012834</t>
  </si>
  <si>
    <t>FD WITH ICICI BANK FD NO-034813013029</t>
  </si>
  <si>
    <t>FD WITH ICICI BANK FD NO-034813013030</t>
  </si>
  <si>
    <t>FD WITH ICICI BANK FD NO-034813013031</t>
  </si>
  <si>
    <t>FD WITH ICICI BANK FD NO-034813013032</t>
  </si>
  <si>
    <t>FD WITH ICICI BANK FD NO-034813013045</t>
  </si>
  <si>
    <t>FD WITH ICICI BANK FD NO-034813013149</t>
  </si>
  <si>
    <t>FD WITH ICICI BANK FD NO-034813013381</t>
  </si>
  <si>
    <t>FD WITH ICICI BANK FD NO-034813013773</t>
  </si>
  <si>
    <t>FD WITH ICICI BANK FD NO-034813013835</t>
  </si>
  <si>
    <t>FD WITH ICICI BANK FD NO-034813013867</t>
  </si>
  <si>
    <t>FD WITH ICICI BANK FD NO-034813014602</t>
  </si>
  <si>
    <t>FD WITH ICICI BANK FD NO-034813014630</t>
  </si>
  <si>
    <t>FD WITH ICICI BANK-034813014381</t>
  </si>
  <si>
    <t>FDR NO. 002 2001 0062485 6383</t>
  </si>
  <si>
    <t>FDR WITH BMC BANK</t>
  </si>
  <si>
    <t>FDR NO. 002 2007 0404375 58535</t>
  </si>
  <si>
    <t>FDR NO-318803030017307</t>
  </si>
  <si>
    <t>FDR WITH UBI BANK</t>
  </si>
  <si>
    <t>FDR NO-318803030018239</t>
  </si>
  <si>
    <t>FDR NO-318803030018546</t>
  </si>
  <si>
    <t>FDR NO-318803030019530</t>
  </si>
  <si>
    <t>FDR NO-318803030024400</t>
  </si>
  <si>
    <t>FDR NO-318803030024401</t>
  </si>
  <si>
    <t>FDR NO-318803030025600</t>
  </si>
  <si>
    <t>FDR NO-318803030031079</t>
  </si>
  <si>
    <t>Federation Of Indian Export Organisations</t>
  </si>
  <si>
    <t>Firki Wholesale Pvt. Ltd. (Amazon)</t>
  </si>
  <si>
    <t>FIRST TIME IMPORT/EXPORT CHARGES-CHA</t>
  </si>
  <si>
    <t>Foreign Exchange Gain</t>
  </si>
  <si>
    <t>Foreign Hotel Expense (EXPORT)</t>
  </si>
  <si>
    <t>FOREX SERVICE CHG GST 18% (EXPORT)</t>
  </si>
  <si>
    <t>FOREX SERVICE CHG GST 18% (Office)</t>
  </si>
  <si>
    <t>Forum Meha Loan A/c</t>
  </si>
  <si>
    <t>FOUNTAINHEAD EXPORT</t>
  </si>
  <si>
    <t>FR-900A Band Sealer (MSH) (Digital)</t>
  </si>
  <si>
    <t>FR-900A Band Sealer (MSV) (Digital)</t>
  </si>
  <si>
    <t>Freight Charges GST (CLARUS)</t>
  </si>
  <si>
    <t>Freight Charges GST(PURC)(BLUE STREAK)</t>
  </si>
  <si>
    <t>Friends Computers</t>
  </si>
  <si>
    <t>FUEL EXPENSES</t>
  </si>
  <si>
    <t>Furniture &amp; Fixture (Personal)</t>
  </si>
  <si>
    <t>G. T. Technologies</t>
  </si>
  <si>
    <t>Galaxy Enterprises</t>
  </si>
  <si>
    <t>Garg Computer</t>
  </si>
  <si>
    <t>Punjab</t>
  </si>
  <si>
    <t>Ginni Filaments Limited</t>
  </si>
  <si>
    <t>Ginni Filaments Ltd (CPD) New</t>
  </si>
  <si>
    <t>GLOBAL COMPUTERS</t>
  </si>
  <si>
    <t>Globalnet Computers</t>
  </si>
  <si>
    <t>Gratuity</t>
  </si>
  <si>
    <t>Greenvision Technologies Private Limited</t>
  </si>
  <si>
    <t>Sundry Debtors</t>
  </si>
  <si>
    <t>Greenvision Technologies Private Limited(TN)</t>
  </si>
  <si>
    <t>GSI India</t>
  </si>
  <si>
    <t>GST</t>
  </si>
  <si>
    <t>GST Expense</t>
  </si>
  <si>
    <t>GST Receivable</t>
  </si>
  <si>
    <t>H A Q Sumar Enterprise Security Deposit</t>
  </si>
  <si>
    <t>Security Deposite New Gala Kaman</t>
  </si>
  <si>
    <t>H A Q SUMAR ENTERPRISES</t>
  </si>
  <si>
    <t>Hand Pallet Truck</t>
  </si>
  <si>
    <t>Handkerchief Pocket Tissue Converting Machine</t>
  </si>
  <si>
    <t>Handkerchief Pocket Tissue Packing Machine</t>
  </si>
  <si>
    <t>Harsha Enterprises</t>
  </si>
  <si>
    <t>HDFC Bank Credit Card 4375465000802029</t>
  </si>
  <si>
    <t>HDFC BANK NEW A/C NO-50200093303339</t>
  </si>
  <si>
    <t>Bank Accounts</t>
  </si>
  <si>
    <t>HDFC Credit Card</t>
  </si>
  <si>
    <t>HDFC CREDIT CARD NO. 4375 4650 0002 6306</t>
  </si>
  <si>
    <t>HDFC CREDIT CARD NO. 4375 4650 0011 8822</t>
  </si>
  <si>
    <t>HDFC CREDIT CARD NO. 4375 4650 0076 0326</t>
  </si>
  <si>
    <t>HDFC Credit Card-6529 2600 0205 9946</t>
  </si>
  <si>
    <t>HDFC Ergo General Insurance Company Ltd</t>
  </si>
  <si>
    <t>HDFC SECURITIES LIMITED</t>
  </si>
  <si>
    <t>HDFC SWIGGY CREDIT CARD 5268730004771208</t>
  </si>
  <si>
    <t>Hinglag Packaging LLP</t>
  </si>
  <si>
    <t>Hotel Marine Plaza</t>
  </si>
  <si>
    <t>House Rent Allowance  - Factory</t>
  </si>
  <si>
    <t>House Rent Allowance - Bluestreak</t>
  </si>
  <si>
    <t>House Rent Allowance - Clarus</t>
  </si>
  <si>
    <t>House Rent Allowance - Office</t>
  </si>
  <si>
    <t>HX-1575B Rewinding &amp; Perforating Kitchen Towel Mach</t>
  </si>
  <si>
    <t>HX-1575B Rewinding &amp; Perforation Toilet Roll Machin</t>
  </si>
  <si>
    <t>ICE GATE SERVICE CHARGE (EXPORT)</t>
  </si>
  <si>
    <t>ICICI BANK LTD. A/C NO-034805006668</t>
  </si>
  <si>
    <t>ICICI CESS dummy ledger</t>
  </si>
  <si>
    <t>Duties &amp; Taxes</t>
  </si>
  <si>
    <t>ICICI CGST dummy ledger</t>
  </si>
  <si>
    <t>ICICI CREDIT CARD 4315 8126 9298 1004</t>
  </si>
  <si>
    <t>ICICI CREDIT CARD 5241 9393 8697 3009</t>
  </si>
  <si>
    <t>ICICI IGST dummy ledger</t>
  </si>
  <si>
    <t>ICICI LOMBARD GENRAL INSURANCE CO. LTD.</t>
  </si>
  <si>
    <t>ICICI PRUDENTIAL MUTUAL FUND F.No-31862226</t>
  </si>
  <si>
    <t>MUTUAL FUND INVESTMENT</t>
  </si>
  <si>
    <t>ICICI SGST dummy ledger</t>
  </si>
  <si>
    <t>ICICI Suspense A/c</t>
  </si>
  <si>
    <t>Suspense A/c</t>
  </si>
  <si>
    <t>IDFC First Bank Limited</t>
  </si>
  <si>
    <t>IGST 12 %</t>
  </si>
  <si>
    <t>IGST 18%</t>
  </si>
  <si>
    <t>IGST 5%</t>
  </si>
  <si>
    <t>Image Info Consumables</t>
  </si>
  <si>
    <t>Sundry Debtors Blue Streak Shrikant</t>
  </si>
  <si>
    <t>Income Tax (A S Year 2012-13)</t>
  </si>
  <si>
    <t>Income Tax Refund ( AY 14-15 )</t>
  </si>
  <si>
    <t>Indian Oil Axis Bank Credit Card 4386280528394152</t>
  </si>
  <si>
    <t>Indrayani Sales Pvt Ltd</t>
  </si>
  <si>
    <t>Indusind Bank Credit Card No. 4147 5248 7257 6017</t>
  </si>
  <si>
    <t>Induslnd Bank Credit Card No.3561 4200 0783 9165</t>
  </si>
  <si>
    <t>Induslnd Bank Credit Card No.5376524692827102</t>
  </si>
  <si>
    <t>INDUSTRIAL ENGINEERS DISTRIBUTORS PVT. LTD.</t>
  </si>
  <si>
    <t>INFO EDGE (INDIA) LTD</t>
  </si>
  <si>
    <t>INFODRIVEINDIA PVT LTD</t>
  </si>
  <si>
    <t>Infopower Systems</t>
  </si>
  <si>
    <t>ASSAM</t>
  </si>
  <si>
    <t>Infotech Solution</t>
  </si>
  <si>
    <t>Instanet Technologies Private Limited</t>
  </si>
  <si>
    <t>INSURANCE OF EXPORT BILL</t>
  </si>
  <si>
    <t>Insurance Premium ( Factory )</t>
  </si>
  <si>
    <t>Insurance Premium ( Office )</t>
  </si>
  <si>
    <t>Interest on FD Receivable</t>
  </si>
  <si>
    <t>Interest on FD with BMC</t>
  </si>
  <si>
    <t>Interest Income</t>
  </si>
  <si>
    <t>Interest on FD with ICICI</t>
  </si>
  <si>
    <t>Interest on FD with UBI</t>
  </si>
  <si>
    <t>INTEREST ON TDS</t>
  </si>
  <si>
    <t>INTERGLOBE AVIATION LIMITED</t>
  </si>
  <si>
    <t>Interglobe Aviation Limited - Gujarat</t>
  </si>
  <si>
    <t>Interglobe Aviation Limited-New Delhi</t>
  </si>
  <si>
    <t>Internet Charges (A to Z)</t>
  </si>
  <si>
    <t>Internet Charges Factory</t>
  </si>
  <si>
    <t>Inter-State Purchase (Bluestreak)</t>
  </si>
  <si>
    <t>Purchase Accounts (Blue Streak)</t>
  </si>
  <si>
    <t>Inter-State Purchase (Clarus)</t>
  </si>
  <si>
    <t>PURCHASE A/C CLARUS</t>
  </si>
  <si>
    <t>Inverter</t>
  </si>
  <si>
    <t>Inverter Battery</t>
  </si>
  <si>
    <t>Fixed Assets</t>
  </si>
  <si>
    <t>Iscon Distributors</t>
  </si>
  <si>
    <t>Uttar Pradesh</t>
  </si>
  <si>
    <t>J Core</t>
  </si>
  <si>
    <t>J.G CHEMICALS LTD</t>
  </si>
  <si>
    <t>JAB Equipments Pvt. Ltd.</t>
  </si>
  <si>
    <t>Jaiswal Transport</t>
  </si>
  <si>
    <t>Jina Cosmetics Pvt. Ltd.</t>
  </si>
  <si>
    <t>Jinshasan Info Sysytem</t>
  </si>
  <si>
    <t>Kaabeer Global Consultants</t>
  </si>
  <si>
    <t>Kagaj Digital Gallery</t>
  </si>
  <si>
    <t>Kamal Agency</t>
  </si>
  <si>
    <t>SUNDRY DEBTORS (BLUE STREAK)</t>
  </si>
  <si>
    <t>Kaman Police Station</t>
  </si>
  <si>
    <t>Kanaiyalal M. Vania</t>
  </si>
  <si>
    <t>Karma Management Global Consulting Solutions Private Limited</t>
  </si>
  <si>
    <t>KH 90 SEMI AUTOMATIC STRAPPING MACHINE</t>
  </si>
  <si>
    <t>KingS It World</t>
  </si>
  <si>
    <t>Kisuji Chamber Type Shrink Tunnal</t>
  </si>
  <si>
    <t>KOTAK CREDIT CARD</t>
  </si>
  <si>
    <t>Kotak Credit Card No. 4147 6716 0110 0245</t>
  </si>
  <si>
    <t>Krupa Electronic</t>
  </si>
  <si>
    <t>Labelling Machine</t>
  </si>
  <si>
    <t>LABOUR JOB EXP (BLUESTREAK)</t>
  </si>
  <si>
    <t>Lalit Computer And Appliances</t>
  </si>
  <si>
    <t>Haryana</t>
  </si>
  <si>
    <t>Late Fee Charges On TDS</t>
  </si>
  <si>
    <t>LAXMAN PRINTERS &amp; SYSTEM SERVICE</t>
  </si>
  <si>
    <t>Andhra Pradesh</t>
  </si>
  <si>
    <t>Laxmi Computers And Stationers</t>
  </si>
  <si>
    <t>LEASE RENT FACTORY</t>
  </si>
  <si>
    <t>Leave Encashment - Bluestreak</t>
  </si>
  <si>
    <t>Leave Encashment - Clarus</t>
  </si>
  <si>
    <t>Leave Encashment - Factory</t>
  </si>
  <si>
    <t>Leave Encashment - Office</t>
  </si>
  <si>
    <t>Loading / Unloading Charges Factory</t>
  </si>
  <si>
    <t>Local Body Tax Expense</t>
  </si>
  <si>
    <t>LOLO CHARGES</t>
  </si>
  <si>
    <t>M/S Jaico</t>
  </si>
  <si>
    <t>M/s Prince Traders</t>
  </si>
  <si>
    <t>MACHINE REPAIRING &amp; OPERETOR CLARUS(EXPENSE)</t>
  </si>
  <si>
    <t>Mahadev Forex Pvt Ltd</t>
  </si>
  <si>
    <t>Mahavir Enterprises</t>
  </si>
  <si>
    <t>Maintenance -OFFICE (URD)</t>
  </si>
  <si>
    <t>Manasiya Paper Products Llp</t>
  </si>
  <si>
    <t>Manibhadra Electricals Pvt Ltd</t>
  </si>
  <si>
    <t>Manish Parmar</t>
  </si>
  <si>
    <t>Manisha Enterprises</t>
  </si>
  <si>
    <t>Jharkhand</t>
  </si>
  <si>
    <t>Manisha Mehta (Loan A/c)</t>
  </si>
  <si>
    <t>Manual Induction Sealing Machine-500f</t>
  </si>
  <si>
    <t>Mario Industries Private Limited</t>
  </si>
  <si>
    <t>MARKETING EXPENSE (EXPORT)</t>
  </si>
  <si>
    <t>MARKETING EXPENSE (IT)</t>
  </si>
  <si>
    <t>Maruti Enterprises</t>
  </si>
  <si>
    <t>Mayur Stationers (Kolhapur)</t>
  </si>
  <si>
    <t>Medical - Office</t>
  </si>
  <si>
    <t>Meet Enterprises</t>
  </si>
  <si>
    <t>Micro Tab Info Solution</t>
  </si>
  <si>
    <t>MINAL PLASTIC</t>
  </si>
  <si>
    <t>MJPT &amp; CO LLP</t>
  </si>
  <si>
    <t>MMK E-KART INDIA PVT. LTD.</t>
  </si>
  <si>
    <t>MOBILE &amp; TELEPHONE EXPENSE (EXPORT)</t>
  </si>
  <si>
    <t>Mobile Phone</t>
  </si>
  <si>
    <t>Monarch Stationery</t>
  </si>
  <si>
    <t>MOSCHIP TECHNOLOGIES LTD</t>
  </si>
  <si>
    <t>Motor</t>
  </si>
  <si>
    <t>MRP Telecom Solutions</t>
  </si>
  <si>
    <t>MUC</t>
  </si>
  <si>
    <t>MUKESH DILIP JADHAV</t>
  </si>
  <si>
    <t>Namah IP Solutions</t>
  </si>
  <si>
    <t>Napkin Tissue Machine Model No. MH-200</t>
  </si>
  <si>
    <t>Napkin Tissue Machine Model No. MH-300</t>
  </si>
  <si>
    <t>Napkin Tissue Machine Model No. MH-330</t>
  </si>
  <si>
    <t>Naren Traders</t>
  </si>
  <si>
    <t>Naresh Steel Industries Pvt.Ltd.</t>
  </si>
  <si>
    <t>Nasika</t>
  </si>
  <si>
    <t>Neha Enterprises</t>
  </si>
  <si>
    <t>Neoteric Infomatique Ltd</t>
  </si>
  <si>
    <t>New Way Imports</t>
  </si>
  <si>
    <t>Nexus Elite Lifestyle Private Limited</t>
  </si>
  <si>
    <t>Nowtransit Cargo Pvt Ltd</t>
  </si>
  <si>
    <t>Nyrwana</t>
  </si>
  <si>
    <t>OM FREIGHT FORWARDERS PRIVATE LIMITED</t>
  </si>
  <si>
    <t>Om Jishnu Computers</t>
  </si>
  <si>
    <t>Omkar Latake Loan A/c</t>
  </si>
  <si>
    <t>Staff Loan - Blue Streak</t>
  </si>
  <si>
    <t>ON WHEEL CLEARANCE</t>
  </si>
  <si>
    <t>Onetouch Computer  Services</t>
  </si>
  <si>
    <t>Opal Infotech</t>
  </si>
  <si>
    <t>OTHER SERVICE CHARGES-CHA</t>
  </si>
  <si>
    <t>OTHER SERVICE CHARGES-FRT(BL SURRENDER CHARGES)</t>
  </si>
  <si>
    <t>Oxytech International</t>
  </si>
  <si>
    <t>Ozone Secutech Pvt. Ltd. (Amazon)</t>
  </si>
  <si>
    <t>P S Shah Panwala</t>
  </si>
  <si>
    <t>Packing Machine</t>
  </si>
  <si>
    <t>PARAS R BHAYANI</t>
  </si>
  <si>
    <t>Parekh Market Premises Co Op Society Ltd</t>
  </si>
  <si>
    <t>PARIS COMPUTERS</t>
  </si>
  <si>
    <t>Part Payment Against Appeal for - 2004-05</t>
  </si>
  <si>
    <t>Perfect Rescue Force Pvt Ltd</t>
  </si>
  <si>
    <t>Peristaltic Pump</t>
  </si>
  <si>
    <t>Petty Cash - Factory</t>
  </si>
  <si>
    <t>Petty Cash - Office</t>
  </si>
  <si>
    <t>PF Administration Charges A/c # 22</t>
  </si>
  <si>
    <t>PF of Employees</t>
  </si>
  <si>
    <t>PF of Employer</t>
  </si>
  <si>
    <t>Plant &amp; Machinary</t>
  </si>
  <si>
    <t>Plus Plus Unified Engaugement Services Pvt Ltd</t>
  </si>
  <si>
    <t>PM Corporations Baroda</t>
  </si>
  <si>
    <t>Pocket Tissue Machine</t>
  </si>
  <si>
    <t>Posty Infotech</t>
  </si>
  <si>
    <t>Power Press with Motor</t>
  </si>
  <si>
    <t>Prabhat Computer</t>
  </si>
  <si>
    <t>Prajakta Hadpe Loan A/c</t>
  </si>
  <si>
    <t>PRAMAN SECURITIES</t>
  </si>
  <si>
    <t>Pranav Enterprises</t>
  </si>
  <si>
    <t>Prash Enterprises</t>
  </si>
  <si>
    <t>Prepaid Expense</t>
  </si>
  <si>
    <t>PRIDE PACKAGING</t>
  </si>
  <si>
    <t>Prime Computers</t>
  </si>
  <si>
    <t>Prince Traders</t>
  </si>
  <si>
    <t>Print Office Solution</t>
  </si>
  <si>
    <t>Printing &amp; Stationery (12%)</t>
  </si>
  <si>
    <t>Printing &amp; Stationery (18%) (Export)</t>
  </si>
  <si>
    <t>Printing &amp; Stationery (18%) (Office)</t>
  </si>
  <si>
    <t>Pristine Care Products Pvt Ltd (Tambadmal)</t>
  </si>
  <si>
    <t>Pristine Care Products Pvt. Ltd. (H.O.)</t>
  </si>
  <si>
    <t>Priyal IT Solution</t>
  </si>
  <si>
    <t>Profession Tax - Employees  - Factory</t>
  </si>
  <si>
    <t>Profession Tax - Employees - Bluestreak</t>
  </si>
  <si>
    <t>Profession Tax - Employees - Clarus</t>
  </si>
  <si>
    <t>Profession Tax - Employees - Office</t>
  </si>
  <si>
    <t>Profession Tax Payable</t>
  </si>
  <si>
    <t>Professional Charges (URD)</t>
  </si>
  <si>
    <t>Professional Fees (18%)</t>
  </si>
  <si>
    <t>Profit &amp; Loss A/c</t>
  </si>
  <si>
    <t>_x0004_ Primary</t>
  </si>
  <si>
    <t>Profit on Sale of Investment</t>
  </si>
  <si>
    <t>Provision For Audit Fees</t>
  </si>
  <si>
    <t>Provision for Income TAx (A.Y. 2010-11)</t>
  </si>
  <si>
    <t>Provisions</t>
  </si>
  <si>
    <t>Provision for Income Tax (A.Y. 2011-12)</t>
  </si>
  <si>
    <t>Provision for Income Tax (A.Y.2008-09)</t>
  </si>
  <si>
    <t>Purchase A/c (Blue Streak)</t>
  </si>
  <si>
    <t>PURCHASE A/C (CLARUS)</t>
  </si>
  <si>
    <t>Purchase A/c (EXPORT)</t>
  </si>
  <si>
    <t>Purchase A/c (Factory)</t>
  </si>
  <si>
    <t>Purchase Accounts</t>
  </si>
  <si>
    <t>Purchase A/c (IT)</t>
  </si>
  <si>
    <t>Purchase A/c (Office)</t>
  </si>
  <si>
    <t>Purchase A/c (Spice)</t>
  </si>
  <si>
    <t>Purchase Accounts (Spice)</t>
  </si>
  <si>
    <t>Quantumi Link Communication Pvt. Ltd.</t>
  </si>
  <si>
    <t>QUICK SALES</t>
  </si>
  <si>
    <t>Qutbi Hardware Mart</t>
  </si>
  <si>
    <t>R P Trading Corporation</t>
  </si>
  <si>
    <t>RAAG CONSULTANTS</t>
  </si>
  <si>
    <t>Rahul</t>
  </si>
  <si>
    <t>RAHUL GROVER</t>
  </si>
  <si>
    <t>Rakesh Singh - Loan A/c</t>
  </si>
  <si>
    <t>Rams Computech</t>
  </si>
  <si>
    <t>Ranjan Marketing</t>
  </si>
  <si>
    <t>RAPID DIGITAL</t>
  </si>
  <si>
    <t>RBL Bank 5243 7319 3359 9421</t>
  </si>
  <si>
    <t>Realm Marketing</t>
  </si>
  <si>
    <t>Rediff.Com India Limited</t>
  </si>
  <si>
    <t>Reliance Jio Digital Life ( Mobile Serv )</t>
  </si>
  <si>
    <t>Reliance Jio Fiber (A to Z)</t>
  </si>
  <si>
    <t>Reliance Jio Infocomm Limited</t>
  </si>
  <si>
    <t>RENEWAL &amp; SUBSCRIPTION FEE (BLUESTREAK)</t>
  </si>
  <si>
    <t>RENEWAL &amp; SUBSCRIPTION FEE (CLARUS)</t>
  </si>
  <si>
    <t>RENEWAL &amp; SUBSCRIPTION FEE (OFFICE)</t>
  </si>
  <si>
    <t>Rent, Rates &amp; Taxes (Fountainhead Exports)</t>
  </si>
  <si>
    <t>Rent, Rates &amp; Taxes (URD)(TAMBADMAL)</t>
  </si>
  <si>
    <t>Reserve &amp; Surplus</t>
  </si>
  <si>
    <t>Current Liablities</t>
  </si>
  <si>
    <t>Retailez Private Limited</t>
  </si>
  <si>
    <t>Roopang Infocare</t>
  </si>
  <si>
    <t>Rounding Off</t>
  </si>
  <si>
    <t>Royal Computer</t>
  </si>
  <si>
    <t>Ruchi Plast</t>
  </si>
  <si>
    <t>S R Computers</t>
  </si>
  <si>
    <t>S. A. Tax (FBT) A.Y. 09-10</t>
  </si>
  <si>
    <t>S. S. Tank</t>
  </si>
  <si>
    <t>S.A. Tax (I.T.) A.Y. 200-10</t>
  </si>
  <si>
    <t>S.B.AGENCIES</t>
  </si>
  <si>
    <t>S.K Enterprises ( U.P )</t>
  </si>
  <si>
    <t>Sadguru Water Supplier</t>
  </si>
  <si>
    <t>Sai Communication</t>
  </si>
  <si>
    <t>Sai Siddhi Consultancy</t>
  </si>
  <si>
    <t>Sai Systems &amp; Communications</t>
  </si>
  <si>
    <t>Salary Payable</t>
  </si>
  <si>
    <t>SALES</t>
  </si>
  <si>
    <t>Sales - Zero Rated</t>
  </si>
  <si>
    <t>Sales Accounts</t>
  </si>
  <si>
    <t>SALES BLUE STREAK</t>
  </si>
  <si>
    <t>SALES FREIGHT CHG - BLUE STREAK</t>
  </si>
  <si>
    <t>SALES FREIGHT CHG - BLUE STREAK 12%</t>
  </si>
  <si>
    <t>SALES SPICE</t>
  </si>
  <si>
    <t>Sales Spice</t>
  </si>
  <si>
    <t>Sandeep Enterprises</t>
  </si>
  <si>
    <t>Sandeep Forms Centre</t>
  </si>
  <si>
    <t>Sanjay S. Mehta</t>
  </si>
  <si>
    <t>Saravana Systems</t>
  </si>
  <si>
    <t>SAUDI ARABIAN AIRLINES</t>
  </si>
  <si>
    <t>Scan Barcode Solutions</t>
  </si>
  <si>
    <t>SEA CHARGES</t>
  </si>
  <si>
    <t>SEA FREIGHT CHARGES-FRT</t>
  </si>
  <si>
    <t>SEAL CHARGES</t>
  </si>
  <si>
    <t>Security Deposit (Jio Mobile Service)</t>
  </si>
  <si>
    <t>Seema Agencies</t>
  </si>
  <si>
    <t>Seema Enterprises</t>
  </si>
  <si>
    <t>Self Assessment Tax (A.Y. 2010-11)</t>
  </si>
  <si>
    <t>Self Assessment Tax (A.Y. 2011-12)</t>
  </si>
  <si>
    <t>Self Assessment Tax (A.Y. 2021-22)</t>
  </si>
  <si>
    <t>Seraphic Products</t>
  </si>
  <si>
    <t>Service Charges (Export)</t>
  </si>
  <si>
    <t>SGST 14%</t>
  </si>
  <si>
    <t>SGST 2.5%</t>
  </si>
  <si>
    <t>SGST 6%</t>
  </si>
  <si>
    <t>SGST 9%</t>
  </si>
  <si>
    <t>SGST PAYABLE UNDER RCM</t>
  </si>
  <si>
    <t>Sharad Suresh Bhavake - Loan A/c</t>
  </si>
  <si>
    <t>Share - Adani Wilmar Limited</t>
  </si>
  <si>
    <t>Share - Aditya Birla Fashion</t>
  </si>
  <si>
    <t>Share - Aditya Birla Lifestyle Brands</t>
  </si>
  <si>
    <t>Share - Bandhan Bank Limited</t>
  </si>
  <si>
    <t>Share - Bank of Maharastra</t>
  </si>
  <si>
    <t>Share - BHARAT ELECTRONICS LTD</t>
  </si>
  <si>
    <t>Share - Bhel</t>
  </si>
  <si>
    <t>Share - Dalmia Bharat Sug In</t>
  </si>
  <si>
    <t>Share - Engineers India Ltd</t>
  </si>
  <si>
    <t>Share - HDFC Life Ins.Co Ltd</t>
  </si>
  <si>
    <t>Share - Hero Motocorp Limited</t>
  </si>
  <si>
    <t>Share - Hindustan Copper Ltd</t>
  </si>
  <si>
    <t>Share - Indiabulls HSG Finance Ltd</t>
  </si>
  <si>
    <t>Share - ITD Cementation India Ltd</t>
  </si>
  <si>
    <t>Share - Jaiprakash Power Venture</t>
  </si>
  <si>
    <t>Share - Jindal Drilling Ind.</t>
  </si>
  <si>
    <t>Share - JSW Infra</t>
  </si>
  <si>
    <t>Share - Kajaria Ceramics Ltd</t>
  </si>
  <si>
    <t>Share - Kotak Mahindra Bank</t>
  </si>
  <si>
    <t xml:space="preserve">share - L&amp;T Finance Ltd_x000D_
</t>
  </si>
  <si>
    <t>Share - NHPC Ltd</t>
  </si>
  <si>
    <t>Share - Nippon Amc</t>
  </si>
  <si>
    <t>Share - NTPC Ltd</t>
  </si>
  <si>
    <t>Share - PVRINOX</t>
  </si>
  <si>
    <t>Share - Sammaan Capital Limited</t>
  </si>
  <si>
    <t>Share - Spicejet Ltd</t>
  </si>
  <si>
    <t>Share - Steel Authority of India</t>
  </si>
  <si>
    <t>Share - Subex Ltd</t>
  </si>
  <si>
    <t>Share - Suraj Estate Develop</t>
  </si>
  <si>
    <t>Share - Tejas Network Limited</t>
  </si>
  <si>
    <t>Share - UPL Limited</t>
  </si>
  <si>
    <t>Share - Vedant Fashions Limited</t>
  </si>
  <si>
    <t>Share - VIP Industries Limited</t>
  </si>
  <si>
    <t>Share - Yes Bank Ltd</t>
  </si>
  <si>
    <t>share- Galaxy Surfactants Ltd</t>
  </si>
  <si>
    <t>Share -Hindustan Construction</t>
  </si>
  <si>
    <t>Share -Thomas Cook ( India )</t>
  </si>
  <si>
    <t>SHIFTING/LOADING/UNLOADING CHARGES-CHA</t>
  </si>
  <si>
    <t>Shiv Enterprise Pune</t>
  </si>
  <si>
    <t>Shiv Enterprises (Chandigarh)</t>
  </si>
  <si>
    <t>Shiva Agencies</t>
  </si>
  <si>
    <t>Shivaye Exim Pvt. Ltd.</t>
  </si>
  <si>
    <t>Short Term Capital Gain</t>
  </si>
  <si>
    <t>Shree Balaji Infosolution</t>
  </si>
  <si>
    <t>Shree Enterprises</t>
  </si>
  <si>
    <t>Shree H</t>
  </si>
  <si>
    <t>Shree Harsh Peripherals Pvt. Ltd.</t>
  </si>
  <si>
    <t>Shree Paper Mart</t>
  </si>
  <si>
    <t>Shree Samarth Enterprises</t>
  </si>
  <si>
    <t>Shree Shantadurga Medical Agencies</t>
  </si>
  <si>
    <t>SHREE SHEMKARI INFOSYS</t>
  </si>
  <si>
    <t>SHREE SHYAM EXPRESS GOODS CARRIER</t>
  </si>
  <si>
    <t>Shree Vinayak Sales</t>
  </si>
  <si>
    <t>Shreya Vyass</t>
  </si>
  <si>
    <t>Siddharth Shah Loan A/c</t>
  </si>
  <si>
    <t>Singapore Airlines Ltd.</t>
  </si>
  <si>
    <t>Siri Enterprises - Vijaywada</t>
  </si>
  <si>
    <t>Sitima Engineers Ltd.</t>
  </si>
  <si>
    <t>Sky Limit Foodtek</t>
  </si>
  <si>
    <t>Skyland International Pvt Ltd</t>
  </si>
  <si>
    <t>Smart Imaging Technology</t>
  </si>
  <si>
    <t>Softech</t>
  </si>
  <si>
    <t>Karnataka</t>
  </si>
  <si>
    <t>Softech Solution</t>
  </si>
  <si>
    <t>Software Installation/Upgradation - Clarus</t>
  </si>
  <si>
    <t>SOMAIYA CARRIERS</t>
  </si>
  <si>
    <t>Special Allowance A</t>
  </si>
  <si>
    <t>Salary &amp; Wages</t>
  </si>
  <si>
    <t>Special Allowance A - Bluestreak</t>
  </si>
  <si>
    <t>Special Allowance A - Clarus</t>
  </si>
  <si>
    <t>Special Allowance A  -Factory</t>
  </si>
  <si>
    <t>SPICE EXPENSE</t>
  </si>
  <si>
    <t>Spices Boa Exhibitions</t>
  </si>
  <si>
    <t>SPICES BOARD</t>
  </si>
  <si>
    <t>Sri Ganesh Systems</t>
  </si>
  <si>
    <t>SRI Technologies</t>
  </si>
  <si>
    <t>SRK Enterprises</t>
  </si>
  <si>
    <t>Stabilizer</t>
  </si>
  <si>
    <t>Staff Welfare - Factory</t>
  </si>
  <si>
    <t>Staff Welfare - Office</t>
  </si>
  <si>
    <t>Star World Computers</t>
  </si>
  <si>
    <t>Delhi</t>
  </si>
  <si>
    <t>State Bank Of India</t>
  </si>
  <si>
    <t>Sundry Debit Balance Write Off (BS)</t>
  </si>
  <si>
    <t>Sundry Expenses - Factory</t>
  </si>
  <si>
    <t>Sundry Expense-Office</t>
  </si>
  <si>
    <t>Sunrise Systems</t>
  </si>
  <si>
    <t>Suspense Account</t>
  </si>
  <si>
    <t>SUZLON ENERGY LTD</t>
  </si>
  <si>
    <t>Swiggy Ltd (Shares)</t>
  </si>
  <si>
    <t>T D S ON BANK FDR INTEREST A/Y 2015 16</t>
  </si>
  <si>
    <t>T K Transport Company</t>
  </si>
  <si>
    <t>Tax Paid Ag Reverse Charge</t>
  </si>
  <si>
    <t>TCS RECEIVABLE F.Y 20-21 @ 0.075%</t>
  </si>
  <si>
    <t>TCS RECEIVABLE F.Y 2022-23 @ 0.075%</t>
  </si>
  <si>
    <t>TDS RECIEVABLE AY 2023-24</t>
  </si>
  <si>
    <t>TCS RECEIVABLE F.Y 21-22 @ 0.075%</t>
  </si>
  <si>
    <t>TDR NO-318803020015038</t>
  </si>
  <si>
    <t>NEW FDR WITH UBI BANK AGST BANK GURANTEE</t>
  </si>
  <si>
    <t>TDR NO-318803020015039</t>
  </si>
  <si>
    <t>TDR NO-318803020015040</t>
  </si>
  <si>
    <t>TDR NO-318803020015041</t>
  </si>
  <si>
    <t>TDR NO-318803020015042</t>
  </si>
  <si>
    <t>TDR NO-318803020015043</t>
  </si>
  <si>
    <t>TDS on Contractor Payment - Company-194C</t>
  </si>
  <si>
    <t>TDS &amp; TCS PAYABLE</t>
  </si>
  <si>
    <t>TDS on Contractor Payment - Non Company-194C</t>
  </si>
  <si>
    <t>TDS ON DIVIDEND-194</t>
  </si>
  <si>
    <t>TDS RECIEVABLE AY 2024-25</t>
  </si>
  <si>
    <t>TDS ON INTEREST A.Y.2016-17</t>
  </si>
  <si>
    <t>TDS ON INTEREST A.Y.2018-19</t>
  </si>
  <si>
    <t>TDS ON INTEREST A.Y.2019-20</t>
  </si>
  <si>
    <t>TDS ON INTEREST A.Y.2020-21</t>
  </si>
  <si>
    <t>TDS ON INTEREST A.Y.2021-22</t>
  </si>
  <si>
    <t>TDS ON INTEREST A.Y.2022-23</t>
  </si>
  <si>
    <t>TDS ON INTEREST A.Y.2023-24</t>
  </si>
  <si>
    <t>TDS ON INTEREST A.Y.2024-25</t>
  </si>
  <si>
    <t>TDS on Interest on FD (A Y 2014-15)</t>
  </si>
  <si>
    <t>TDS on Interest on FD (A.Y. 2008-09)</t>
  </si>
  <si>
    <t>TDS on Interest on FD (A.Y. 2009-10)</t>
  </si>
  <si>
    <t>TDS on Interest on FD (A.Y. 2010-11)</t>
  </si>
  <si>
    <t>TDS on Interest on FD (A.Y. 2011-12)</t>
  </si>
  <si>
    <t>TDS on Interest on FD (A.Y. 2012-13)</t>
  </si>
  <si>
    <t>TDS on Interest on FD (A.Y. 2013-14)</t>
  </si>
  <si>
    <t>TDS on Interest on Loan Received (A.Y . 2012-13)</t>
  </si>
  <si>
    <t>TDS on Interest on Loan Received (A.Y. 2008-09)</t>
  </si>
  <si>
    <t>TDS on Interest on Loan Received (A.Y. 2011-12)</t>
  </si>
  <si>
    <t>TDS on Payments (A.Y. 2009-10)</t>
  </si>
  <si>
    <t>TDS on Professional Charges</t>
  </si>
  <si>
    <t>Tds on Professional Fees U/s 194J</t>
  </si>
  <si>
    <t>TDS ON PROPERTY SALE</t>
  </si>
  <si>
    <t>TDS ON PURCHASE 0.10% (194Q)</t>
  </si>
  <si>
    <t>TDS on Rent (A.Y. 2013-14)</t>
  </si>
  <si>
    <t>TDS on Rent (A.Y. 2015-16)</t>
  </si>
  <si>
    <t>TDS on Rent (A.Y.2014-15)</t>
  </si>
  <si>
    <t>TDS on Rent (A.Y.2016 -17)</t>
  </si>
  <si>
    <t>Tds on Rent on Car-194I</t>
  </si>
  <si>
    <t>TDS on Rent-194I</t>
  </si>
  <si>
    <t>Tds Receivable A.Y 2020-21</t>
  </si>
  <si>
    <t>Tds Receivable A.Y 2021-22</t>
  </si>
  <si>
    <t>Tds Receivable A.Y 2025-26</t>
  </si>
  <si>
    <t>TDS RECIEVABLE AY 2025-26</t>
  </si>
  <si>
    <t>Tds Receivable A.Y 2026-27</t>
  </si>
  <si>
    <t>TDS Receivable A.Y. 2022-2023</t>
  </si>
  <si>
    <t>TDS Receivable A.Y. 2023-24</t>
  </si>
  <si>
    <t>Tech Plus</t>
  </si>
  <si>
    <t>Tele, Fax &amp; E-Mail</t>
  </si>
  <si>
    <t>Telephone Charges A/c Office</t>
  </si>
  <si>
    <t>Tele, Fax &amp; E-Mail (GST 18%)(OFFICE)</t>
  </si>
  <si>
    <t>Tele, Fax &amp; E-Mail -OFFICE (URD)</t>
  </si>
  <si>
    <t>Telephone Deposit</t>
  </si>
  <si>
    <t>TERMINAL HANDLING CHARGES-FRT</t>
  </si>
  <si>
    <t>Thai Airways International Public Company Limited</t>
  </si>
  <si>
    <t>Tissue Box Packing Machine</t>
  </si>
  <si>
    <t>Toilet Rolls Converting Machine</t>
  </si>
  <si>
    <t>TOLL FREE CHARGES</t>
  </si>
  <si>
    <t>Toner Filling Machine</t>
  </si>
  <si>
    <t>Tools &amp; Equipment</t>
  </si>
  <si>
    <t>Top Print Cartridge (Delhi)</t>
  </si>
  <si>
    <t>Tours &amp; Travals Air Ticket &amp; Visa Expense (EXPORT)</t>
  </si>
  <si>
    <t>Tours &amp; Travals Air Ticket &amp; Visa Expense (MD EXP)</t>
  </si>
  <si>
    <t>Tours &amp; Travals Air Ticket Expense @18%(Exports)</t>
  </si>
  <si>
    <t>Tours &amp; Travals Air Ticket Expense @5%(Exports)</t>
  </si>
  <si>
    <t>TRADE MARK</t>
  </si>
  <si>
    <t>Trade Promotion Council Of India</t>
  </si>
  <si>
    <t>Transcorp Enterprises Limited</t>
  </si>
  <si>
    <t>Transport Allowance</t>
  </si>
  <si>
    <t>Transport Allowance - Bluestreak</t>
  </si>
  <si>
    <t>Transport Allowance - Clarus</t>
  </si>
  <si>
    <t>Transport Allowance - Factory</t>
  </si>
  <si>
    <t>TRANSPORT CHARGES EXPORT</t>
  </si>
  <si>
    <t>TRANSPORTATION CHARGE (EXPORT) RCM</t>
  </si>
  <si>
    <t>TRAVELING EXPENSES ( OFFICE )</t>
  </si>
  <si>
    <t>TRAVELING INSURANCE (EXPORT)</t>
  </si>
  <si>
    <t>Trillizo Holding Limited (Loan A/c)</t>
  </si>
  <si>
    <t>Triveni Copy Systems</t>
  </si>
  <si>
    <t>Tstar Aerosol</t>
  </si>
  <si>
    <t>Tulip Sales</t>
  </si>
  <si>
    <t>U.K.SALES</t>
  </si>
  <si>
    <t>Ultra International Ltd</t>
  </si>
  <si>
    <t>UNI TRAANS LOG PRIVATE LIMITED</t>
  </si>
  <si>
    <t>Union Bank of India</t>
  </si>
  <si>
    <t>Vandana Electronics</t>
  </si>
  <si>
    <t>Vandana Greeting &amp; Gift</t>
  </si>
  <si>
    <t>Sundry Debtor Clarus (Old)</t>
  </si>
  <si>
    <t>Vanita Mehta (Loan A/c)</t>
  </si>
  <si>
    <t>Varsha Agencies</t>
  </si>
  <si>
    <t>Vasai Virar City Municipal Corporation</t>
  </si>
  <si>
    <t>Vat Refund Claimed (F.Y. 2008-09)</t>
  </si>
  <si>
    <t>Vat Refund Claimed (F.Y. 2009-10)</t>
  </si>
  <si>
    <t>VEER BHAVANI HARDWARE</t>
  </si>
  <si>
    <t>VGM CHARGES-FRT</t>
  </si>
  <si>
    <t>Vijeta Marketing</t>
  </si>
  <si>
    <t>Vijex &amp; Company</t>
  </si>
  <si>
    <t>Vinay Construction</t>
  </si>
  <si>
    <t>Vinay Rajkant Jha - Loan A/c</t>
  </si>
  <si>
    <t>STAFF LOAN - CLARUS</t>
  </si>
  <si>
    <t>Vinayak sales Corporation</t>
  </si>
  <si>
    <t>Vinayaka Computer Consumables</t>
  </si>
  <si>
    <t>VINTRON INFOTECH</t>
  </si>
  <si>
    <t>Water Purifier</t>
  </si>
  <si>
    <t>We Recommend</t>
  </si>
  <si>
    <t>Weight Measuring Machine</t>
  </si>
  <si>
    <t>Wet Napkin Paper Packing Machine</t>
  </si>
  <si>
    <t>Wide Infotech India Ltd.</t>
  </si>
  <si>
    <t>Winman Software India LLP</t>
  </si>
  <si>
    <t>Workindia</t>
  </si>
  <si>
    <t>Write Off</t>
  </si>
  <si>
    <t>Yogesh Acholkar</t>
  </si>
  <si>
    <t>Yunay Enterprises</t>
  </si>
  <si>
    <t>Zain Traders and Co.</t>
  </si>
  <si>
    <t>ZEE ENTERTAINMENT</t>
  </si>
  <si>
    <t>ZOHO CORPORATION PRIVATE LIMITED</t>
  </si>
  <si>
    <t>ZYJ-B-400 Printed/Embossed Napkin Foldiing Machine</t>
  </si>
  <si>
    <t>ZYJ-B-500 Printed/Embossed Napking Folding Machine</t>
  </si>
  <si>
    <t>CAR INSURANCE (CRETA)</t>
  </si>
  <si>
    <t>SSR CHARGES</t>
  </si>
  <si>
    <t>STAFFWALFARE</t>
  </si>
  <si>
    <t>Metal ORE</t>
  </si>
  <si>
    <t>Membership Subscription 18% (Spices)</t>
  </si>
  <si>
    <t>Membership Subscription 18% (IT)</t>
  </si>
  <si>
    <t>Domain Expenses &amp; Support Service 18% (Ofiice)</t>
  </si>
  <si>
    <t>ADVERTISEMENT 18% (SPICE)</t>
  </si>
  <si>
    <t>BUSINESS DEVELOPMENT (SPICE)</t>
  </si>
  <si>
    <t>MARKETING EXPENSE (SPICE)</t>
  </si>
  <si>
    <t>Abacus Infotech</t>
  </si>
  <si>
    <t>AMI  Food Products</t>
  </si>
  <si>
    <t>SUNDRY CREDITORS (Spice)</t>
  </si>
  <si>
    <t>Basic Pay -  Vashi Office</t>
  </si>
  <si>
    <t>Salary &amp; Wages - Vashi Office</t>
  </si>
  <si>
    <t>Conveyance - Spice</t>
  </si>
  <si>
    <t>Diamond Trading Company</t>
  </si>
  <si>
    <t>Discount On Pur Spice</t>
  </si>
  <si>
    <t>FD WITH ICICI BANK FD NO-034813016440</t>
  </si>
  <si>
    <t>FD WITH ICICI BANK FD NO-034813016441</t>
  </si>
  <si>
    <t>FD WITH ICICI BANK FD NO-034813016442</t>
  </si>
  <si>
    <t>FD WITH ICICI BANK FD NO-34813016338</t>
  </si>
  <si>
    <t>FD WITH ICICI BANK FD NO-34813016339</t>
  </si>
  <si>
    <t>FD WITH ICICI BANK FD NO-34813016340</t>
  </si>
  <si>
    <t>FD WITH ICICI BANK FD NO-34813016341</t>
  </si>
  <si>
    <t>FD WITH ICICI BANK FD NO-34813016342</t>
  </si>
  <si>
    <t>FD WITH ICICI BANK FD NO-34813016343</t>
  </si>
  <si>
    <t>FD WITH ICICI BANK FD NO-34813016344</t>
  </si>
  <si>
    <t>FD WITH ICICI BANK FD NO-34813016345</t>
  </si>
  <si>
    <t>FD WITH ICICI BANK FD NO-34813016346</t>
  </si>
  <si>
    <t>Framebazaar India Pvt Ltd</t>
  </si>
  <si>
    <t>Future Tech</t>
  </si>
  <si>
    <t>SUNDRY CREDITORS (IT)</t>
  </si>
  <si>
    <t>Futuretech-Chhenai</t>
  </si>
  <si>
    <t>Govindraj Spices</t>
  </si>
  <si>
    <t>House Rent Allowance - Vashi Office</t>
  </si>
  <si>
    <t>Inter State IT</t>
  </si>
  <si>
    <t>Internet Charges Vashi</t>
  </si>
  <si>
    <t>Vashi Expense</t>
  </si>
  <si>
    <t>LIV Pure</t>
  </si>
  <si>
    <t>Maa Enterprise</t>
  </si>
  <si>
    <t>Maintenance -VASHI (URD)</t>
  </si>
  <si>
    <t>Petty Cash - Vashi (Turbhe)</t>
  </si>
  <si>
    <t>Printing &amp; Stationery Vashi</t>
  </si>
  <si>
    <t>Profession Tax - Employees - Vashi Office</t>
  </si>
  <si>
    <t>Raigad Chamber Of Commerce &amp; Industry</t>
  </si>
  <si>
    <t>Rajau Agro -Security Deposit Vashi</t>
  </si>
  <si>
    <t>Security Deposit</t>
  </si>
  <si>
    <t>Rivera  Hotel  Pvt. Ltd.</t>
  </si>
  <si>
    <t>S R Packaging Ind.</t>
  </si>
  <si>
    <t>Sasman Overseas Export Import Private Limited</t>
  </si>
  <si>
    <t>Shree Jaliyan Agri</t>
  </si>
  <si>
    <t>Siddhi Enterprises</t>
  </si>
  <si>
    <t>Sky international</t>
  </si>
  <si>
    <t>Special Allowance-Vashi Office</t>
  </si>
  <si>
    <t>Sundry Expense-Vashi</t>
  </si>
  <si>
    <t>TDS On Salary 10% - 194J</t>
  </si>
  <si>
    <t>The Indian Soil Mart Co. Ltd</t>
  </si>
  <si>
    <t>VALEMOUNT TRADING PROPRIETARY LIMITED</t>
  </si>
  <si>
    <t>Sundry Debtors Spice</t>
  </si>
  <si>
    <t>Interest Received</t>
  </si>
  <si>
    <t>Courier Charges (URD) (VASHI)</t>
  </si>
  <si>
    <t>Packing Charges (5%) - Vashi</t>
  </si>
  <si>
    <t>Rent For Vashi Office-Turbhe</t>
  </si>
  <si>
    <t>Tours &amp; Travals Air Ticket &amp; Visa Expense (SPICE)</t>
  </si>
  <si>
    <t>Audit Fees (18%)</t>
  </si>
  <si>
    <t>Printing &amp; Stationery - Office</t>
  </si>
  <si>
    <t>Falguni D Mehta-Vashi Office</t>
  </si>
  <si>
    <t>Jeyam Trading Company</t>
  </si>
  <si>
    <t>JNG &amp; Co. LLP</t>
  </si>
  <si>
    <t>STALLCRAFT DESIGNS</t>
  </si>
  <si>
    <t>SUNSHINE STATIONERES</t>
  </si>
  <si>
    <t>Summary of Sundry Debtors &amp; Sundry Creditors</t>
  </si>
  <si>
    <t>List of Debtors</t>
  </si>
  <si>
    <t>xxx</t>
  </si>
  <si>
    <t>List of Creditors</t>
  </si>
  <si>
    <t>(All)</t>
  </si>
  <si>
    <t>Sum of Closing</t>
  </si>
  <si>
    <t>Column Labels</t>
  </si>
  <si>
    <t>Row Labels</t>
  </si>
  <si>
    <t>(blank)</t>
  </si>
  <si>
    <t>Sum of Closing YTD</t>
  </si>
  <si>
    <t>Sum of Opening</t>
  </si>
  <si>
    <t>Sum of Debit</t>
  </si>
  <si>
    <t>Sum of Credit</t>
  </si>
  <si>
    <t>Sum of Opening YTD</t>
  </si>
  <si>
    <t>Sum of Debit YTD</t>
  </si>
  <si>
    <t>Sum of Credit YTD</t>
  </si>
  <si>
    <t>Trial Balance</t>
  </si>
  <si>
    <t>Debit Bal</t>
  </si>
  <si>
    <t>Credit Bal</t>
  </si>
  <si>
    <t>Closing Bal</t>
  </si>
  <si>
    <t>ASUS X 1400EA-EK543WS</t>
  </si>
  <si>
    <t>Canon ICMF 272DW Laser Printer</t>
  </si>
  <si>
    <t>FD WITH ICICI BANK FD NO-34813016283</t>
  </si>
  <si>
    <t>FD WITH ICICI BANK FD NO-34813016284</t>
  </si>
  <si>
    <t>FD WITH ICICI BANK FD NO-34813016285</t>
  </si>
  <si>
    <t>FD WITH ICICI BANK FD NO-34813016286</t>
  </si>
  <si>
    <t>FD WITH ICICI BANK FD NO-34813016287</t>
  </si>
  <si>
    <t>FD WITH ICICI BANK FD NO-34813016288</t>
  </si>
  <si>
    <t>FD WITH ICICI BANK FD NO-34813016289</t>
  </si>
  <si>
    <t>FD WITH ICICI BANK FD NO-34813016290</t>
  </si>
  <si>
    <t>FD WITH ICICI BANK FD NO-34813016291</t>
  </si>
  <si>
    <t>FD WITH ICICI BANK FD NO-34813016292</t>
  </si>
  <si>
    <t>FD WITH ICICI BANK FD NO-34813016293</t>
  </si>
  <si>
    <t>FD WITH ICICI BANK FD NO-34813016294</t>
  </si>
  <si>
    <t>FD WITH ICICI BANK FD NO-34813016295</t>
  </si>
  <si>
    <t>FD WITH ICICI BANK FD NO-34813016296</t>
  </si>
  <si>
    <t>FD WITH ICICI BANK FD NO-34813016297</t>
  </si>
  <si>
    <t>Lenovo 81NB00F6IN Laptop</t>
  </si>
  <si>
    <t>TDS On Salary</t>
  </si>
  <si>
    <t>Inwards</t>
  </si>
  <si>
    <t>Outwards</t>
  </si>
  <si>
    <t>Blue Streak Consignement Agent Stock</t>
  </si>
  <si>
    <t>Photo Glossy Paper CA</t>
  </si>
  <si>
    <t>Resin Paper CA</t>
  </si>
  <si>
    <t>Spike Guard CA</t>
  </si>
  <si>
    <t>Blue Streak Finished Goods &amp; Packing Mtrls.</t>
  </si>
  <si>
    <t>Finished Goods - Blue Streak</t>
  </si>
  <si>
    <t>Packing Materials - Blue Streak</t>
  </si>
  <si>
    <t>BS Return Material</t>
  </si>
  <si>
    <t>BSHTC000278A (Return)</t>
  </si>
  <si>
    <t>BSHTC000280A (Return)</t>
  </si>
  <si>
    <t>BSHTC007570A (Return)</t>
  </si>
  <si>
    <t>BSSTC0001053 (Return)</t>
  </si>
  <si>
    <t>BSSTC0001666 (Return)</t>
  </si>
  <si>
    <t>HBTC000SP310 (Return)</t>
  </si>
  <si>
    <t>Clarus Finished Goods &amp; Packing Mtrls.</t>
  </si>
  <si>
    <t>Packing Materials - Clarus</t>
  </si>
  <si>
    <t>EXPORT PRINTER</t>
  </si>
  <si>
    <t>CANON MF 3010 PRINTER</t>
  </si>
  <si>
    <t>EPSON L11050 A3 PRINTER</t>
  </si>
  <si>
    <t>EPSON L14150 PRINTER</t>
  </si>
  <si>
    <t>EPSON L8050 PRINTER</t>
  </si>
  <si>
    <t>Finished Goods - CLARUS</t>
  </si>
  <si>
    <t>Dry Tissues - FG</t>
  </si>
  <si>
    <t>Hand Sanitizers</t>
  </si>
  <si>
    <t>Other Finished Goods - CLARUS</t>
  </si>
  <si>
    <t>Wet Wipes</t>
  </si>
  <si>
    <t>Hand Sanitizer Hand Free Metal Stand Clarus</t>
  </si>
  <si>
    <t>Metal HS Stand</t>
  </si>
  <si>
    <t>Purair Finished Goods Clarus</t>
  </si>
  <si>
    <t>RFPA300DW</t>
  </si>
  <si>
    <t>RFPA300JC</t>
  </si>
  <si>
    <t>RFPA300SS</t>
  </si>
  <si>
    <t>Purchase Order Items Bluestreak</t>
  </si>
  <si>
    <t>Air Bag 12A</t>
  </si>
  <si>
    <t>Air Bag 88A</t>
  </si>
  <si>
    <t>Blower M/c Heat Gun MR 100</t>
  </si>
  <si>
    <t>COURIER CHARGES</t>
  </si>
  <si>
    <t>Glue Gun Crown CR 6010</t>
  </si>
  <si>
    <t>Glue Gun Machine</t>
  </si>
  <si>
    <t>Raw Materials Bluestreak</t>
  </si>
  <si>
    <t>Bulk Toner Powder</t>
  </si>
  <si>
    <t>Tapes Bluestreak</t>
  </si>
  <si>
    <t>Tonner Powder</t>
  </si>
  <si>
    <t>TONER POWDER BROTHER TN 450(393)</t>
  </si>
  <si>
    <t>Raw Materials Clarus</t>
  </si>
  <si>
    <t>Chemical Clarus</t>
  </si>
  <si>
    <t>Corrugated Boxes</t>
  </si>
  <si>
    <t>Labels Clarus</t>
  </si>
  <si>
    <t>Non-Woven Clarus</t>
  </si>
  <si>
    <t>Other Raw Materials Clarus</t>
  </si>
  <si>
    <t>Pouches &amp; Laminates Clarus</t>
  </si>
  <si>
    <t>P.P.Bags Clarus</t>
  </si>
  <si>
    <t>Tapes Clarus</t>
  </si>
  <si>
    <t>Raw Materials Others</t>
  </si>
  <si>
    <t>1.2 Ltr PET Jar</t>
  </si>
  <si>
    <t>750 Ml PET Jar</t>
  </si>
  <si>
    <t>Spice</t>
  </si>
  <si>
    <t>BATTERIES</t>
  </si>
  <si>
    <t>ATC2000OOOO</t>
  </si>
  <si>
    <t>Ck90099OOO</t>
  </si>
  <si>
    <t>METSEPM2230D</t>
  </si>
  <si>
    <t>Other Blue Streak Stock</t>
  </si>
  <si>
    <t>CANON LBP 6030B LASER PRINTER</t>
  </si>
  <si>
    <t>CANON LBP 6030W LASER PRINTER</t>
  </si>
  <si>
    <t>EPSON L15150 A3 PRINTER</t>
  </si>
  <si>
    <t>EPSON L18050 PRINTER</t>
  </si>
  <si>
    <t>PROJECTOR EPSON EB-01</t>
  </si>
  <si>
    <t>ANAND RATHI SHARE HOLDING SHARES</t>
  </si>
  <si>
    <t>Pristine Worldwide Pvt.Ltd.- Pristine Care Products</t>
  </si>
  <si>
    <t>FIFO</t>
  </si>
  <si>
    <t/>
  </si>
  <si>
    <t>Quantity</t>
  </si>
  <si>
    <t>Rate</t>
  </si>
  <si>
    <t>Value</t>
  </si>
  <si>
    <t>Consumption</t>
  </si>
  <si>
    <t>Gross Profit</t>
  </si>
  <si>
    <t>Perc %</t>
  </si>
  <si>
    <t>1-Apr-24 to 31-Jul-24</t>
  </si>
  <si>
    <t>Allocation of Expenses</t>
  </si>
  <si>
    <t>Month</t>
  </si>
  <si>
    <t xml:space="preserve">Clarus </t>
  </si>
  <si>
    <t>Agent Charges-Spice</t>
  </si>
  <si>
    <t>Bharti Airtel Ltd-Vashi</t>
  </si>
  <si>
    <t>Creative Agency Charges-Spice</t>
  </si>
  <si>
    <t>Food Safety and Standards Authority of India</t>
  </si>
  <si>
    <t>Madhusudan Agent</t>
  </si>
  <si>
    <t>PF Admin Charges</t>
  </si>
  <si>
    <t>Maintenance -Factory (URD)</t>
  </si>
  <si>
    <t>Printing &amp; Stationery - Factory</t>
  </si>
  <si>
    <t>Software Subscription Fee-Office</t>
  </si>
  <si>
    <t>CANON LBP 6030B Wi-Fi</t>
  </si>
  <si>
    <t>EPSON L15150 A3 PRINTER -S</t>
  </si>
  <si>
    <t>RFPA300ML</t>
  </si>
  <si>
    <t>AMJAD AYMAN ALAMOURI &amp; PARTNERS CO.</t>
  </si>
  <si>
    <t>A.T.N. Enterprise</t>
  </si>
  <si>
    <t>AZEEM AHMAD MANSOORI</t>
  </si>
  <si>
    <t>Bill Of Lading - Spice</t>
  </si>
  <si>
    <t>BL Surrender / Seaway Charges - Spice</t>
  </si>
  <si>
    <t>Bombay Mercantile Co.Op Bank-002110100081335</t>
  </si>
  <si>
    <t>Brokerage-Spice</t>
  </si>
  <si>
    <t>Cargo Data Declaration - Spice</t>
  </si>
  <si>
    <t>Document Charges - Spice</t>
  </si>
  <si>
    <t>Electricity Charges - Vashi Turbhe (Spice)</t>
  </si>
  <si>
    <t>ENG SHENG SDN BHD</t>
  </si>
  <si>
    <t>Equipment Surcharge - Spice</t>
  </si>
  <si>
    <t>Exhibition</t>
  </si>
  <si>
    <t>FD WITH ICICI BANK FD NO.034813016530</t>
  </si>
  <si>
    <t>FD WITH ICICI BANK FD NO.034813016531</t>
  </si>
  <si>
    <t>FD WITH ICICI BANK FD NO.034813016532</t>
  </si>
  <si>
    <t>FD WITH ICICI BANK FD NO.034813016533</t>
  </si>
  <si>
    <t>FD WITH ICICI BANK FD NO.034813016534</t>
  </si>
  <si>
    <t>Jamiat Ulama-I-Hind Halal Trust</t>
  </si>
  <si>
    <t>Labh Corporation</t>
  </si>
  <si>
    <t>MUC-SPICE</t>
  </si>
  <si>
    <t>New Jaora Spices</t>
  </si>
  <si>
    <t>OCEAN FREIGHT CHARGES - SPICE</t>
  </si>
  <si>
    <t>Om Sai Transport</t>
  </si>
  <si>
    <t>Origin Terminal Handling Charge</t>
  </si>
  <si>
    <t>Palsun Maritime (India) Limited</t>
  </si>
  <si>
    <t>RADIANT SOLUTION</t>
  </si>
  <si>
    <t>Repair &amp; Maintenance - 18% (Office)</t>
  </si>
  <si>
    <t>Sarju Transport</t>
  </si>
  <si>
    <t>Sar Transport Systems Private Limited</t>
  </si>
  <si>
    <t>Seal Charges - Spice</t>
  </si>
  <si>
    <t>SRI JAYA IMPEX SDN. BHD</t>
  </si>
  <si>
    <t>Staff Welfare - Vashi (Spice)</t>
  </si>
  <si>
    <t>ST. FRANCIS CAR AIR</t>
  </si>
  <si>
    <t>SUNFOOD STAR GENERAL TRADING LLC</t>
  </si>
  <si>
    <t>Swakul Agro Producer Company Limited</t>
  </si>
  <si>
    <t>TDS on 94H</t>
  </si>
  <si>
    <t>Tele, Fax &amp; E-Mail (GST 18%) Spice</t>
  </si>
  <si>
    <t>Terminal Handling-INC - Spice</t>
  </si>
  <si>
    <t>Toll Fee - Spice</t>
  </si>
  <si>
    <t>TRANSPORTATION CHARGE (SPICE) RCM</t>
  </si>
  <si>
    <t>Stamp Duty Fees</t>
  </si>
  <si>
    <t>Cereals - Rice Material</t>
  </si>
  <si>
    <t>Masala</t>
  </si>
  <si>
    <t>Packaging For Spice</t>
  </si>
  <si>
    <t>Pulses - Beans</t>
  </si>
  <si>
    <t>Seeds</t>
  </si>
  <si>
    <t>Container Desiccant</t>
  </si>
  <si>
    <t>Paper Roll (18%)</t>
  </si>
  <si>
    <t>Spized Organics</t>
  </si>
  <si>
    <t>TDS on Salary 192B</t>
  </si>
  <si>
    <t>Packaging for Spice</t>
  </si>
  <si>
    <t>Badani Industries</t>
  </si>
  <si>
    <t>CFS-Charges Spice</t>
  </si>
  <si>
    <t>Examination + Certificate Charges-Spice</t>
  </si>
  <si>
    <t>Fumigation Charges Spice</t>
  </si>
  <si>
    <t>Mix Cargo Spice</t>
  </si>
  <si>
    <t>On Wheel Clearance - Spice</t>
  </si>
  <si>
    <t>Phyto Charges Sale - Spice</t>
  </si>
  <si>
    <t>Sk India Marine Services</t>
  </si>
  <si>
    <t>Transport - Spice</t>
  </si>
  <si>
    <t>VGM Charges - Spice</t>
  </si>
  <si>
    <t>Coriander Seeds</t>
  </si>
  <si>
    <t>Direct Expense</t>
  </si>
  <si>
    <t>Freight &amp; Shipping charges</t>
  </si>
  <si>
    <t>3. Direct Expense</t>
  </si>
  <si>
    <t xml:space="preserve">Dividend </t>
  </si>
  <si>
    <t xml:space="preserve">Profit on sale of Investment </t>
  </si>
  <si>
    <t xml:space="preserve">Short term Capital Gain </t>
  </si>
  <si>
    <t>Indirect costs</t>
  </si>
  <si>
    <t>AFRIZON TRADING COMPANY LIMITED</t>
  </si>
  <si>
    <t>Auditor Allowance - Spice</t>
  </si>
  <si>
    <t>Chennai Taxi</t>
  </si>
  <si>
    <t>Consultancy-Spice</t>
  </si>
  <si>
    <t>DELHI TAXI</t>
  </si>
  <si>
    <t>Dnr Agri Exports</t>
  </si>
  <si>
    <t>Facilitation Charges Spice</t>
  </si>
  <si>
    <t>FD WITH ICICI BANK FD NO-034813016647</t>
  </si>
  <si>
    <t>FD WITH ICICI BANK FD NO-034813016648</t>
  </si>
  <si>
    <t>Harshvika Trading Co</t>
  </si>
  <si>
    <t>KHASSIM DABO-UNITECH INTERNATIONAL FZC LLC</t>
  </si>
  <si>
    <t>Khatau &amp; Sons</t>
  </si>
  <si>
    <t>LABOUR JOB EXP (SPICE) - 18%</t>
  </si>
  <si>
    <t>MADHUSUDHANAN S.M. EXPORTS IMPORTS CONSULTANCY</t>
  </si>
  <si>
    <t>Navkar Enterprise</t>
  </si>
  <si>
    <t>PACK SEALS INDUSTRIES</t>
  </si>
  <si>
    <t>Patel Retail Limited</t>
  </si>
  <si>
    <t>Professional Charges (Spice)</t>
  </si>
  <si>
    <t>Professional Fees - 18% (Spice)</t>
  </si>
  <si>
    <t>Ramdas Sales India Private Limited</t>
  </si>
  <si>
    <t>Reimbursement-Spice</t>
  </si>
  <si>
    <t>Repair &amp; Maintenance - URD (Office)</t>
  </si>
  <si>
    <t>Sahebjee Enterprises</t>
  </si>
  <si>
    <t>Samkit Advertising</t>
  </si>
  <si>
    <t>Shree Bhagwati Agro Process</t>
  </si>
  <si>
    <t>SHRI RAM TRANSPORT</t>
  </si>
  <si>
    <t>SIDDHIVINAYAK TRANSPORT</t>
  </si>
  <si>
    <t>Sme Industrial Consulting</t>
  </si>
  <si>
    <t>Sunil D"souza (Ramdas)</t>
  </si>
  <si>
    <t>Sunshine Marketing</t>
  </si>
  <si>
    <t>SYARIKAT KILANG REMPA JAYA SAKTI SDN. BHD.(173890-M)</t>
  </si>
  <si>
    <t>Taj Trading Company</t>
  </si>
  <si>
    <t>Trade Discount on Sales - Spice</t>
  </si>
  <si>
    <t>TRANSPORT CHARGES IT</t>
  </si>
  <si>
    <t>TRAVELLING EXP (Spice)</t>
  </si>
  <si>
    <t>TRAVELLING EXP (TAXI)</t>
  </si>
  <si>
    <t>Vardhman Natural Ingredients Private Limited</t>
  </si>
  <si>
    <t>Vijay Traders</t>
  </si>
  <si>
    <t>Sales Accounts (Bills to make)</t>
  </si>
  <si>
    <t>Sales Bills to Make</t>
  </si>
  <si>
    <t>BLACK RAISINS</t>
  </si>
  <si>
    <t>CURRY POWDER</t>
  </si>
  <si>
    <t>DEHY ONION WHITE FLAKES</t>
  </si>
  <si>
    <t>Tamarind</t>
  </si>
  <si>
    <t>TURMERIC FINGER</t>
  </si>
  <si>
    <t>For the month of Mar 2026</t>
  </si>
  <si>
    <t>Mar'26</t>
  </si>
  <si>
    <t>(April to Mar)</t>
  </si>
  <si>
    <t>24 DIGITAL INDIA</t>
  </si>
  <si>
    <t>BANK CHARGES 18% (Spice)</t>
  </si>
  <si>
    <t>Bhavyaa Solutions Llp</t>
  </si>
  <si>
    <t>Bhoir Stationary</t>
  </si>
  <si>
    <t>Bunker Recovery Charges (Spice)</t>
  </si>
  <si>
    <t>Bunker Surcharge (Spice)</t>
  </si>
  <si>
    <t>CARICO SHIPPING PVT LTD</t>
  </si>
  <si>
    <t>CONSULTANT FEE @18%</t>
  </si>
  <si>
    <t>Dagha Sales</t>
  </si>
  <si>
    <t>Detention Fee Charge (Spice)_</t>
  </si>
  <si>
    <t>Devanshi Shipping Agency Private Limited</t>
  </si>
  <si>
    <t>DHL</t>
  </si>
  <si>
    <t>EMPTY CONTAINER PICK UP CHARGES-SPICE</t>
  </si>
  <si>
    <t>ETS Charge</t>
  </si>
  <si>
    <t>Exhibtion Income</t>
  </si>
  <si>
    <t>Export Serenity Container Gurantee Charge (Spice)</t>
  </si>
  <si>
    <t>Falguni Mehta-Vashi Warehouse Deposit</t>
  </si>
  <si>
    <t>Faya Traders</t>
  </si>
  <si>
    <t>FD WITH ICICI BANK FD NO-034813016830</t>
  </si>
  <si>
    <t>FD WITH ICICI BANK FD NO-034813016831</t>
  </si>
  <si>
    <t>FD WITH ICICI BANK FD NO-034813016832</t>
  </si>
  <si>
    <t>FD WITH ICICI BANK FD NO-034813016833</t>
  </si>
  <si>
    <t>FD WITH ICICI BANK FD NO-034813016839</t>
  </si>
  <si>
    <t>Hec Enviro (India) Private Limited</t>
  </si>
  <si>
    <t>ICICI Bank Forex Card-New 4065 8357 0248 8126</t>
  </si>
  <si>
    <t>Integrity Speciality Private Limited</t>
  </si>
  <si>
    <t>Interest Payable</t>
  </si>
  <si>
    <t>Isps Charge (Spice)</t>
  </si>
  <si>
    <t>JD Healthcare</t>
  </si>
  <si>
    <t>Jimmy &amp; Sons Foods Llp</t>
  </si>
  <si>
    <t>Liner Out Expense (Spice)</t>
  </si>
  <si>
    <t>Manifest Charge (Spice)</t>
  </si>
  <si>
    <t>Mitt Agro Private Limited</t>
  </si>
  <si>
    <t>MMK SPICES SDN BHD</t>
  </si>
  <si>
    <t>Mohananand Trading Company</t>
  </si>
  <si>
    <t>MWAFAQ FOR CLEARANCE</t>
  </si>
  <si>
    <t>NAJMAT AL MEEZAN FOODSTUFF TRADING LLC</t>
  </si>
  <si>
    <t>PARKING CHARGES-SPICE</t>
  </si>
  <si>
    <t>Printing &amp; Stationery (18%) - Spice Expense</t>
  </si>
  <si>
    <t>RAFIATOU ADUNI DJIMAH</t>
  </si>
  <si>
    <t>Rajau Agro Foods Private Limited</t>
  </si>
  <si>
    <t>RV Healthcare</t>
  </si>
  <si>
    <t>Sanmati Traders</t>
  </si>
  <si>
    <t>SARL SOMIDOTO IMPORT EXPORT</t>
  </si>
  <si>
    <t>SHREE SAMARTH FREIGHT</t>
  </si>
  <si>
    <t>SHRI BALIRAJA TRADING COMPANY</t>
  </si>
  <si>
    <t>Sky Land Courier</t>
  </si>
  <si>
    <t>TATA AIG Travel Insurance</t>
  </si>
  <si>
    <t>TDS On Loan Interest 194A</t>
  </si>
  <si>
    <t>TORONTO CITY GENERAL TRADING LLC</t>
  </si>
  <si>
    <t>WEIGHTMENT CHARGES-SPICE</t>
  </si>
  <si>
    <t>WRS Charges (Spice)</t>
  </si>
  <si>
    <t>Yan Industries</t>
  </si>
  <si>
    <t>Zubin's Royal Fleet</t>
  </si>
  <si>
    <t>Discount</t>
  </si>
  <si>
    <t>Indian Oilseed And Produce Export Promotional Concil</t>
  </si>
  <si>
    <t>Black Cumin Seed (Kalonji Seed)</t>
  </si>
  <si>
    <t>GOLDEN RAISIN</t>
  </si>
  <si>
    <t>Green Millet @ 0</t>
  </si>
  <si>
    <t>Nutmeg With Shell-Jaisfal</t>
  </si>
  <si>
    <t>A4 Novajet Mpl 02</t>
  </si>
  <si>
    <t>Printing And Stationery A/c</t>
  </si>
  <si>
    <t>ASHOK SHIVAJIRAO JADHAV</t>
  </si>
  <si>
    <t>LIC Policy  No. 908465361</t>
  </si>
  <si>
    <t>Investments</t>
  </si>
  <si>
    <t>Lic Policy No.908465418</t>
  </si>
  <si>
    <t>Sundry Debtor Export</t>
  </si>
  <si>
    <t>CONSULTANT FEE</t>
  </si>
  <si>
    <t>Insurance</t>
  </si>
  <si>
    <t>Provision for Bonus</t>
  </si>
  <si>
    <t>Woff</t>
  </si>
  <si>
    <t>Rent?</t>
  </si>
  <si>
    <t>Op Bal</t>
  </si>
  <si>
    <t>tds/tcs?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</si>
</sst>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&quot;&quot;0"/>
    <numFmt numFmtId="167" formatCode="&quot;&quot;0.00&quot; Dr&quot;"/>
    <numFmt numFmtId="168" formatCode="&quot;&quot;0.00&quot; Cr&quot;"/>
    <numFmt numFmtId="169" formatCode="&quot;&quot;0.00"/>
    <numFmt numFmtId="170" formatCode="&quot;&quot;0&quot; Nos.&quot;"/>
    <numFmt numFmtId="171" formatCode="mmmm\ yyyy"/>
    <numFmt numFmtId="172" formatCode="_ * #,##0.0_ ;_ * \-#,##0.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 applyAlignment="1">
      <alignment vertical="top"/>
    </xf>
    <xf numFmtId="0" fontId="3" fillId="0" borderId="2" xfId="0" applyFont="1" applyBorder="1"/>
    <xf numFmtId="165" fontId="3" fillId="0" borderId="2" xfId="1" applyNumberFormat="1" applyFont="1" applyBorder="1"/>
    <xf numFmtId="0" fontId="2" fillId="0" borderId="1" xfId="0" applyFont="1" applyBorder="1"/>
    <xf numFmtId="165" fontId="3" fillId="0" borderId="0" xfId="0" applyNumberFormat="1" applyFont="1"/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2" borderId="0" xfId="0" applyNumberFormat="1" applyFont="1" applyFill="1" applyAlignment="1">
      <alignment horizontal="center" vertical="top"/>
    </xf>
    <xf numFmtId="43" fontId="4" fillId="2" borderId="0" xfId="1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43" fontId="2" fillId="0" borderId="0" xfId="1" applyFont="1" applyBorder="1" applyAlignment="1">
      <alignment vertical="top"/>
    </xf>
    <xf numFmtId="49" fontId="4" fillId="2" borderId="0" xfId="0" applyNumberFormat="1" applyFont="1" applyFill="1" applyAlignment="1">
      <alignment horizontal="left" vertical="top" indent="2"/>
    </xf>
    <xf numFmtId="165" fontId="3" fillId="0" borderId="0" xfId="1" applyNumberFormat="1" applyFont="1"/>
    <xf numFmtId="165" fontId="4" fillId="2" borderId="0" xfId="1" applyNumberFormat="1" applyFont="1" applyFill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3" fontId="3" fillId="0" borderId="0" xfId="1" applyFont="1" applyBorder="1"/>
    <xf numFmtId="43" fontId="2" fillId="0" borderId="0" xfId="1" applyFont="1" applyBorder="1"/>
    <xf numFmtId="165" fontId="3" fillId="0" borderId="0" xfId="1" applyNumberFormat="1" applyFont="1" applyAlignment="1">
      <alignment vertical="top"/>
    </xf>
    <xf numFmtId="165" fontId="4" fillId="2" borderId="0" xfId="1" applyNumberFormat="1" applyFont="1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vertical="top"/>
    </xf>
    <xf numFmtId="165" fontId="3" fillId="0" borderId="0" xfId="1" applyNumberFormat="1" applyFont="1" applyBorder="1"/>
    <xf numFmtId="43" fontId="3" fillId="0" borderId="0" xfId="1" applyFont="1" applyBorder="1" applyAlignment="1">
      <alignment vertical="top" wrapText="1"/>
    </xf>
    <xf numFmtId="43" fontId="2" fillId="0" borderId="0" xfId="1" applyFont="1" applyBorder="1" applyAlignment="1">
      <alignment vertical="top" wrapText="1"/>
    </xf>
    <xf numFmtId="49" fontId="2" fillId="0" borderId="0" xfId="0" applyNumberFormat="1" applyFont="1" applyAlignment="1">
      <alignment horizontal="left" vertical="top" indent="1"/>
    </xf>
    <xf numFmtId="165" fontId="3" fillId="0" borderId="0" xfId="0" applyNumberFormat="1" applyFont="1" applyAlignment="1">
      <alignment vertical="top"/>
    </xf>
    <xf numFmtId="165" fontId="4" fillId="2" borderId="0" xfId="0" applyNumberFormat="1" applyFont="1" applyFill="1" applyAlignment="1">
      <alignment horizontal="center" vertical="top"/>
    </xf>
    <xf numFmtId="165" fontId="2" fillId="0" borderId="0" xfId="1" applyNumberFormat="1" applyFont="1"/>
    <xf numFmtId="43" fontId="2" fillId="0" borderId="0" xfId="1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5" fontId="3" fillId="0" borderId="0" xfId="1" applyNumberFormat="1" applyFont="1" applyFill="1"/>
    <xf numFmtId="0" fontId="2" fillId="0" borderId="0" xfId="0" applyFont="1" applyAlignment="1">
      <alignment horizontal="center"/>
    </xf>
    <xf numFmtId="165" fontId="3" fillId="0" borderId="0" xfId="1" applyNumberFormat="1" applyFont="1" applyBorder="1" applyAlignment="1">
      <alignment vertical="top" wrapText="1"/>
    </xf>
    <xf numFmtId="165" fontId="2" fillId="0" borderId="0" xfId="1" applyNumberFormat="1" applyFont="1" applyBorder="1" applyAlignment="1">
      <alignment vertical="top" wrapText="1"/>
    </xf>
    <xf numFmtId="43" fontId="3" fillId="0" borderId="0" xfId="1" applyFont="1"/>
    <xf numFmtId="0" fontId="2" fillId="0" borderId="2" xfId="0" applyFont="1" applyBorder="1"/>
    <xf numFmtId="165" fontId="2" fillId="0" borderId="1" xfId="0" applyNumberFormat="1" applyFont="1" applyBorder="1"/>
    <xf numFmtId="0" fontId="2" fillId="0" borderId="3" xfId="0" applyFont="1" applyBorder="1"/>
    <xf numFmtId="10" fontId="3" fillId="0" borderId="2" xfId="1" applyNumberFormat="1" applyFont="1" applyBorder="1"/>
    <xf numFmtId="43" fontId="3" fillId="0" borderId="0" xfId="1" applyFont="1" applyAlignment="1">
      <alignment vertical="top"/>
    </xf>
    <xf numFmtId="43" fontId="2" fillId="0" borderId="0" xfId="1" applyFont="1" applyAlignment="1">
      <alignment vertical="top"/>
    </xf>
    <xf numFmtId="43" fontId="4" fillId="2" borderId="0" xfId="1" applyFont="1" applyFill="1" applyAlignment="1">
      <alignment horizontal="center" vertical="top"/>
    </xf>
    <xf numFmtId="43" fontId="3" fillId="0" borderId="0" xfId="1" applyFont="1" applyBorder="1" applyAlignment="1">
      <alignment vertical="top"/>
    </xf>
    <xf numFmtId="43" fontId="3" fillId="0" borderId="0" xfId="0" applyNumberFormat="1" applyFont="1"/>
    <xf numFmtId="0" fontId="3" fillId="0" borderId="3" xfId="0" applyFont="1" applyBorder="1"/>
    <xf numFmtId="165" fontId="2" fillId="0" borderId="3" xfId="1" applyNumberFormat="1" applyFont="1" applyBorder="1"/>
    <xf numFmtId="0" fontId="3" fillId="0" borderId="1" xfId="0" applyFont="1" applyBorder="1"/>
    <xf numFmtId="165" fontId="3" fillId="0" borderId="1" xfId="1" applyNumberFormat="1" applyFont="1" applyBorder="1"/>
    <xf numFmtId="165" fontId="2" fillId="0" borderId="1" xfId="1" applyNumberFormat="1" applyFont="1" applyBorder="1"/>
    <xf numFmtId="0" fontId="3" fillId="0" borderId="0" xfId="0" applyFont="1" applyAlignment="1">
      <alignment vertical="center"/>
    </xf>
    <xf numFmtId="165" fontId="3" fillId="0" borderId="2" xfId="1" applyNumberFormat="1" applyFont="1" applyFill="1" applyBorder="1"/>
    <xf numFmtId="17" fontId="2" fillId="0" borderId="0" xfId="0" quotePrefix="1" applyNumberFormat="1" applyFont="1"/>
    <xf numFmtId="49" fontId="2" fillId="0" borderId="4" xfId="0" applyNumberFormat="1" applyFont="1" applyBorder="1" applyAlignment="1">
      <alignment vertical="top"/>
    </xf>
    <xf numFmtId="171" fontId="2" fillId="0" borderId="0" xfId="0" applyNumberFormat="1" applyFont="1" applyAlignment="1">
      <alignment horizontal="left" vertical="top"/>
    </xf>
    <xf numFmtId="49" fontId="2" fillId="0" borderId="0" xfId="1" applyNumberFormat="1" applyFont="1" applyAlignment="1">
      <alignment horizontal="left" vertical="top"/>
    </xf>
    <xf numFmtId="165" fontId="3" fillId="0" borderId="0" xfId="1" applyNumberFormat="1" applyFont="1" applyFill="1" applyAlignment="1">
      <alignment vertical="top"/>
    </xf>
    <xf numFmtId="43" fontId="3" fillId="0" borderId="0" xfId="1" applyFont="1" applyFill="1"/>
    <xf numFmtId="165" fontId="3" fillId="0" borderId="0" xfId="1" applyNumberFormat="1" applyFont="1" applyFill="1" applyBorder="1"/>
    <xf numFmtId="43" fontId="3" fillId="0" borderId="0" xfId="1" applyFont="1" applyFill="1" applyBorder="1"/>
    <xf numFmtId="49" fontId="2" fillId="0" borderId="0" xfId="1" applyNumberFormat="1" applyFont="1" applyAlignment="1">
      <alignment vertical="top"/>
    </xf>
    <xf numFmtId="49" fontId="4" fillId="2" borderId="0" xfId="0" applyNumberFormat="1" applyFont="1" applyFill="1" applyAlignment="1">
      <alignment horizontal="center" vertical="top" wrapText="1"/>
    </xf>
    <xf numFmtId="43" fontId="2" fillId="0" borderId="8" xfId="1" applyFont="1" applyBorder="1" applyAlignment="1">
      <alignment horizontal="center"/>
    </xf>
    <xf numFmtId="43" fontId="3" fillId="0" borderId="8" xfId="1" applyFont="1" applyBorder="1"/>
    <xf numFmtId="43" fontId="4" fillId="2" borderId="8" xfId="1" applyFont="1" applyFill="1" applyBorder="1" applyAlignment="1">
      <alignment horizontal="center" vertical="top" wrapText="1"/>
    </xf>
    <xf numFmtId="43" fontId="3" fillId="0" borderId="8" xfId="1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165" fontId="4" fillId="2" borderId="1" xfId="1" applyNumberFormat="1" applyFont="1" applyFill="1" applyBorder="1"/>
    <xf numFmtId="0" fontId="4" fillId="2" borderId="1" xfId="0" applyFont="1" applyFill="1" applyBorder="1"/>
    <xf numFmtId="165" fontId="3" fillId="0" borderId="1" xfId="1" applyNumberFormat="1" applyFont="1" applyFill="1" applyBorder="1"/>
    <xf numFmtId="0" fontId="3" fillId="0" borderId="1" xfId="0" applyFont="1" applyBorder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165" fontId="2" fillId="0" borderId="1" xfId="1" applyNumberFormat="1" applyFont="1" applyFill="1" applyBorder="1"/>
    <xf numFmtId="0" fontId="4" fillId="2" borderId="1" xfId="0" applyFont="1" applyFill="1" applyBorder="1" applyAlignment="1">
      <alignment horizontal="center"/>
    </xf>
    <xf numFmtId="165" fontId="2" fillId="0" borderId="0" xfId="1" applyNumberFormat="1" applyFont="1" applyBorder="1"/>
    <xf numFmtId="165" fontId="4" fillId="0" borderId="0" xfId="1" applyNumberFormat="1" applyFont="1"/>
    <xf numFmtId="165" fontId="4" fillId="0" borderId="0" xfId="1" applyNumberFormat="1" applyFont="1" applyFill="1" applyBorder="1" applyAlignment="1">
      <alignment horizontal="center"/>
    </xf>
    <xf numFmtId="165" fontId="3" fillId="0" borderId="1" xfId="0" applyNumberFormat="1" applyFont="1" applyBorder="1"/>
    <xf numFmtId="43" fontId="4" fillId="2" borderId="1" xfId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43" fontId="3" fillId="0" borderId="1" xfId="1" applyFont="1" applyBorder="1"/>
    <xf numFmtId="43" fontId="2" fillId="0" borderId="1" xfId="1" applyFont="1" applyBorder="1"/>
    <xf numFmtId="17" fontId="3" fillId="0" borderId="1" xfId="0" applyNumberFormat="1" applyFont="1" applyBorder="1" applyAlignment="1">
      <alignment horizontal="center"/>
    </xf>
    <xf numFmtId="43" fontId="3" fillId="0" borderId="1" xfId="0" applyNumberFormat="1" applyFont="1" applyBorder="1"/>
    <xf numFmtId="4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4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1" quotePrefix="1" applyNumberFormat="1" applyFont="1" applyAlignment="1"/>
    <xf numFmtId="165" fontId="3" fillId="0" borderId="9" xfId="1" applyNumberFormat="1" applyFont="1" applyBorder="1"/>
    <xf numFmtId="43" fontId="2" fillId="0" borderId="0" xfId="1" applyFont="1" applyAlignment="1"/>
    <xf numFmtId="43" fontId="2" fillId="0" borderId="0" xfId="1" applyFont="1" applyAlignment="1">
      <alignment horizontal="right"/>
    </xf>
    <xf numFmtId="43" fontId="3" fillId="0" borderId="1" xfId="1" applyFont="1" applyBorder="1" applyAlignment="1">
      <alignment horizontal="center" vertical="top"/>
    </xf>
    <xf numFmtId="0" fontId="10" fillId="0" borderId="0" xfId="0" applyFont="1"/>
    <xf numFmtId="165" fontId="4" fillId="2" borderId="0" xfId="1" applyNumberFormat="1" applyFont="1" applyFill="1" applyBorder="1" applyAlignment="1">
      <alignment horizontal="center" vertical="top" wrapText="1"/>
    </xf>
    <xf numFmtId="43" fontId="4" fillId="2" borderId="0" xfId="1" applyFont="1" applyFill="1" applyBorder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vertical="top"/>
    </xf>
    <xf numFmtId="166" fontId="6" fillId="0" borderId="0" xfId="0" applyNumberFormat="1" applyFont="1" applyAlignment="1">
      <alignment horizontal="right" vertical="top"/>
    </xf>
    <xf numFmtId="169" fontId="6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49" fontId="7" fillId="0" borderId="5" xfId="0" applyNumberFormat="1" applyFont="1" applyBorder="1" applyAlignment="1">
      <alignment horizontal="left" vertical="top" indent="2"/>
    </xf>
    <xf numFmtId="166" fontId="7" fillId="0" borderId="5" xfId="0" applyNumberFormat="1" applyFont="1" applyBorder="1" applyAlignment="1">
      <alignment horizontal="right" vertical="top"/>
    </xf>
    <xf numFmtId="43" fontId="3" fillId="0" borderId="1" xfId="1" applyFont="1" applyFill="1" applyBorder="1"/>
    <xf numFmtId="170" fontId="5" fillId="0" borderId="8" xfId="0" applyNumberFormat="1" applyFont="1" applyBorder="1" applyAlignment="1">
      <alignment horizontal="right" vertical="top"/>
    </xf>
    <xf numFmtId="169" fontId="5" fillId="0" borderId="0" xfId="0" applyNumberFormat="1" applyFont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170" fontId="7" fillId="0" borderId="5" xfId="0" applyNumberFormat="1" applyFont="1" applyBorder="1" applyAlignment="1">
      <alignment horizontal="right" vertical="top"/>
    </xf>
    <xf numFmtId="166" fontId="8" fillId="0" borderId="5" xfId="0" applyNumberFormat="1" applyFont="1" applyBorder="1" applyAlignment="1">
      <alignment horizontal="right" vertical="top"/>
    </xf>
    <xf numFmtId="169" fontId="7" fillId="0" borderId="5" xfId="0" applyNumberFormat="1" applyFont="1" applyBorder="1" applyAlignment="1">
      <alignment horizontal="right" vertical="top"/>
    </xf>
    <xf numFmtId="165" fontId="2" fillId="0" borderId="3" xfId="1" applyNumberFormat="1" applyFont="1" applyFill="1" applyBorder="1"/>
    <xf numFmtId="0" fontId="2" fillId="5" borderId="2" xfId="0" applyFont="1" applyFill="1" applyBorder="1"/>
    <xf numFmtId="10" fontId="3" fillId="5" borderId="2" xfId="1" applyNumberFormat="1" applyFont="1" applyFill="1" applyBorder="1"/>
    <xf numFmtId="0" fontId="2" fillId="5" borderId="6" xfId="0" applyFont="1" applyFill="1" applyBorder="1"/>
    <xf numFmtId="10" fontId="3" fillId="5" borderId="6" xfId="1" applyNumberFormat="1" applyFont="1" applyFill="1" applyBorder="1"/>
    <xf numFmtId="43" fontId="3" fillId="0" borderId="1" xfId="1" applyFont="1" applyBorder="1" applyAlignment="1">
      <alignment horizontal="left" vertical="top"/>
    </xf>
    <xf numFmtId="0" fontId="3" fillId="3" borderId="0" xfId="0" applyFont="1" applyFill="1"/>
    <xf numFmtId="166" fontId="5" fillId="0" borderId="7" xfId="0" applyNumberFormat="1" applyFont="1" applyBorder="1" applyAlignment="1">
      <alignment horizontal="right" vertical="top"/>
    </xf>
    <xf numFmtId="49" fontId="7" fillId="0" borderId="5" xfId="0" applyNumberFormat="1" applyFont="1" applyBorder="1" applyAlignment="1">
      <alignment horizontal="left" vertical="top" indent="1"/>
    </xf>
    <xf numFmtId="172" fontId="3" fillId="0" borderId="0" xfId="1" applyNumberFormat="1" applyFont="1"/>
    <xf numFmtId="0" fontId="3" fillId="0" borderId="6" xfId="0" applyFont="1" applyBorder="1"/>
    <xf numFmtId="0" fontId="3" fillId="0" borderId="2" xfId="0" applyFont="1" applyBorder="1" applyAlignment="1">
      <alignment vertical="center" wrapText="1"/>
    </xf>
    <xf numFmtId="169" fontId="7" fillId="0" borderId="10" xfId="0" applyNumberFormat="1" applyFont="1" applyBorder="1" applyAlignment="1">
      <alignment horizontal="right" vertical="top"/>
    </xf>
    <xf numFmtId="166" fontId="7" fillId="0" borderId="10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169" fontId="7" fillId="0" borderId="11" xfId="0" applyNumberFormat="1" applyFont="1" applyBorder="1" applyAlignment="1">
      <alignment horizontal="right" vertical="top"/>
    </xf>
    <xf numFmtId="166" fontId="7" fillId="0" borderId="11" xfId="0" applyNumberFormat="1" applyFont="1" applyBorder="1" applyAlignment="1">
      <alignment horizontal="right" vertical="top"/>
    </xf>
    <xf numFmtId="169" fontId="6" fillId="0" borderId="7" xfId="0" applyNumberFormat="1" applyFont="1" applyBorder="1" applyAlignment="1">
      <alignment horizontal="right" vertical="top"/>
    </xf>
    <xf numFmtId="166" fontId="6" fillId="0" borderId="7" xfId="0" applyNumberFormat="1" applyFont="1" applyBorder="1" applyAlignment="1">
      <alignment horizontal="right" vertical="top"/>
    </xf>
    <xf numFmtId="169" fontId="6" fillId="0" borderId="8" xfId="0" applyNumberFormat="1" applyFont="1" applyBorder="1" applyAlignment="1">
      <alignment horizontal="right" vertical="top"/>
    </xf>
    <xf numFmtId="166" fontId="6" fillId="0" borderId="8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vertical="top"/>
    </xf>
    <xf numFmtId="0" fontId="3" fillId="6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top"/>
    </xf>
    <xf numFmtId="166" fontId="7" fillId="0" borderId="7" xfId="0" applyNumberFormat="1" applyFont="1" applyBorder="1" applyAlignment="1">
      <alignment horizontal="right" vertical="top"/>
    </xf>
    <xf numFmtId="166" fontId="6" fillId="0" borderId="4" xfId="0" applyNumberFormat="1" applyFont="1" applyBorder="1" applyAlignment="1">
      <alignment horizontal="right" vertical="top"/>
    </xf>
    <xf numFmtId="169" fontId="7" fillId="0" borderId="4" xfId="0" applyNumberFormat="1" applyFont="1" applyBorder="1" applyAlignment="1">
      <alignment horizontal="right" vertical="top"/>
    </xf>
    <xf numFmtId="166" fontId="7" fillId="0" borderId="4" xfId="0" applyNumberFormat="1" applyFont="1" applyBorder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 indent="2"/>
    </xf>
    <xf numFmtId="0" fontId="3" fillId="0" borderId="2" xfId="0" applyFont="1" applyBorder="1" applyAlignment="1">
      <alignment horizontal="center"/>
    </xf>
    <xf numFmtId="165" fontId="2" fillId="0" borderId="0" xfId="0" applyNumberFormat="1" applyFont="1"/>
    <xf numFmtId="43" fontId="3" fillId="0" borderId="2" xfId="1" applyFont="1" applyBorder="1"/>
    <xf numFmtId="165" fontId="10" fillId="0" borderId="2" xfId="1" applyNumberFormat="1" applyFont="1" applyBorder="1"/>
    <xf numFmtId="167" fontId="5" fillId="0" borderId="0" xfId="0" applyNumberFormat="1" applyFont="1" applyAlignment="1">
      <alignment horizontal="right" vertical="top"/>
    </xf>
    <xf numFmtId="168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 wrapText="1"/>
    </xf>
    <xf numFmtId="0" fontId="2" fillId="0" borderId="1" xfId="1" applyNumberFormat="1" applyFont="1" applyBorder="1"/>
    <xf numFmtId="49" fontId="7" fillId="0" borderId="5" xfId="0" applyNumberFormat="1" applyFont="1" applyBorder="1" applyAlignment="1">
      <alignment horizontal="left" vertical="top" indent="3"/>
    </xf>
    <xf numFmtId="169" fontId="8" fillId="0" borderId="5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49" fontId="6" fillId="0" borderId="0" xfId="0" applyNumberFormat="1" applyFont="1" applyAlignment="1">
      <alignment horizontal="left" vertical="top" indent="3"/>
    </xf>
    <xf numFmtId="166" fontId="3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vertical="top"/>
    </xf>
    <xf numFmtId="49" fontId="9" fillId="0" borderId="0" xfId="0" applyNumberFormat="1" applyFont="1" applyAlignment="1">
      <alignment horizontal="center" vertical="top"/>
    </xf>
    <xf numFmtId="165" fontId="9" fillId="0" borderId="0" xfId="1" applyNumberFormat="1" applyFont="1" applyFill="1" applyAlignment="1">
      <alignment vertical="top"/>
    </xf>
    <xf numFmtId="165" fontId="9" fillId="0" borderId="0" xfId="1" applyNumberFormat="1" applyFont="1" applyFill="1"/>
    <xf numFmtId="43" fontId="9" fillId="0" borderId="8" xfId="1" applyFont="1" applyFill="1" applyBorder="1"/>
    <xf numFmtId="43" fontId="9" fillId="0" borderId="0" xfId="1" applyFont="1" applyFill="1"/>
    <xf numFmtId="170" fontId="7" fillId="0" borderId="7" xfId="0" applyNumberFormat="1" applyFont="1" applyBorder="1" applyAlignment="1">
      <alignment horizontal="right" vertical="top"/>
    </xf>
    <xf numFmtId="169" fontId="6" fillId="0" borderId="4" xfId="0" applyNumberFormat="1" applyFont="1" applyBorder="1" applyAlignment="1">
      <alignment horizontal="right" vertical="top"/>
    </xf>
    <xf numFmtId="43" fontId="3" fillId="3" borderId="0" xfId="1" applyFont="1" applyFill="1"/>
    <xf numFmtId="49" fontId="10" fillId="0" borderId="0" xfId="0" applyNumberFormat="1" applyFont="1" applyAlignment="1">
      <alignment vertical="top"/>
    </xf>
    <xf numFmtId="0" fontId="3" fillId="0" borderId="8" xfId="0" applyFont="1" applyBorder="1" applyAlignment="1">
      <alignment horizontal="left"/>
    </xf>
    <xf numFmtId="165" fontId="2" fillId="0" borderId="2" xfId="1" applyNumberFormat="1" applyFont="1" applyBorder="1"/>
    <xf numFmtId="10" fontId="3" fillId="0" borderId="2" xfId="1" applyNumberFormat="1" applyFont="1" applyFill="1" applyBorder="1"/>
    <xf numFmtId="49" fontId="3" fillId="0" borderId="0" xfId="0" applyNumberFormat="1" applyFont="1" applyAlignment="1">
      <alignment horizontal="center" vertical="center"/>
    </xf>
    <xf numFmtId="164" fontId="3" fillId="0" borderId="2" xfId="1" applyNumberFormat="1" applyFont="1" applyBorder="1"/>
    <xf numFmtId="10" fontId="2" fillId="0" borderId="2" xfId="1" applyNumberFormat="1" applyFont="1" applyBorder="1"/>
    <xf numFmtId="165" fontId="2" fillId="0" borderId="2" xfId="1" applyNumberFormat="1" applyFont="1" applyFill="1" applyBorder="1"/>
    <xf numFmtId="0" fontId="2" fillId="0" borderId="8" xfId="0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0" fontId="3" fillId="0" borderId="8" xfId="0" applyFont="1" applyBorder="1" applyAlignment="1">
      <alignment horizontal="left" vertical="top"/>
    </xf>
    <xf numFmtId="0" fontId="3" fillId="0" borderId="8" xfId="0" applyFont="1" applyBorder="1"/>
    <xf numFmtId="165" fontId="3" fillId="7" borderId="0" xfId="1" applyNumberFormat="1" applyFont="1" applyFill="1" applyBorder="1"/>
    <xf numFmtId="49" fontId="8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left" vertical="top" indent="2"/>
    </xf>
    <xf numFmtId="43" fontId="2" fillId="0" borderId="0" xfId="1" applyFont="1" applyBorder="1" applyAlignment="1">
      <alignment horizontal="center"/>
    </xf>
    <xf numFmtId="166" fontId="3" fillId="8" borderId="0" xfId="0" applyNumberFormat="1" applyFont="1" applyFill="1" applyAlignment="1">
      <alignment horizontal="center"/>
    </xf>
    <xf numFmtId="0" fontId="3" fillId="8" borderId="0" xfId="0" applyFont="1" applyFill="1"/>
    <xf numFmtId="49" fontId="3" fillId="8" borderId="0" xfId="0" applyNumberFormat="1" applyFont="1" applyFill="1" applyAlignment="1">
      <alignment horizontal="center" vertical="top"/>
    </xf>
    <xf numFmtId="0" fontId="3" fillId="8" borderId="0" xfId="0" applyFont="1" applyFill="1" applyAlignment="1">
      <alignment horizontal="center"/>
    </xf>
    <xf numFmtId="43" fontId="3" fillId="8" borderId="0" xfId="1" applyFont="1" applyFill="1"/>
    <xf numFmtId="165" fontId="3" fillId="8" borderId="0" xfId="1" applyNumberFormat="1" applyFont="1" applyFill="1"/>
    <xf numFmtId="43" fontId="3" fillId="8" borderId="8" xfId="1" applyFont="1" applyFill="1" applyBorder="1"/>
    <xf numFmtId="166" fontId="3" fillId="8" borderId="0" xfId="0" applyNumberFormat="1" applyFont="1" applyFill="1" applyAlignment="1">
      <alignment horizontal="center" vertical="top"/>
    </xf>
    <xf numFmtId="49" fontId="3" fillId="8" borderId="0" xfId="0" applyNumberFormat="1" applyFont="1" applyFill="1" applyAlignment="1">
      <alignment vertical="top"/>
    </xf>
    <xf numFmtId="165" fontId="3" fillId="8" borderId="0" xfId="1" applyNumberFormat="1" applyFont="1" applyFill="1" applyAlignment="1">
      <alignment vertical="top"/>
    </xf>
    <xf numFmtId="0" fontId="14" fillId="0" borderId="0" xfId="0" pivotButton="1" applyFont="1"/>
    <xf numFmtId="165" fontId="14" fillId="0" borderId="0" xfId="0" pivotButton="1" applyNumberFormat="1" applyFont="1"/>
    <xf numFmtId="165" fontId="14" fillId="0" borderId="0" xfId="0" applyNumberFormat="1" applyFont="1"/>
    <xf numFmtId="0" fontId="14" fillId="0" borderId="1" xfId="0" pivotButton="1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65" fontId="14" fillId="0" borderId="1" xfId="0" applyNumberFormat="1" applyFont="1" applyBorder="1"/>
    <xf numFmtId="0" fontId="14" fillId="0" borderId="11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1" xfId="0" pivotButton="1" applyFont="1" applyBorder="1"/>
    <xf numFmtId="165" fontId="14" fillId="0" borderId="1" xfId="0" applyNumberFormat="1" applyFont="1" applyBorder="1" applyAlignment="1">
      <alignment horizontal="left"/>
    </xf>
    <xf numFmtId="0" fontId="15" fillId="0" borderId="0" xfId="0" pivotButton="1" applyFont="1"/>
    <xf numFmtId="165" fontId="15" fillId="0" borderId="0" xfId="0" pivotButton="1" applyNumberFormat="1" applyFont="1"/>
    <xf numFmtId="165" fontId="15" fillId="0" borderId="0" xfId="0" applyNumberFormat="1" applyFont="1"/>
    <xf numFmtId="0" fontId="15" fillId="0" borderId="1" xfId="0" pivotButton="1" applyFon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0" fontId="14" fillId="0" borderId="1" xfId="0" applyFont="1" applyBorder="1"/>
    <xf numFmtId="165" fontId="2" fillId="0" borderId="9" xfId="1" quotePrefix="1" applyNumberFormat="1" applyFont="1" applyBorder="1" applyAlignment="1">
      <alignment horizontal="center"/>
    </xf>
    <xf numFmtId="165" fontId="2" fillId="0" borderId="0" xfId="1" quotePrefix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2" fillId="0" borderId="9" xfId="1" applyNumberFormat="1" applyFont="1" applyBorder="1" applyAlignment="1">
      <alignment horizontal="center"/>
    </xf>
    <xf numFmtId="165" fontId="4" fillId="2" borderId="0" xfId="1" applyNumberFormat="1" applyFont="1" applyFill="1" applyBorder="1" applyAlignment="1">
      <alignment horizontal="center" vertical="top" wrapText="1"/>
    </xf>
    <xf numFmtId="43" fontId="4" fillId="2" borderId="0" xfId="1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/>
    </xf>
    <xf numFmtId="43" fontId="3" fillId="8" borderId="1" xfId="1" applyFont="1" applyFill="1" applyBorder="1" applyAlignment="1">
      <alignment horizontal="left" vertical="top"/>
    </xf>
    <xf numFmtId="43" fontId="3" fillId="8" borderId="1" xfId="1" applyFont="1" applyFill="1" applyBorder="1" applyAlignment="1">
      <alignment horizontal="center" vertical="top"/>
    </xf>
    <xf numFmtId="165" fontId="3" fillId="8" borderId="1" xfId="1" applyNumberFormat="1" applyFont="1" applyFill="1" applyBorder="1"/>
  </cellXfs>
  <cellStyles count="3">
    <cellStyle name="Comma" xfId="1" builtinId="3"/>
    <cellStyle name="Comma 2" xfId="2" xr:uid="{00000000-0005-0000-0000-000001000000}"/>
    <cellStyle name="Normal" xfId="0" builtinId="0"/>
  </cellStyles>
  <dxfs count="128"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horizontal="left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numFmt numFmtId="165" formatCode="_ * #,##0_ ;_ * \-#,##0_ ;_ * &quot;-&quot;??_ ;_ @_ "/>
    </dxf>
    <dxf>
      <numFmt numFmtId="165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numFmt numFmtId="165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" refreshedDate="46118.480383333335" createdVersion="8" refreshedVersion="8" minRefreshableVersion="3" recordCount="1030" xr:uid="{8E106CE8-4A03-49AF-9860-D7201AAC54F8}">
  <cacheSource type="worksheet">
    <worksheetSource ref="A4:Q1034" sheet="List of Ledgers "/>
  </cacheSource>
  <cacheFields count="17">
    <cacheField name="Sl. No." numFmtId="166">
      <sharedItems containsSemiMixedTypes="0" containsString="0" containsNumber="1" containsInteger="1" minValue="1" maxValue="956"/>
    </cacheField>
    <cacheField name="Name of Ledger" numFmtId="0">
      <sharedItems/>
    </cacheField>
    <cacheField name="Under" numFmtId="0">
      <sharedItems/>
    </cacheField>
    <cacheField name="Group" numFmtId="0">
      <sharedItems containsBlank="1" count="3">
        <m/>
        <s v="BS"/>
        <s v="P&amp;L"/>
      </sharedItems>
    </cacheField>
    <cacheField name="Head" numFmtId="0">
      <sharedItems containsBlank="1" count="8">
        <m/>
        <s v="Sundry Creditor"/>
        <s v="Sundry Debtor"/>
        <s v="6. Indirect Expense"/>
        <s v="3. Direct Expense"/>
        <s v="2. Indirect Income"/>
        <s v="1. Sales Accounts"/>
        <s v="5. Purchase Accounts"/>
      </sharedItems>
    </cacheField>
    <cacheField name="Indirect exp classification" numFmtId="0">
      <sharedItems containsBlank="1"/>
    </cacheField>
    <cacheField name="Business Vertical" numFmtId="0">
      <sharedItems containsBlank="1" count="9">
        <m/>
        <s v="Common"/>
        <s v="Bluestreak"/>
        <s v="IT"/>
        <s v="Spices - Vashi"/>
        <s v="Clarus"/>
        <s v="Share Trading"/>
        <s v="Factory"/>
        <s v="Spices - A to Z"/>
      </sharedItems>
    </cacheField>
    <cacheField name="Opening Bal" numFmtId="0">
      <sharedItems containsNonDate="0" containsString="0" containsBlank="1"/>
    </cacheField>
    <cacheField name="Opening" numFmtId="165">
      <sharedItems containsSemiMixedTypes="0" containsString="0" containsNumber="1" minValue="-94740264.390000001" maxValue="88047692.739999995"/>
    </cacheField>
    <cacheField name="Debit" numFmtId="165">
      <sharedItems containsSemiMixedTypes="0" containsString="0" containsNumber="1" minValue="0" maxValue="82237465.819999993"/>
    </cacheField>
    <cacheField name="Credit" numFmtId="165">
      <sharedItems containsSemiMixedTypes="0" containsString="0" containsNumber="1" minValue="0" maxValue="81857931.269999996"/>
    </cacheField>
    <cacheField name="Closing" numFmtId="165">
      <sharedItems containsSemiMixedTypes="0" containsString="0" containsNumber="1" minValue="-94740264.390000001" maxValue="88047692.739999995"/>
    </cacheField>
    <cacheField name="Opening Bal YTD" numFmtId="43">
      <sharedItems containsNonDate="0" containsString="0" containsBlank="1"/>
    </cacheField>
    <cacheField name="Opening YTD" numFmtId="43">
      <sharedItems containsSemiMixedTypes="0" containsString="0" containsNumber="1" minValue="-102312391.39" maxValue="76979905.640000001"/>
    </cacheField>
    <cacheField name="Debit YTD" numFmtId="43">
      <sharedItems containsSemiMixedTypes="0" containsString="0" containsNumber="1" minValue="0" maxValue="366759978.43000001"/>
    </cacheField>
    <cacheField name="Credit YTD" numFmtId="43">
      <sharedItems containsSemiMixedTypes="0" containsString="0" containsNumber="1" minValue="0" maxValue="364330843.41000003"/>
    </cacheField>
    <cacheField name="Closing YTD" numFmtId="43">
      <sharedItems containsSemiMixedTypes="0" containsString="0" containsNumber="1" minValue="-121124019.63" maxValue="11691965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" refreshedDate="46118.48038414352" createdVersion="8" refreshedVersion="8" minRefreshableVersion="3" recordCount="1030" xr:uid="{10430934-DF21-4310-BC0D-CE82CA464E33}">
  <cacheSource type="worksheet">
    <worksheetSource ref="A4:L1034" sheet="List of Ledgers "/>
  </cacheSource>
  <cacheFields count="12">
    <cacheField name="Sl. No." numFmtId="166">
      <sharedItems containsSemiMixedTypes="0" containsString="0" containsNumber="1" containsInteger="1" minValue="1" maxValue="956"/>
    </cacheField>
    <cacheField name="Name of Ledger" numFmtId="0">
      <sharedItems/>
    </cacheField>
    <cacheField name="Under" numFmtId="0">
      <sharedItems/>
    </cacheField>
    <cacheField name="Group" numFmtId="0">
      <sharedItems containsBlank="1" count="3">
        <m/>
        <s v="BS"/>
        <s v="P&amp;L"/>
      </sharedItems>
    </cacheField>
    <cacheField name="Head" numFmtId="0">
      <sharedItems containsBlank="1" count="8">
        <m/>
        <s v="Sundry Creditor"/>
        <s v="Sundry Debtor"/>
        <s v="6. Indirect Expense"/>
        <s v="3. Direct Expense"/>
        <s v="2. Indirect Income"/>
        <s v="1. Sales Accounts"/>
        <s v="5. Purchase Accounts"/>
      </sharedItems>
    </cacheField>
    <cacheField name="Indirect exp classification" numFmtId="0">
      <sharedItems containsBlank="1"/>
    </cacheField>
    <cacheField name="Business Vertical" numFmtId="0">
      <sharedItems containsBlank="1" count="9">
        <m/>
        <s v="Common"/>
        <s v="Bluestreak"/>
        <s v="IT"/>
        <s v="Spices - Vashi"/>
        <s v="Clarus"/>
        <s v="Share Trading"/>
        <s v="Factory"/>
        <s v="Spices - A to Z"/>
      </sharedItems>
    </cacheField>
    <cacheField name="Opening Bal" numFmtId="0">
      <sharedItems containsNonDate="0" containsString="0" containsBlank="1"/>
    </cacheField>
    <cacheField name="Opening" numFmtId="165">
      <sharedItems containsSemiMixedTypes="0" containsString="0" containsNumber="1" minValue="-94740264.390000001" maxValue="88047692.739999995"/>
    </cacheField>
    <cacheField name="Debit" numFmtId="165">
      <sharedItems containsSemiMixedTypes="0" containsString="0" containsNumber="1" minValue="0" maxValue="82237465.819999993"/>
    </cacheField>
    <cacheField name="Credit" numFmtId="165">
      <sharedItems containsSemiMixedTypes="0" containsString="0" containsNumber="1" minValue="0" maxValue="81857931.269999996"/>
    </cacheField>
    <cacheField name="Closing" numFmtId="165">
      <sharedItems containsSemiMixedTypes="0" containsString="0" containsNumber="1" minValue="-94740264.390000001" maxValue="88047692.73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" refreshedDate="46118.518840509256" createdVersion="8" refreshedVersion="8" minRefreshableVersion="3" recordCount="140" xr:uid="{8BBDBF07-93BC-4952-BFBF-E0BDB4096366}">
  <cacheSource type="worksheet">
    <worksheetSource ref="B28:F168" sheet="Drs_Crs"/>
  </cacheSource>
  <cacheFields count="5">
    <cacheField name="Business Verticle" numFmtId="43">
      <sharedItems count="6">
        <s v="Bluestreak"/>
        <s v="Clarus"/>
        <s v="IT"/>
        <s v="Common"/>
        <s v="Export"/>
        <s v="Spices - Vashi"/>
      </sharedItems>
    </cacheField>
    <cacheField name="Opening" numFmtId="165">
      <sharedItems containsSemiMixedTypes="0" containsString="0" containsNumber="1" minValue="-507408" maxValue="38958814"/>
    </cacheField>
    <cacheField name="Debit" numFmtId="165">
      <sharedItems containsSemiMixedTypes="0" containsString="0" containsNumber="1" containsInteger="1" minValue="0" maxValue="14160000"/>
    </cacheField>
    <cacheField name="Credit" numFmtId="165">
      <sharedItems containsSemiMixedTypes="0" containsString="0" containsNumber="1" minValue="0" maxValue="33921159.170000002"/>
    </cacheField>
    <cacheField name="Closing" numFmtId="165">
      <sharedItems containsSemiMixedTypes="0" containsString="0" containsNumber="1" minValue="-507408" maxValue="117672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" refreshedDate="46118.519278125001" createdVersion="8" refreshedVersion="8" minRefreshableVersion="3" recordCount="140" xr:uid="{DE32CB73-D66B-4F71-85D3-87BE2C42C37B}">
  <cacheSource type="worksheet">
    <worksheetSource ref="B28:K168" sheet="Drs_Crs"/>
  </cacheSource>
  <cacheFields count="10">
    <cacheField name="Business Verticle" numFmtId="43">
      <sharedItems count="6">
        <s v="Bluestreak"/>
        <s v="Clarus"/>
        <s v="IT"/>
        <s v="Common"/>
        <s v="Export"/>
        <s v="Spices - Vashi"/>
      </sharedItems>
    </cacheField>
    <cacheField name="Opening" numFmtId="165">
      <sharedItems containsSemiMixedTypes="0" containsString="0" containsNumber="1" minValue="-507408" maxValue="38958814"/>
    </cacheField>
    <cacheField name="Debit" numFmtId="165">
      <sharedItems containsSemiMixedTypes="0" containsString="0" containsNumber="1" containsInteger="1" minValue="0" maxValue="14160000"/>
    </cacheField>
    <cacheField name="Credit" numFmtId="165">
      <sharedItems containsSemiMixedTypes="0" containsString="0" containsNumber="1" minValue="0" maxValue="33921159.170000002"/>
    </cacheField>
    <cacheField name="Closing" numFmtId="165">
      <sharedItems containsSemiMixedTypes="0" containsString="0" containsNumber="1" minValue="-507408" maxValue="11767280"/>
    </cacheField>
    <cacheField name="xxx" numFmtId="165">
      <sharedItems containsNonDate="0" containsString="0" containsBlank="1"/>
    </cacheField>
    <cacheField name="Opening YTD" numFmtId="165">
      <sharedItems containsSemiMixedTypes="0" containsString="0" containsNumber="1" minValue="-50000" maxValue="2503883"/>
    </cacheField>
    <cacheField name="Debit YTD" numFmtId="165">
      <sharedItems containsSemiMixedTypes="0" containsString="0" containsNumber="1" minValue="0" maxValue="76132861.510000005"/>
    </cacheField>
    <cacheField name="Credit YTD" numFmtId="165">
      <sharedItems containsSemiMixedTypes="0" containsString="0" containsNumber="1" minValue="0" maxValue="71095206.680000007"/>
    </cacheField>
    <cacheField name="Closing YTD" numFmtId="165">
      <sharedItems containsSemiMixedTypes="0" containsString="0" containsNumber="1" minValue="-507408" maxValue="117672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" refreshedDate="46118.519563657406" createdVersion="8" refreshedVersion="8" minRefreshableVersion="3" recordCount="265" xr:uid="{6BE5E867-4250-4763-95D2-0E25B9FA9A79}">
  <cacheSource type="worksheet">
    <worksheetSource ref="A173:F438" sheet="Drs_Crs"/>
  </cacheSource>
  <cacheFields count="6">
    <cacheField name="Sundry Creditor" numFmtId="43">
      <sharedItems/>
    </cacheField>
    <cacheField name="Business Verticle" numFmtId="43">
      <sharedItems count="5">
        <s v="Common"/>
        <s v="IT"/>
        <s v="Bluestreak"/>
        <s v="Clarus"/>
        <s v="Spices - Vashi"/>
      </sharedItems>
    </cacheField>
    <cacheField name="Opening" numFmtId="165">
      <sharedItems containsSemiMixedTypes="0" containsString="0" containsNumber="1" minValue="-4843178" maxValue="461145"/>
    </cacheField>
    <cacheField name="Debit" numFmtId="165">
      <sharedItems containsSemiMixedTypes="0" containsString="0" containsNumber="1" minValue="0" maxValue="11930100"/>
    </cacheField>
    <cacheField name="Credit" numFmtId="165">
      <sharedItems containsSemiMixedTypes="0" containsString="0" containsNumber="1" minValue="0" maxValue="11930100"/>
    </cacheField>
    <cacheField name="Closing" numFmtId="165">
      <sharedItems containsSemiMixedTypes="0" containsString="0" containsNumber="1" minValue="-2493300" maxValue="21215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" refreshedDate="46118.519802314811" createdVersion="8" refreshedVersion="8" minRefreshableVersion="3" recordCount="265" xr:uid="{7A36473F-09EA-496D-BC11-56E7D0093938}">
  <cacheSource type="worksheet">
    <worksheetSource ref="B173:K438" sheet="Drs_Crs"/>
  </cacheSource>
  <cacheFields count="10">
    <cacheField name="Business Verticle" numFmtId="43">
      <sharedItems count="5">
        <s v="Common"/>
        <s v="IT"/>
        <s v="Bluestreak"/>
        <s v="Clarus"/>
        <s v="Spices - Vashi"/>
      </sharedItems>
    </cacheField>
    <cacheField name="Opening" numFmtId="165">
      <sharedItems containsSemiMixedTypes="0" containsString="0" containsNumber="1" minValue="-4843178" maxValue="461145"/>
    </cacheField>
    <cacheField name="Debit" numFmtId="165">
      <sharedItems containsSemiMixedTypes="0" containsString="0" containsNumber="1" minValue="0" maxValue="11930100"/>
    </cacheField>
    <cacheField name="Credit" numFmtId="165">
      <sharedItems containsSemiMixedTypes="0" containsString="0" containsNumber="1" minValue="0" maxValue="11930100"/>
    </cacheField>
    <cacheField name="Closing" numFmtId="165">
      <sharedItems containsSemiMixedTypes="0" containsString="0" containsNumber="1" minValue="-2493300" maxValue="2121504"/>
    </cacheField>
    <cacheField name="xxx" numFmtId="165">
      <sharedItems containsNonDate="0" containsString="0" containsBlank="1"/>
    </cacheField>
    <cacheField name="Opening YTD" numFmtId="165">
      <sharedItems containsSemiMixedTypes="0" containsString="0" containsNumber="1" minValue="-221250" maxValue="164182.82"/>
    </cacheField>
    <cacheField name="Debit YTD" numFmtId="165">
      <sharedItems containsSemiMixedTypes="0" containsString="0" containsNumber="1" minValue="0" maxValue="35235543"/>
    </cacheField>
    <cacheField name="Credit YTD" numFmtId="165">
      <sharedItems containsSemiMixedTypes="0" containsString="0" containsNumber="1" minValue="0" maxValue="35235543"/>
    </cacheField>
    <cacheField name="Closing YTD" numFmtId="165">
      <sharedItems containsSemiMixedTypes="0" containsString="0" containsNumber="1" minValue="-2493300" maxValue="21215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0">
  <r>
    <n v="1"/>
    <s v="33 x 33, 2 Colour Printed Serviettes Converting"/>
    <s v="Plant &amp; Machinery"/>
    <x v="0"/>
    <x v="0"/>
    <m/>
    <x v="0"/>
    <m/>
    <n v="130956.83"/>
    <n v="0"/>
    <n v="0"/>
    <n v="130956.83"/>
    <m/>
    <n v="130956.83"/>
    <n v="0"/>
    <n v="0"/>
    <n v="130956.83"/>
  </r>
  <r>
    <n v="2"/>
    <s v="420 MM Interfold Box Tissue Converting Machine"/>
    <s v="Plant &amp; Machinery"/>
    <x v="0"/>
    <x v="0"/>
    <m/>
    <x v="0"/>
    <m/>
    <n v="171401.27"/>
    <n v="0"/>
    <n v="0"/>
    <n v="171401.27"/>
    <m/>
    <n v="171401.27"/>
    <n v="0"/>
    <n v="0"/>
    <n v="171401.27"/>
  </r>
  <r>
    <n v="3"/>
    <s v="A to Z Industrial Premises Co-Op Soc Ltd (Society)"/>
    <s v="Security Deposit (A To Z Industrial Estate)"/>
    <x v="1"/>
    <x v="0"/>
    <m/>
    <x v="0"/>
    <m/>
    <n v="684000"/>
    <n v="0"/>
    <n v="0"/>
    <n v="684000"/>
    <m/>
    <n v="684000"/>
    <n v="0"/>
    <n v="0"/>
    <n v="684000"/>
  </r>
  <r>
    <n v="4"/>
    <s v="A.Mangals Marketing"/>
    <s v="Sundry Creditors for (OFFICE)"/>
    <x v="1"/>
    <x v="1"/>
    <m/>
    <x v="1"/>
    <m/>
    <n v="0"/>
    <n v="0"/>
    <n v="0"/>
    <n v="0"/>
    <m/>
    <n v="0"/>
    <n v="0"/>
    <n v="0"/>
    <n v="0"/>
  </r>
  <r>
    <n v="5"/>
    <s v="ABHA PRINTERS &amp; STATIONERS"/>
    <s v="Rajasthan"/>
    <x v="1"/>
    <x v="2"/>
    <m/>
    <x v="2"/>
    <m/>
    <n v="0"/>
    <n v="0"/>
    <n v="0"/>
    <n v="0"/>
    <m/>
    <n v="0"/>
    <n v="0"/>
    <n v="0"/>
    <n v="0"/>
  </r>
  <r>
    <n v="6"/>
    <s v="Abhay Infotech"/>
    <s v="SUNDRY DEBTORS BLUESTREAK - AJAYSIR"/>
    <x v="1"/>
    <x v="2"/>
    <m/>
    <x v="2"/>
    <m/>
    <n v="0"/>
    <n v="0"/>
    <n v="0"/>
    <n v="0"/>
    <m/>
    <n v="0"/>
    <n v="0"/>
    <n v="0"/>
    <n v="0"/>
  </r>
  <r>
    <n v="7"/>
    <s v="Add on Enterprises"/>
    <s v="Legal Case"/>
    <x v="1"/>
    <x v="2"/>
    <m/>
    <x v="2"/>
    <m/>
    <n v="79762.52"/>
    <n v="0"/>
    <n v="0"/>
    <n v="79762.52"/>
    <m/>
    <n v="79762.52"/>
    <n v="0"/>
    <n v="0"/>
    <n v="79762.52"/>
  </r>
  <r>
    <n v="8"/>
    <s v="Aditi Creations"/>
    <s v="Sundry Creditors for (Expenses)"/>
    <x v="1"/>
    <x v="1"/>
    <m/>
    <x v="1"/>
    <m/>
    <n v="-2950"/>
    <n v="2950"/>
    <n v="0"/>
    <n v="0"/>
    <m/>
    <n v="-17847"/>
    <n v="52686.5"/>
    <n v="34839.5"/>
    <n v="0"/>
  </r>
  <r>
    <n v="9"/>
    <s v="ADITYA MEHTA (LOAN A/C)"/>
    <s v="Unsecured Loans"/>
    <x v="0"/>
    <x v="0"/>
    <m/>
    <x v="0"/>
    <m/>
    <n v="0"/>
    <n v="0"/>
    <n v="0"/>
    <n v="0"/>
    <m/>
    <n v="-1905100"/>
    <n v="1905100"/>
    <n v="0"/>
    <n v="0"/>
  </r>
  <r>
    <n v="10"/>
    <s v="Advance Kuldeep Singh"/>
    <s v="STAFF LOAN - OFFICE"/>
    <x v="0"/>
    <x v="0"/>
    <m/>
    <x v="0"/>
    <m/>
    <n v="0"/>
    <n v="0"/>
    <n v="0"/>
    <n v="0"/>
    <m/>
    <n v="0"/>
    <n v="0"/>
    <n v="0"/>
    <n v="0"/>
  </r>
  <r>
    <n v="11"/>
    <s v="Advance Tax (A.Y 2025-26)"/>
    <s v="Tax Advances"/>
    <x v="0"/>
    <x v="0"/>
    <m/>
    <x v="0"/>
    <m/>
    <n v="70000"/>
    <n v="0"/>
    <n v="0"/>
    <n v="70000"/>
    <m/>
    <n v="70000"/>
    <n v="0"/>
    <n v="0"/>
    <n v="70000"/>
  </r>
  <r>
    <n v="12"/>
    <s v="Advance Tax (A.Y. 2008-09)"/>
    <s v="Tax Advances"/>
    <x v="0"/>
    <x v="0"/>
    <m/>
    <x v="0"/>
    <m/>
    <n v="200000"/>
    <n v="0"/>
    <n v="0"/>
    <n v="200000"/>
    <m/>
    <n v="200000"/>
    <n v="0"/>
    <n v="0"/>
    <n v="200000"/>
  </r>
  <r>
    <n v="13"/>
    <s v="Advance Tax (A.Y. 2010-11)"/>
    <s v="Tax Advances"/>
    <x v="0"/>
    <x v="0"/>
    <m/>
    <x v="0"/>
    <m/>
    <n v="139000"/>
    <n v="0"/>
    <n v="0"/>
    <n v="139000"/>
    <m/>
    <n v="139000"/>
    <n v="0"/>
    <n v="0"/>
    <n v="139000"/>
  </r>
  <r>
    <n v="14"/>
    <s v="Advertisement (URD) (Blue Streak)"/>
    <s v="BLUESTREAK (EXPENSES)"/>
    <x v="2"/>
    <x v="3"/>
    <s v="Advertisements costs"/>
    <x v="2"/>
    <m/>
    <n v="0"/>
    <n v="0"/>
    <n v="0"/>
    <n v="0"/>
    <m/>
    <n v="0"/>
    <n v="0"/>
    <n v="0"/>
    <n v="0"/>
  </r>
  <r>
    <n v="15"/>
    <s v="Advertisement (URD) (IT)"/>
    <s v="IT EXPENSE"/>
    <x v="2"/>
    <x v="3"/>
    <s v="Advertisements costs"/>
    <x v="3"/>
    <m/>
    <n v="0"/>
    <n v="0"/>
    <n v="0"/>
    <n v="0"/>
    <m/>
    <n v="0"/>
    <n v="0"/>
    <n v="0"/>
    <n v="0"/>
  </r>
  <r>
    <n v="16"/>
    <s v="Advhika Enterprises"/>
    <s v="JAMMU"/>
    <x v="1"/>
    <x v="2"/>
    <m/>
    <x v="2"/>
    <m/>
    <n v="0"/>
    <n v="0"/>
    <n v="0"/>
    <n v="0"/>
    <m/>
    <n v="0"/>
    <n v="15741"/>
    <n v="15741"/>
    <n v="0"/>
  </r>
  <r>
    <n v="17"/>
    <s v="Agricultural &amp; Processed Food Products Development"/>
    <s v="SUNDRY CREDITORS (EXPORT)"/>
    <x v="1"/>
    <x v="1"/>
    <m/>
    <x v="3"/>
    <m/>
    <n v="0"/>
    <n v="0"/>
    <n v="0"/>
    <n v="0"/>
    <m/>
    <n v="0"/>
    <n v="5900"/>
    <n v="5900"/>
    <n v="0"/>
  </r>
  <r>
    <n v="18"/>
    <s v="Air Conditioner"/>
    <s v="Office Equipment"/>
    <x v="0"/>
    <x v="0"/>
    <m/>
    <x v="0"/>
    <m/>
    <n v="54886.38"/>
    <n v="0"/>
    <n v="0"/>
    <n v="54886.38"/>
    <m/>
    <n v="54886.38"/>
    <n v="0"/>
    <n v="0"/>
    <n v="54886.38"/>
  </r>
  <r>
    <n v="19"/>
    <s v="AZEEM AHMAD MANSOORI"/>
    <s v="Sundry Creditors for (OFFICE)"/>
    <x v="1"/>
    <x v="1"/>
    <m/>
    <x v="1"/>
    <m/>
    <n v="0"/>
    <n v="0"/>
    <n v="0"/>
    <n v="0"/>
    <m/>
    <n v="0"/>
    <n v="124100"/>
    <n v="124100"/>
    <n v="0"/>
  </r>
  <r>
    <n v="19"/>
    <s v="AIR INDIA LIMITED"/>
    <s v="SUNDRY CREDITORS (EXPORT)"/>
    <x v="1"/>
    <x v="1"/>
    <m/>
    <x v="3"/>
    <m/>
    <n v="0"/>
    <n v="0"/>
    <n v="0"/>
    <n v="0"/>
    <m/>
    <n v="0"/>
    <n v="0"/>
    <n v="0"/>
    <n v="0"/>
  </r>
  <r>
    <n v="20"/>
    <s v="AIR INDIA LIMITED (DELHI)"/>
    <s v="SUNDRY CREDITORS (EXPORT)"/>
    <x v="1"/>
    <x v="1"/>
    <m/>
    <x v="3"/>
    <m/>
    <n v="0"/>
    <n v="0"/>
    <n v="0"/>
    <n v="0"/>
    <m/>
    <n v="0"/>
    <n v="0"/>
    <n v="0"/>
    <n v="0"/>
  </r>
  <r>
    <n v="21"/>
    <s v="AIR INDIA LIMITED (KERALA)"/>
    <s v="SUNDRY CREDITORS (EXPORT)"/>
    <x v="1"/>
    <x v="1"/>
    <m/>
    <x v="3"/>
    <m/>
    <n v="0"/>
    <n v="0"/>
    <n v="0"/>
    <n v="0"/>
    <m/>
    <n v="0"/>
    <n v="0"/>
    <n v="0"/>
    <n v="0"/>
  </r>
  <r>
    <n v="22"/>
    <s v="AIR INDIA LIMITED (MAH.)"/>
    <s v="SUNDRY CREDITORS (EXPORT)"/>
    <x v="1"/>
    <x v="1"/>
    <m/>
    <x v="3"/>
    <m/>
    <n v="0"/>
    <n v="0"/>
    <n v="0"/>
    <n v="0"/>
    <m/>
    <n v="0"/>
    <n v="0"/>
    <n v="0"/>
    <n v="0"/>
  </r>
  <r>
    <n v="23"/>
    <s v="AIR TICKET SERVICE CHG GST 18%  (EXPORT)"/>
    <s v="EXPORT (EXPENSE)"/>
    <x v="2"/>
    <x v="3"/>
    <s v="Travelling expenses"/>
    <x v="3"/>
    <m/>
    <n v="0"/>
    <n v="0"/>
    <n v="0"/>
    <n v="0"/>
    <m/>
    <n v="0"/>
    <n v="0"/>
    <n v="0"/>
    <n v="0"/>
  </r>
  <r>
    <n v="24"/>
    <s v="Airdoot India Pvt. Ltd."/>
    <s v="Sundry Creditors for (Expenses)"/>
    <x v="1"/>
    <x v="1"/>
    <m/>
    <x v="1"/>
    <m/>
    <n v="0"/>
    <n v="21714"/>
    <n v="21714"/>
    <n v="0"/>
    <m/>
    <n v="0"/>
    <n v="21714"/>
    <n v="21714"/>
    <n v="0"/>
  </r>
  <r>
    <n v="25"/>
    <s v="AIRTEL  - BHAVESH MEHTA"/>
    <s v="SUNDRY CREDITORS (EXPORT)"/>
    <x v="1"/>
    <x v="1"/>
    <m/>
    <x v="1"/>
    <m/>
    <n v="0"/>
    <n v="1414.82"/>
    <n v="1414.82"/>
    <n v="0"/>
    <m/>
    <n v="-6219.16"/>
    <n v="32293.08"/>
    <n v="26073.919999999998"/>
    <n v="0"/>
  </r>
  <r>
    <n v="26"/>
    <s v="Bharti Airtel Ltd-Vashi"/>
    <s v="SUNDRY CREDITORS (Spice)"/>
    <x v="1"/>
    <x v="1"/>
    <m/>
    <x v="4"/>
    <m/>
    <n v="455.32"/>
    <n v="133.5"/>
    <n v="588.82000000000005"/>
    <n v="0"/>
    <m/>
    <n v="0"/>
    <n v="1633.5"/>
    <n v="1633.5"/>
    <n v="0"/>
  </r>
  <r>
    <n v="26"/>
    <s v="AIRTEL - ATUL MEHTA"/>
    <s v="SUNDRY CREDITORS (EXPORT)"/>
    <x v="1"/>
    <x v="1"/>
    <m/>
    <x v="1"/>
    <m/>
    <n v="0"/>
    <n v="1763"/>
    <n v="1763"/>
    <n v="0"/>
    <m/>
    <n v="-6134"/>
    <n v="69851.23"/>
    <n v="63717.23"/>
    <n v="0"/>
  </r>
  <r>
    <n v="27"/>
    <s v="AIRTEL AJAY MEHTA"/>
    <s v="SUNDRY CREDITORS (EXPORT)"/>
    <x v="1"/>
    <x v="1"/>
    <m/>
    <x v="1"/>
    <m/>
    <n v="0"/>
    <n v="0"/>
    <n v="1295.6400000000001"/>
    <n v="-1295.6400000000001"/>
    <m/>
    <n v="0"/>
    <n v="529.82000000000005"/>
    <n v="1825.46"/>
    <n v="-1295.6400000000001"/>
  </r>
  <r>
    <n v="28"/>
    <s v="Aissa Maritime Pvt Ltd"/>
    <s v="Deposits (Asset)"/>
    <x v="0"/>
    <x v="0"/>
    <m/>
    <x v="0"/>
    <m/>
    <n v="5000"/>
    <n v="0"/>
    <n v="0"/>
    <n v="5000"/>
    <m/>
    <n v="5000"/>
    <n v="0"/>
    <n v="0"/>
    <n v="5000"/>
  </r>
  <r>
    <n v="29"/>
    <s v="AJAY MEHTA (CAR RENTAL)"/>
    <s v="Sundry Creditors for (Expenses)"/>
    <x v="1"/>
    <x v="1"/>
    <m/>
    <x v="1"/>
    <m/>
    <n v="0"/>
    <n v="0"/>
    <n v="0"/>
    <n v="0"/>
    <m/>
    <n v="0"/>
    <n v="0"/>
    <n v="0"/>
    <n v="0"/>
  </r>
  <r>
    <n v="30"/>
    <s v="Ajay Mehta (Loan A/c)"/>
    <s v="Unsecured Loans"/>
    <x v="0"/>
    <x v="0"/>
    <m/>
    <x v="0"/>
    <m/>
    <n v="-94740264.390000001"/>
    <n v="0"/>
    <n v="0"/>
    <n v="-94740264.390000001"/>
    <m/>
    <n v="-102312391.39"/>
    <n v="8281392"/>
    <n v="709265"/>
    <n v="-94740264.390000001"/>
  </r>
  <r>
    <n v="31"/>
    <s v="Alex Enterprises"/>
    <s v="Sundry Creditors for Factory"/>
    <x v="1"/>
    <x v="1"/>
    <m/>
    <x v="1"/>
    <m/>
    <n v="0"/>
    <n v="0"/>
    <n v="0"/>
    <n v="0"/>
    <m/>
    <n v="0"/>
    <n v="0"/>
    <n v="0"/>
    <n v="0"/>
  </r>
  <r>
    <n v="32"/>
    <s v="ALIBABA.COM"/>
    <s v="SUNDRY CREDITORS (EXPORT)"/>
    <x v="1"/>
    <x v="1"/>
    <m/>
    <x v="3"/>
    <m/>
    <n v="0"/>
    <n v="0"/>
    <n v="0"/>
    <n v="0"/>
    <m/>
    <n v="0"/>
    <n v="110979"/>
    <n v="110979"/>
    <n v="0"/>
  </r>
  <r>
    <n v="33"/>
    <s v="Allinfo India Pvt. Ltd."/>
    <s v="SUNDRY CREDITORS (EXPORT)"/>
    <x v="1"/>
    <x v="1"/>
    <m/>
    <x v="3"/>
    <m/>
    <n v="0"/>
    <n v="0"/>
    <n v="0"/>
    <n v="0"/>
    <m/>
    <n v="0"/>
    <n v="0"/>
    <n v="0"/>
    <n v="0"/>
  </r>
  <r>
    <n v="34"/>
    <s v="Alphabet Imaging Technologies Private Limited"/>
    <s v="Sundry Creditors ( Blue Streak )"/>
    <x v="1"/>
    <x v="1"/>
    <m/>
    <x v="2"/>
    <m/>
    <n v="0"/>
    <n v="0"/>
    <n v="0"/>
    <n v="0"/>
    <m/>
    <n v="-221250"/>
    <n v="221250"/>
    <n v="0"/>
    <n v="0"/>
  </r>
  <r>
    <n v="35"/>
    <s v="Aluminium Foil Winding Machine"/>
    <s v="Plant &amp; Machinery"/>
    <x v="0"/>
    <x v="0"/>
    <m/>
    <x v="0"/>
    <m/>
    <n v="21405.96"/>
    <n v="0"/>
    <n v="0"/>
    <n v="21405.96"/>
    <m/>
    <n v="21405.96"/>
    <n v="0"/>
    <n v="0"/>
    <n v="21405.96"/>
  </r>
  <r>
    <n v="36"/>
    <s v="Always Marketing"/>
    <s v="Tamil Nadu"/>
    <x v="1"/>
    <x v="2"/>
    <m/>
    <x v="2"/>
    <m/>
    <n v="0"/>
    <n v="0"/>
    <n v="0"/>
    <n v="0"/>
    <m/>
    <n v="0"/>
    <n v="0"/>
    <n v="0"/>
    <n v="0"/>
  </r>
  <r>
    <n v="37"/>
    <s v="Amba Agencies"/>
    <s v="Sundry Debtor Clarus (Current)"/>
    <x v="1"/>
    <x v="2"/>
    <m/>
    <x v="5"/>
    <m/>
    <n v="0"/>
    <n v="0"/>
    <n v="0"/>
    <n v="0"/>
    <m/>
    <n v="0"/>
    <n v="31288"/>
    <n v="31288"/>
    <n v="0"/>
  </r>
  <r>
    <n v="38"/>
    <s v="Ambrish Typing Institute"/>
    <s v="Madhya Pradesh"/>
    <x v="1"/>
    <x v="2"/>
    <m/>
    <x v="2"/>
    <m/>
    <n v="0"/>
    <n v="0"/>
    <n v="0"/>
    <n v="0"/>
    <m/>
    <n v="0"/>
    <n v="0"/>
    <n v="0"/>
    <n v="0"/>
  </r>
  <r>
    <n v="39"/>
    <s v="AMERICAN EXPRESS CREDIT CARD NO. 379877054832005"/>
    <s v="COMMON EXPENSE"/>
    <x v="1"/>
    <x v="1"/>
    <m/>
    <x v="1"/>
    <m/>
    <n v="0"/>
    <n v="0"/>
    <n v="0"/>
    <n v="0"/>
    <m/>
    <n v="164182.82"/>
    <n v="151904"/>
    <n v="316086.82"/>
    <n v="0"/>
  </r>
  <r>
    <n v="40"/>
    <s v="American Express Credit Card No.-379877054833003"/>
    <s v="COMMON EXPENSE"/>
    <x v="1"/>
    <x v="1"/>
    <m/>
    <x v="1"/>
    <m/>
    <n v="0"/>
    <n v="0"/>
    <n v="0"/>
    <n v="0"/>
    <m/>
    <n v="42199"/>
    <n v="388748"/>
    <n v="430947"/>
    <n v="0"/>
  </r>
  <r>
    <n v="41"/>
    <s v="Amit Jha Loan A/C"/>
    <s v="STAFF LOAN - OFFICE"/>
    <x v="0"/>
    <x v="0"/>
    <m/>
    <x v="0"/>
    <m/>
    <n v="0"/>
    <n v="0"/>
    <n v="0"/>
    <n v="0"/>
    <m/>
    <n v="0"/>
    <n v="0"/>
    <n v="0"/>
    <n v="0"/>
  </r>
  <r>
    <n v="42"/>
    <s v="Analah Venture Partners LLP"/>
    <s v="Share Investment Swiggy Ltd"/>
    <x v="1"/>
    <x v="0"/>
    <m/>
    <x v="6"/>
    <m/>
    <n v="0"/>
    <n v="0"/>
    <n v="0"/>
    <n v="0"/>
    <m/>
    <n v="0"/>
    <n v="0"/>
    <n v="0"/>
    <n v="0"/>
  </r>
  <r>
    <n v="43"/>
    <s v="ANAND RATHI SHARES AND STOCK BROKERS LTD"/>
    <s v="Share Investment Swiggy Ltd"/>
    <x v="1"/>
    <x v="0"/>
    <m/>
    <x v="6"/>
    <m/>
    <n v="-12484.11"/>
    <n v="0"/>
    <n v="0"/>
    <n v="-12484.11"/>
    <m/>
    <n v="0"/>
    <n v="5282157.59"/>
    <n v="5294641.7"/>
    <n v="-12484.11"/>
  </r>
  <r>
    <n v="44"/>
    <s v="Anjali Traders"/>
    <s v="SUNDRY DEBTORS BLUESTREAK - AJAYSIR"/>
    <x v="1"/>
    <x v="2"/>
    <m/>
    <x v="2"/>
    <m/>
    <n v="0"/>
    <n v="0"/>
    <n v="0"/>
    <n v="0"/>
    <m/>
    <n v="0"/>
    <n v="0"/>
    <n v="0"/>
    <n v="0"/>
  </r>
  <r>
    <n v="45"/>
    <s v="ANP Associates"/>
    <s v="Sundry Creditors for (Expenses)"/>
    <x v="1"/>
    <x v="1"/>
    <m/>
    <x v="1"/>
    <m/>
    <n v="0"/>
    <n v="0"/>
    <n v="0"/>
    <n v="0"/>
    <m/>
    <n v="0"/>
    <n v="0"/>
    <n v="0"/>
    <n v="0"/>
  </r>
  <r>
    <n v="46"/>
    <s v="Anshu Printer"/>
    <s v="Chhattishgarh"/>
    <x v="1"/>
    <x v="2"/>
    <m/>
    <x v="2"/>
    <m/>
    <n v="0"/>
    <n v="0"/>
    <n v="0"/>
    <n v="0"/>
    <m/>
    <n v="0"/>
    <n v="0"/>
    <n v="0"/>
    <n v="0"/>
  </r>
  <r>
    <n v="47"/>
    <s v="Apeksha Trading company - adv"/>
    <s v="ADV FROM CUSTOMER"/>
    <x v="0"/>
    <x v="0"/>
    <m/>
    <x v="0"/>
    <m/>
    <n v="-600000"/>
    <n v="0"/>
    <n v="0"/>
    <n v="-600000"/>
    <m/>
    <n v="-600000"/>
    <n v="0"/>
    <n v="0"/>
    <n v="-600000"/>
  </r>
  <r>
    <n v="48"/>
    <s v="APEX ENTERPRISES"/>
    <s v="SUNDRY CREDITORS (EXPORT)"/>
    <x v="1"/>
    <x v="1"/>
    <m/>
    <x v="3"/>
    <m/>
    <n v="0"/>
    <n v="0"/>
    <n v="0"/>
    <n v="0"/>
    <m/>
    <n v="0"/>
    <n v="54908"/>
    <n v="54908"/>
    <n v="0"/>
  </r>
  <r>
    <n v="49"/>
    <s v="Appario Retail Private Limited"/>
    <s v="Sundry Creditors for (Expenses)"/>
    <x v="1"/>
    <x v="1"/>
    <m/>
    <x v="1"/>
    <m/>
    <n v="0"/>
    <n v="0"/>
    <n v="0"/>
    <n v="0"/>
    <m/>
    <n v="0"/>
    <n v="0"/>
    <n v="0"/>
    <n v="0"/>
  </r>
  <r>
    <n v="50"/>
    <s v="APS Infotech"/>
    <s v="SUNDRY CREDITORS (EXPORT)"/>
    <x v="1"/>
    <x v="1"/>
    <m/>
    <x v="3"/>
    <m/>
    <n v="0"/>
    <n v="0"/>
    <n v="0"/>
    <n v="0"/>
    <m/>
    <n v="0"/>
    <n v="0"/>
    <n v="0"/>
    <n v="0"/>
  </r>
  <r>
    <n v="51"/>
    <s v="Aquaguard Water Purifier"/>
    <s v="Office Equipment"/>
    <x v="0"/>
    <x v="0"/>
    <m/>
    <x v="0"/>
    <m/>
    <n v="845.57"/>
    <n v="0"/>
    <n v="0"/>
    <n v="845.57"/>
    <m/>
    <n v="845.57"/>
    <n v="0"/>
    <n v="0"/>
    <n v="845.57"/>
  </r>
  <r>
    <n v="52"/>
    <s v="Arjun Ramanarayanan"/>
    <s v="Sundry Creditors for (Expenses)"/>
    <x v="1"/>
    <x v="1"/>
    <m/>
    <x v="1"/>
    <m/>
    <n v="0"/>
    <n v="0"/>
    <n v="0"/>
    <n v="0"/>
    <m/>
    <n v="0"/>
    <n v="0"/>
    <n v="0"/>
    <n v="0"/>
  </r>
  <r>
    <n v="53"/>
    <s v="ARK Chemicals Pvt Ltd"/>
    <s v="Sundry Creditors ( Clarus )"/>
    <x v="1"/>
    <x v="1"/>
    <m/>
    <x v="5"/>
    <m/>
    <n v="0"/>
    <n v="0"/>
    <n v="0"/>
    <n v="0"/>
    <m/>
    <n v="0"/>
    <n v="0"/>
    <n v="0"/>
    <n v="0"/>
  </r>
  <r>
    <n v="54"/>
    <s v="ARYAN ALLIANCE INDIA PVT. LTD"/>
    <s v="SUNDRY DEBTORS BLUESTREAK - AJAYSIR"/>
    <x v="1"/>
    <x v="2"/>
    <m/>
    <x v="2"/>
    <m/>
    <n v="0"/>
    <n v="0"/>
    <n v="0"/>
    <n v="0"/>
    <m/>
    <n v="0"/>
    <n v="0"/>
    <n v="0"/>
    <n v="0"/>
  </r>
  <r>
    <n v="55"/>
    <s v="Aryan Facilities"/>
    <s v="SUNDRY DEBTORS BLUESTREAK - AJAYSIR"/>
    <x v="1"/>
    <x v="2"/>
    <m/>
    <x v="2"/>
    <m/>
    <n v="0"/>
    <n v="0"/>
    <n v="0"/>
    <n v="0"/>
    <m/>
    <n v="0"/>
    <n v="0"/>
    <n v="0"/>
    <n v="0"/>
  </r>
  <r>
    <n v="56"/>
    <s v="Ashapura Agency"/>
    <s v="Sundry Debtor Clarus (Current)"/>
    <x v="1"/>
    <x v="2"/>
    <m/>
    <x v="5"/>
    <m/>
    <n v="0"/>
    <n v="0"/>
    <n v="0"/>
    <n v="0"/>
    <m/>
    <n v="0"/>
    <n v="21902"/>
    <n v="21902"/>
    <n v="0"/>
  </r>
  <r>
    <n v="57"/>
    <s v="Assessment Due MVAT 2014-2015"/>
    <s v="Tax Advances"/>
    <x v="0"/>
    <x v="0"/>
    <m/>
    <x v="0"/>
    <m/>
    <n v="463"/>
    <n v="0"/>
    <n v="0"/>
    <n v="463"/>
    <m/>
    <n v="463"/>
    <n v="0"/>
    <n v="0"/>
    <n v="463"/>
  </r>
  <r>
    <n v="58"/>
    <s v="Assessment Dues KVAT 2012-13"/>
    <s v="Tax Advances"/>
    <x v="0"/>
    <x v="0"/>
    <m/>
    <x v="0"/>
    <m/>
    <n v="9523"/>
    <n v="0"/>
    <n v="0"/>
    <n v="9523"/>
    <m/>
    <n v="9523"/>
    <n v="0"/>
    <n v="0"/>
    <n v="9523"/>
  </r>
  <r>
    <n v="59"/>
    <s v="Assessment Dues MVAT 2012-13"/>
    <s v="Tax Advances"/>
    <x v="0"/>
    <x v="0"/>
    <m/>
    <x v="0"/>
    <m/>
    <n v="7683"/>
    <n v="0"/>
    <n v="0"/>
    <n v="7683"/>
    <m/>
    <n v="7683"/>
    <n v="0"/>
    <n v="0"/>
    <n v="7683"/>
  </r>
  <r>
    <n v="60"/>
    <s v="Atul Mehta (Loan A/c)"/>
    <s v="Loans &amp; Advances (Asset)"/>
    <x v="0"/>
    <x v="0"/>
    <m/>
    <x v="0"/>
    <m/>
    <n v="0"/>
    <n v="0"/>
    <n v="0"/>
    <n v="0"/>
    <m/>
    <n v="0"/>
    <n v="0"/>
    <n v="0"/>
    <n v="0"/>
  </r>
  <r>
    <n v="61"/>
    <s v="Auto Direct Heat Sealing Machine"/>
    <s v="Plant &amp; Machinery"/>
    <x v="0"/>
    <x v="0"/>
    <m/>
    <x v="0"/>
    <m/>
    <n v="1283.76"/>
    <n v="0"/>
    <n v="0"/>
    <n v="1283.76"/>
    <m/>
    <n v="1283.76"/>
    <n v="0"/>
    <n v="0"/>
    <n v="1283.76"/>
  </r>
  <r>
    <n v="62"/>
    <s v="Axis Bank Credit Card 4152"/>
    <s v="COMMON EXPENSE"/>
    <x v="1"/>
    <x v="1"/>
    <m/>
    <x v="1"/>
    <m/>
    <n v="0"/>
    <n v="0"/>
    <n v="0"/>
    <n v="0"/>
    <m/>
    <n v="0"/>
    <n v="0"/>
    <n v="0"/>
    <n v="0"/>
  </r>
  <r>
    <n v="63"/>
    <s v="Axis bank HORIZON Credit Card 5498 5205 1223 2211"/>
    <s v="Sundry Creditors for (Expenses)"/>
    <x v="1"/>
    <x v="1"/>
    <m/>
    <x v="1"/>
    <m/>
    <n v="0"/>
    <n v="0"/>
    <n v="0"/>
    <n v="0"/>
    <m/>
    <n v="0"/>
    <n v="0"/>
    <n v="0"/>
    <n v="0"/>
  </r>
  <r>
    <n v="64"/>
    <s v="Axis Bank Ltd Credit Card No. 5334670023248285"/>
    <s v="Sundry Creditors for (Expenses)"/>
    <x v="1"/>
    <x v="1"/>
    <m/>
    <x v="1"/>
    <m/>
    <n v="-1000"/>
    <n v="0"/>
    <n v="0"/>
    <n v="-1000"/>
    <m/>
    <n v="-960.98"/>
    <n v="16522"/>
    <n v="16561.02"/>
    <n v="-1000"/>
  </r>
  <r>
    <n v="65"/>
    <s v="Axis Bank Ltd Credit Card No. 6530 4700 0565 2004"/>
    <s v="Sundry Creditors for (Expenses)"/>
    <x v="1"/>
    <x v="1"/>
    <m/>
    <x v="1"/>
    <m/>
    <n v="0"/>
    <n v="0"/>
    <n v="0"/>
    <n v="0"/>
    <m/>
    <n v="0"/>
    <n v="0"/>
    <n v="0"/>
    <n v="0"/>
  </r>
  <r>
    <n v="66"/>
    <s v="Aznelle Naturals Private Limited"/>
    <s v="Sundry Debtor Clarus (Current)"/>
    <x v="1"/>
    <x v="2"/>
    <m/>
    <x v="5"/>
    <m/>
    <n v="-229554.44"/>
    <n v="5000"/>
    <n v="38553"/>
    <n v="-263107.44"/>
    <m/>
    <n v="0"/>
    <n v="136962"/>
    <n v="400069.44"/>
    <n v="-263107.44"/>
  </r>
  <r>
    <n v="67"/>
    <s v="B.V.Dalal &amp; Co."/>
    <s v="Sundry Creditors for (Expenses)"/>
    <x v="1"/>
    <x v="1"/>
    <m/>
    <x v="1"/>
    <m/>
    <n v="-54000"/>
    <n v="0"/>
    <n v="0"/>
    <n v="-54000"/>
    <m/>
    <n v="-54000"/>
    <n v="281600"/>
    <n v="281600"/>
    <n v="-54000"/>
  </r>
  <r>
    <n v="68"/>
    <s v="Bagging And Sealiing Machine"/>
    <s v="Plant &amp; Machinery"/>
    <x v="0"/>
    <x v="0"/>
    <m/>
    <x v="0"/>
    <m/>
    <n v="249345.9"/>
    <n v="0"/>
    <n v="0"/>
    <n v="249345.9"/>
    <m/>
    <n v="249345.9"/>
    <n v="0"/>
    <n v="0"/>
    <n v="249345.9"/>
  </r>
  <r>
    <n v="69"/>
    <s v="Repair &amp; Maintenance - 18% (Office)"/>
    <s v="OFFICE EXPENSE"/>
    <x v="2"/>
    <x v="3"/>
    <s v="Repairs &amp; maintenance expenses"/>
    <x v="1"/>
    <m/>
    <n v="0"/>
    <n v="0"/>
    <n v="0"/>
    <n v="0"/>
    <m/>
    <n v="0"/>
    <n v="29500"/>
    <n v="0"/>
    <n v="29500"/>
  </r>
  <r>
    <n v="69"/>
    <s v="BAJAJ ALLIANZ GENRAL INSURANCE COMPANY LTD"/>
    <s v="SUNDRY CREDITORS (EXPORT)"/>
    <x v="1"/>
    <x v="1"/>
    <m/>
    <x v="1"/>
    <m/>
    <n v="0"/>
    <n v="17509"/>
    <n v="17509"/>
    <n v="0"/>
    <m/>
    <n v="-112576"/>
    <n v="423303"/>
    <n v="310727"/>
    <n v="0"/>
  </r>
  <r>
    <n v="70"/>
    <s v="Band Saw Style Cutting Machine"/>
    <s v="Plant &amp; Machinery"/>
    <x v="0"/>
    <x v="0"/>
    <m/>
    <x v="0"/>
    <m/>
    <n v="90672.54"/>
    <n v="0"/>
    <n v="0"/>
    <n v="90672.54"/>
    <m/>
    <n v="90672.54"/>
    <n v="0"/>
    <n v="0"/>
    <n v="90672.54"/>
  </r>
  <r>
    <n v="71"/>
    <s v="BANK CHARGES"/>
    <s v="COMMON EXPENSE"/>
    <x v="2"/>
    <x v="3"/>
    <s v="Bank charges"/>
    <x v="1"/>
    <m/>
    <n v="0"/>
    <n v="24.32"/>
    <n v="0"/>
    <n v="24.32"/>
    <m/>
    <n v="0"/>
    <n v="6010.68"/>
    <n v="0"/>
    <n v="6010.68"/>
  </r>
  <r>
    <n v="72"/>
    <s v="BANK CHARGES 18%"/>
    <s v="COMMON EXPENSE"/>
    <x v="2"/>
    <x v="3"/>
    <s v="Bank charges"/>
    <x v="1"/>
    <m/>
    <n v="0"/>
    <n v="600"/>
    <n v="0"/>
    <n v="600"/>
    <m/>
    <n v="0"/>
    <n v="1248"/>
    <n v="0"/>
    <n v="1248"/>
  </r>
  <r>
    <n v="73"/>
    <s v="Bank Charges URD"/>
    <s v="COMMON EXPENSE"/>
    <x v="2"/>
    <x v="3"/>
    <s v="Bank charges"/>
    <x v="1"/>
    <m/>
    <n v="0"/>
    <n v="0"/>
    <n v="0"/>
    <n v="0"/>
    <m/>
    <n v="0"/>
    <n v="0"/>
    <n v="0"/>
    <n v="0"/>
  </r>
  <r>
    <n v="74"/>
    <s v="BANK CHARGES(EXPORT)"/>
    <s v="EXPORT (EXPENSE)"/>
    <x v="2"/>
    <x v="3"/>
    <s v="Bank charges"/>
    <x v="3"/>
    <m/>
    <n v="0"/>
    <n v="600"/>
    <n v="0"/>
    <n v="600"/>
    <m/>
    <n v="0"/>
    <n v="600"/>
    <n v="0"/>
    <n v="600"/>
  </r>
  <r>
    <n v="75"/>
    <s v="BANK CHG GST 18% (EXPORT)"/>
    <s v="EXPORT (EXPENSE)"/>
    <x v="2"/>
    <x v="3"/>
    <s v="Bank charges"/>
    <x v="3"/>
    <m/>
    <n v="0"/>
    <n v="0"/>
    <n v="0"/>
    <n v="0"/>
    <m/>
    <n v="0"/>
    <n v="2050"/>
    <n v="0"/>
    <n v="2050"/>
  </r>
  <r>
    <n v="76"/>
    <s v="Bank Service - BMC"/>
    <s v="Sundry Creditors for (Expenses)"/>
    <x v="1"/>
    <x v="1"/>
    <m/>
    <x v="1"/>
    <m/>
    <n v="0"/>
    <n v="0"/>
    <n v="0"/>
    <n v="0"/>
    <m/>
    <n v="0"/>
    <n v="0"/>
    <n v="0"/>
    <n v="0"/>
  </r>
  <r>
    <n v="77"/>
    <s v="Bank Service - ICICI"/>
    <s v="Sundry Creditors for (Expenses)"/>
    <x v="1"/>
    <x v="1"/>
    <m/>
    <x v="1"/>
    <m/>
    <n v="0"/>
    <n v="0"/>
    <n v="0"/>
    <n v="0"/>
    <m/>
    <n v="0"/>
    <n v="118"/>
    <n v="118"/>
    <n v="0"/>
  </r>
  <r>
    <n v="78"/>
    <s v="Basic Pay - Bluestreak"/>
    <s v="Salary &amp; Wages - Bluestreak"/>
    <x v="2"/>
    <x v="3"/>
    <s v="Salary &amp; wages"/>
    <x v="2"/>
    <m/>
    <n v="0"/>
    <n v="0"/>
    <n v="0"/>
    <n v="0"/>
    <m/>
    <n v="0"/>
    <n v="0"/>
    <n v="0"/>
    <n v="0"/>
  </r>
  <r>
    <n v="79"/>
    <s v="Basic Pay - Factory"/>
    <s v="Salary &amp; Wages - Factory"/>
    <x v="2"/>
    <x v="3"/>
    <s v="Salary &amp; wages"/>
    <x v="1"/>
    <m/>
    <n v="0"/>
    <n v="14775"/>
    <n v="0"/>
    <n v="14775"/>
    <m/>
    <n v="0"/>
    <n v="151973"/>
    <n v="0"/>
    <n v="151973"/>
  </r>
  <r>
    <n v="80"/>
    <s v="Basic Pay - Office"/>
    <s v="Salary &amp; Wages - Office"/>
    <x v="2"/>
    <x v="3"/>
    <s v="Salary &amp; wages"/>
    <x v="1"/>
    <m/>
    <n v="0"/>
    <n v="85298"/>
    <n v="0"/>
    <n v="85298"/>
    <m/>
    <n v="0"/>
    <n v="926355"/>
    <n v="0"/>
    <n v="926355"/>
  </r>
  <r>
    <n v="81"/>
    <s v="Basic Pay-Clarus"/>
    <s v="Salary &amp; Wages - Clarus"/>
    <x v="2"/>
    <x v="3"/>
    <s v="Salary &amp; wages"/>
    <x v="5"/>
    <m/>
    <n v="0"/>
    <n v="0"/>
    <n v="0"/>
    <n v="0"/>
    <m/>
    <n v="0"/>
    <n v="46500"/>
    <n v="0"/>
    <n v="46500"/>
  </r>
  <r>
    <n v="82"/>
    <s v="Battery Zone"/>
    <s v="Sundry Creditors for Factory"/>
    <x v="1"/>
    <x v="1"/>
    <m/>
    <x v="1"/>
    <m/>
    <n v="0"/>
    <n v="0"/>
    <n v="0"/>
    <n v="0"/>
    <m/>
    <n v="0"/>
    <n v="0"/>
    <n v="0"/>
    <n v="0"/>
  </r>
  <r>
    <n v="83"/>
    <s v="Beriwal Computers &amp; Mobile"/>
    <s v="Chhattishgarh"/>
    <x v="1"/>
    <x v="2"/>
    <m/>
    <x v="2"/>
    <m/>
    <n v="0"/>
    <n v="0"/>
    <n v="0"/>
    <n v="0"/>
    <m/>
    <n v="0"/>
    <n v="0"/>
    <n v="0"/>
    <n v="0"/>
  </r>
  <r>
    <n v="84"/>
    <s v="Bhagwandas Sons"/>
    <s v="Sundry Debtor Clarus"/>
    <x v="1"/>
    <x v="2"/>
    <m/>
    <x v="5"/>
    <m/>
    <n v="0"/>
    <n v="0"/>
    <n v="0"/>
    <n v="0"/>
    <m/>
    <n v="0"/>
    <n v="21902"/>
    <n v="21902"/>
    <n v="0"/>
  </r>
  <r>
    <n v="85"/>
    <s v="Bhagyalaxmi Enterprises"/>
    <s v="Telangana"/>
    <x v="1"/>
    <x v="2"/>
    <m/>
    <x v="2"/>
    <m/>
    <n v="0"/>
    <n v="0"/>
    <n v="0"/>
    <n v="0"/>
    <m/>
    <n v="0"/>
    <n v="0"/>
    <n v="0"/>
    <n v="0"/>
  </r>
  <r>
    <n v="86"/>
    <s v="Bharat Agencies"/>
    <s v="Sundry Debtor Clarus"/>
    <x v="1"/>
    <x v="2"/>
    <m/>
    <x v="5"/>
    <m/>
    <n v="0"/>
    <n v="0"/>
    <n v="0"/>
    <n v="0"/>
    <m/>
    <n v="0"/>
    <n v="15644"/>
    <n v="15644"/>
    <n v="0"/>
  </r>
  <r>
    <n v="87"/>
    <s v="Bharti Airtel Limited"/>
    <s v="Sundry Creditors for (Expenses)"/>
    <x v="1"/>
    <x v="1"/>
    <m/>
    <x v="1"/>
    <m/>
    <n v="0"/>
    <n v="1295.6400000000001"/>
    <n v="0"/>
    <n v="1295.6400000000001"/>
    <m/>
    <n v="-1606.45"/>
    <n v="12948.34"/>
    <n v="10046.25"/>
    <n v="1295.6400000000001"/>
  </r>
  <r>
    <n v="88"/>
    <s v="Bhavesh P Mhatre"/>
    <s v="Sundry Creditors (Transports/Logistics)"/>
    <x v="1"/>
    <x v="1"/>
    <m/>
    <x v="1"/>
    <m/>
    <n v="0"/>
    <n v="0"/>
    <n v="0"/>
    <n v="0"/>
    <m/>
    <n v="0"/>
    <n v="0"/>
    <n v="0"/>
    <n v="0"/>
  </r>
  <r>
    <n v="89"/>
    <s v="Bicnet Infoservices Pvt. Ltd."/>
    <s v="Sundry Creditors for (Expenses)"/>
    <x v="1"/>
    <x v="1"/>
    <m/>
    <x v="1"/>
    <m/>
    <n v="0"/>
    <n v="0"/>
    <n v="0"/>
    <n v="0"/>
    <m/>
    <n v="0"/>
    <n v="0"/>
    <n v="0"/>
    <n v="0"/>
  </r>
  <r>
    <n v="90"/>
    <s v="Bikes"/>
    <s v="Vehicles"/>
    <x v="0"/>
    <x v="0"/>
    <m/>
    <x v="0"/>
    <m/>
    <n v="1349.97"/>
    <n v="0"/>
    <n v="0"/>
    <n v="1349.97"/>
    <m/>
    <n v="1349.97"/>
    <n v="0"/>
    <n v="0"/>
    <n v="1349.97"/>
  </r>
  <r>
    <n v="91"/>
    <s v="Bio Time-3 (Full Loaded) with Adaptor"/>
    <s v="Office Equipment"/>
    <x v="0"/>
    <x v="0"/>
    <m/>
    <x v="0"/>
    <m/>
    <n v="1543.7"/>
    <n v="0"/>
    <n v="0"/>
    <n v="1543.7"/>
    <m/>
    <n v="1543.7"/>
    <n v="0"/>
    <n v="0"/>
    <n v="1543.7"/>
  </r>
  <r>
    <n v="92"/>
    <s v="Biomax Attendance Machine"/>
    <s v="Office Equipment"/>
    <x v="0"/>
    <x v="0"/>
    <m/>
    <x v="0"/>
    <m/>
    <n v="32161.02"/>
    <n v="0"/>
    <n v="0"/>
    <n v="32161.02"/>
    <m/>
    <n v="14161.02"/>
    <n v="18000"/>
    <n v="0"/>
    <n v="32161.02"/>
  </r>
  <r>
    <n v="93"/>
    <s v="BL PROCESS CHARGES-FRT"/>
    <s v="EXPORT (EXPENSE)"/>
    <x v="2"/>
    <x v="4"/>
    <s v="Port Expenses"/>
    <x v="3"/>
    <m/>
    <n v="0"/>
    <n v="0"/>
    <n v="0"/>
    <n v="0"/>
    <m/>
    <n v="0"/>
    <n v="9000"/>
    <n v="0"/>
    <n v="9000"/>
  </r>
  <r>
    <n v="94"/>
    <s v="Blink Technologies FZCO"/>
    <s v="Export"/>
    <x v="1"/>
    <x v="2"/>
    <m/>
    <x v="3"/>
    <m/>
    <n v="38958814"/>
    <n v="0"/>
    <n v="33921159.170000002"/>
    <n v="5037654.83"/>
    <m/>
    <n v="0"/>
    <n v="76132861.510000005"/>
    <n v="71095206.680000007"/>
    <n v="5037654.83"/>
  </r>
  <r>
    <n v="95"/>
    <s v="Bombay Mercantile Co.Op.Bank Ltd."/>
    <s v="Bank OD A/c"/>
    <x v="0"/>
    <x v="0"/>
    <m/>
    <x v="0"/>
    <m/>
    <n v="0"/>
    <n v="0"/>
    <n v="0"/>
    <n v="0"/>
    <m/>
    <n v="90635.25"/>
    <n v="64599"/>
    <n v="155234.25"/>
    <n v="0"/>
  </r>
  <r>
    <n v="96"/>
    <s v="Brew Lab Enterprises"/>
    <s v="Sundry Creditors for (Expenses)"/>
    <x v="1"/>
    <x v="1"/>
    <m/>
    <x v="1"/>
    <m/>
    <n v="0"/>
    <n v="0"/>
    <n v="0"/>
    <n v="0"/>
    <m/>
    <n v="0"/>
    <n v="525"/>
    <n v="525"/>
    <n v="0"/>
  </r>
  <r>
    <n v="97"/>
    <s v="Brokerage"/>
    <s v="SHARE EXPENSE"/>
    <x v="2"/>
    <x v="3"/>
    <s v="Brokerage and commission"/>
    <x v="6"/>
    <m/>
    <n v="0"/>
    <n v="0"/>
    <n v="0"/>
    <n v="0"/>
    <m/>
    <n v="0"/>
    <n v="0"/>
    <n v="0"/>
    <n v="0"/>
  </r>
  <r>
    <n v="98"/>
    <s v="Business Development Expenses"/>
    <s v="COMMON EXPENSE"/>
    <x v="2"/>
    <x v="3"/>
    <s v="Bussiness Development costs"/>
    <x v="1"/>
    <m/>
    <n v="0"/>
    <n v="0"/>
    <n v="0"/>
    <n v="0"/>
    <m/>
    <n v="0"/>
    <n v="861"/>
    <n v="0"/>
    <n v="861"/>
  </r>
  <r>
    <n v="99"/>
    <s v="BUSINESS DEVLOPEMENT (IT)"/>
    <s v="EXPORT (EXPENSE)"/>
    <x v="2"/>
    <x v="3"/>
    <s v="Bussiness Development costs"/>
    <x v="3"/>
    <m/>
    <n v="0"/>
    <n v="0"/>
    <n v="0"/>
    <n v="0"/>
    <m/>
    <n v="0"/>
    <n v="164200.82"/>
    <n v="0"/>
    <n v="164200.82"/>
  </r>
  <r>
    <n v="100"/>
    <s v="Buzz Retail India Pvt Ltd"/>
    <s v="Sundry Creditors for (Expenses)"/>
    <x v="1"/>
    <x v="1"/>
    <m/>
    <x v="1"/>
    <m/>
    <n v="0"/>
    <n v="0"/>
    <n v="0"/>
    <n v="0"/>
    <m/>
    <n v="0"/>
    <n v="0"/>
    <n v="0"/>
    <n v="0"/>
  </r>
  <r>
    <n v="101"/>
    <s v="Cabletronics"/>
    <s v="Rest of Maharashtra"/>
    <x v="1"/>
    <x v="2"/>
    <m/>
    <x v="2"/>
    <m/>
    <n v="-1768"/>
    <n v="0"/>
    <n v="0"/>
    <n v="-1768"/>
    <m/>
    <n v="164376"/>
    <n v="247191"/>
    <n v="413335"/>
    <n v="-1768"/>
  </r>
  <r>
    <n v="102"/>
    <s v="Cancellation Charges ( Export )"/>
    <s v="EXPORT (EXPENSE)"/>
    <x v="2"/>
    <x v="3"/>
    <s v="Export charges"/>
    <x v="3"/>
    <m/>
    <n v="0"/>
    <n v="0"/>
    <n v="0"/>
    <n v="0"/>
    <m/>
    <n v="0"/>
    <n v="0"/>
    <n v="0"/>
    <n v="0"/>
  </r>
  <r>
    <n v="103"/>
    <s v="Canon LBP 2900 Laser Printer"/>
    <s v="Plant &amp; Machinery"/>
    <x v="0"/>
    <x v="0"/>
    <m/>
    <x v="0"/>
    <m/>
    <n v="24998.21"/>
    <n v="0"/>
    <n v="0"/>
    <n v="24998.21"/>
    <m/>
    <n v="24998.21"/>
    <n v="0"/>
    <n v="0"/>
    <n v="24998.21"/>
  </r>
  <r>
    <n v="104"/>
    <s v="Capital Loss"/>
    <s v="Indirect Incomes"/>
    <x v="2"/>
    <x v="5"/>
    <s v="Capital Loss"/>
    <x v="6"/>
    <m/>
    <n v="0"/>
    <n v="0"/>
    <n v="0"/>
    <n v="0"/>
    <m/>
    <n v="0"/>
    <n v="711054.97"/>
    <n v="0"/>
    <n v="711054.97"/>
  </r>
  <r>
    <n v="105"/>
    <s v="CAR INSURANCE (AJAY SIR)"/>
    <s v="OFFICE EXPENSE"/>
    <x v="2"/>
    <x v="3"/>
    <s v="Insurance expenses"/>
    <x v="1"/>
    <m/>
    <n v="0"/>
    <n v="0"/>
    <n v="0"/>
    <n v="0"/>
    <m/>
    <n v="0"/>
    <n v="27643"/>
    <n v="0"/>
    <n v="27643"/>
  </r>
  <r>
    <n v="106"/>
    <s v="CAR INSURANCE (EXPORT)"/>
    <s v="EXPORT (EXPENSE)"/>
    <x v="2"/>
    <x v="3"/>
    <s v="Insurance expenses"/>
    <x v="1"/>
    <m/>
    <n v="0"/>
    <n v="0"/>
    <n v="0"/>
    <n v="0"/>
    <m/>
    <n v="0"/>
    <n v="0"/>
    <n v="0"/>
    <n v="0"/>
  </r>
  <r>
    <n v="107"/>
    <s v="CAR ON RENT"/>
    <s v="COMMON EXPENSE"/>
    <x v="2"/>
    <x v="3"/>
    <s v="Rent expenses"/>
    <x v="1"/>
    <m/>
    <n v="0"/>
    <n v="0"/>
    <n v="0"/>
    <n v="0"/>
    <m/>
    <n v="0"/>
    <n v="0"/>
    <n v="0"/>
    <n v="0"/>
  </r>
  <r>
    <n v="108"/>
    <s v="Car Parking Charges"/>
    <s v="COMMON EXPENSE"/>
    <x v="2"/>
    <x v="3"/>
    <s v="Misc Expenses"/>
    <x v="1"/>
    <m/>
    <n v="0"/>
    <n v="0"/>
    <n v="0"/>
    <n v="0"/>
    <m/>
    <n v="0"/>
    <n v="22500"/>
    <n v="0"/>
    <n v="22500"/>
  </r>
  <r>
    <n v="109"/>
    <s v="Car Purchase"/>
    <s v="Vehicles"/>
    <x v="0"/>
    <x v="0"/>
    <m/>
    <x v="0"/>
    <m/>
    <n v="1335292.31"/>
    <n v="0"/>
    <n v="0"/>
    <n v="1335292.31"/>
    <m/>
    <n v="1335292.31"/>
    <n v="0"/>
    <n v="0"/>
    <n v="1335292.31"/>
  </r>
  <r>
    <n v="110"/>
    <s v="CARAVAN FREIGHT CARRIER PVT LTD"/>
    <s v="SUNDRY CREDITORS (EXPORT)"/>
    <x v="1"/>
    <x v="1"/>
    <m/>
    <x v="3"/>
    <m/>
    <n v="-123480"/>
    <n v="123480"/>
    <n v="0"/>
    <n v="0"/>
    <m/>
    <n v="0"/>
    <n v="492002"/>
    <n v="492002"/>
    <n v="0"/>
  </r>
  <r>
    <n v="111"/>
    <s v="Carriage Inward (Local) GST"/>
    <s v="COMMON EXPENSE"/>
    <x v="2"/>
    <x v="4"/>
    <s v="Loading &amp; Unloading charges"/>
    <x v="1"/>
    <m/>
    <n v="0"/>
    <n v="0"/>
    <n v="0"/>
    <n v="0"/>
    <m/>
    <n v="0"/>
    <n v="0"/>
    <n v="0"/>
    <n v="0"/>
  </r>
  <r>
    <n v="112"/>
    <s v="Carriage Inward (URD)"/>
    <s v="COMMON EXPENSE"/>
    <x v="2"/>
    <x v="4"/>
    <s v="Loading &amp; Unloading charges"/>
    <x v="1"/>
    <m/>
    <n v="0"/>
    <n v="18510"/>
    <n v="0"/>
    <n v="18510"/>
    <m/>
    <n v="0"/>
    <n v="60190"/>
    <n v="0"/>
    <n v="60190"/>
  </r>
  <r>
    <n v="113"/>
    <s v="Cash"/>
    <s v="Cash-in-Hand"/>
    <x v="0"/>
    <x v="0"/>
    <m/>
    <x v="0"/>
    <m/>
    <n v="0"/>
    <n v="0"/>
    <n v="0"/>
    <n v="0"/>
    <m/>
    <n v="0"/>
    <n v="0"/>
    <n v="0"/>
    <n v="0"/>
  </r>
  <r>
    <n v="114"/>
    <s v="CASTROL INDIA LTD."/>
    <s v="Share Investment Anand Rathi"/>
    <x v="0"/>
    <x v="0"/>
    <m/>
    <x v="0"/>
    <m/>
    <n v="0"/>
    <n v="0"/>
    <n v="0"/>
    <n v="0"/>
    <m/>
    <n v="264564.13"/>
    <n v="250.96"/>
    <n v="264815.09000000003"/>
    <n v="0"/>
  </r>
  <r>
    <n v="115"/>
    <s v="CATHAY PACIFIC AIRWAYS LTD."/>
    <s v="SUNDRY CREDITORS (EXPORT)"/>
    <x v="1"/>
    <x v="1"/>
    <m/>
    <x v="3"/>
    <m/>
    <n v="0"/>
    <n v="0"/>
    <n v="0"/>
    <n v="0"/>
    <m/>
    <n v="0"/>
    <n v="0"/>
    <n v="0"/>
    <n v="0"/>
  </r>
  <r>
    <n v="116"/>
    <s v="CCL PRODUCTS INDIA LTD"/>
    <s v="Sundry Creditors for (Expenses)"/>
    <x v="1"/>
    <x v="1"/>
    <m/>
    <x v="1"/>
    <m/>
    <n v="0"/>
    <n v="0"/>
    <n v="0"/>
    <n v="0"/>
    <m/>
    <n v="0"/>
    <n v="796"/>
    <n v="796"/>
    <n v="0"/>
  </r>
  <r>
    <n v="117"/>
    <s v="CCTV Camera"/>
    <s v="Office Equipment"/>
    <x v="0"/>
    <x v="0"/>
    <m/>
    <x v="0"/>
    <m/>
    <n v="69226.13"/>
    <n v="0"/>
    <n v="0"/>
    <n v="69226.13"/>
    <m/>
    <n v="69226.13"/>
    <n v="0"/>
    <n v="0"/>
    <n v="69226.13"/>
  </r>
  <r>
    <n v="118"/>
    <s v="CFS CHARGE"/>
    <s v="EXPORT (EXPENSE)"/>
    <x v="2"/>
    <x v="4"/>
    <s v="Freight &amp; Shipping charges"/>
    <x v="3"/>
    <m/>
    <n v="0"/>
    <n v="0"/>
    <n v="0"/>
    <n v="0"/>
    <m/>
    <n v="0"/>
    <n v="0"/>
    <n v="0"/>
    <n v="0"/>
  </r>
  <r>
    <n v="119"/>
    <s v="CFS CHARGE-CHA"/>
    <s v="EXPORT (EXPENSE)"/>
    <x v="2"/>
    <x v="4"/>
    <s v="Freight &amp; Shipping charges"/>
    <x v="3"/>
    <m/>
    <n v="0"/>
    <n v="0"/>
    <n v="0"/>
    <n v="0"/>
    <m/>
    <n v="0"/>
    <n v="0"/>
    <n v="0"/>
    <n v="0"/>
  </r>
  <r>
    <n v="120"/>
    <s v="CGST 14%"/>
    <s v="GST Payable"/>
    <x v="0"/>
    <x v="0"/>
    <m/>
    <x v="0"/>
    <m/>
    <n v="0"/>
    <n v="0"/>
    <n v="0"/>
    <n v="0"/>
    <m/>
    <n v="0"/>
    <n v="0"/>
    <n v="0"/>
    <n v="0"/>
  </r>
  <r>
    <n v="121"/>
    <s v="CGST 2.5%"/>
    <s v="GST Payable"/>
    <x v="0"/>
    <x v="0"/>
    <m/>
    <x v="0"/>
    <m/>
    <n v="348252.15999999997"/>
    <n v="324787.86"/>
    <n v="0"/>
    <n v="673040.02"/>
    <m/>
    <n v="0"/>
    <n v="673040.02"/>
    <n v="0"/>
    <n v="673040.02"/>
  </r>
  <r>
    <n v="122"/>
    <s v="CGST 6%"/>
    <s v="GST Payable"/>
    <x v="0"/>
    <x v="0"/>
    <m/>
    <x v="0"/>
    <m/>
    <n v="-1329.9"/>
    <n v="54"/>
    <n v="0"/>
    <n v="-1275.9000000000001"/>
    <m/>
    <n v="0"/>
    <n v="3304.5"/>
    <n v="4580.3999999999996"/>
    <n v="-1275.9000000000001"/>
  </r>
  <r>
    <n v="123"/>
    <s v="CGST 9%"/>
    <s v="GST Payable"/>
    <x v="0"/>
    <x v="0"/>
    <m/>
    <x v="0"/>
    <m/>
    <n v="366374.3"/>
    <n v="400024"/>
    <n v="1847559.12"/>
    <n v="-1081160.82"/>
    <m/>
    <n v="-291695"/>
    <n v="1373346.85"/>
    <n v="2162812.67"/>
    <n v="-1081160.82"/>
  </r>
  <r>
    <n v="124"/>
    <s v="CGST PAYABLE UNDER RCM"/>
    <s v="Reverse Charges Mechanisam"/>
    <x v="0"/>
    <x v="0"/>
    <m/>
    <x v="0"/>
    <m/>
    <n v="0"/>
    <n v="1500"/>
    <n v="0"/>
    <n v="1500"/>
    <m/>
    <n v="-540"/>
    <n v="3178"/>
    <n v="1138"/>
    <n v="1500"/>
  </r>
  <r>
    <n v="125"/>
    <s v="Chandresh Kishore Shah"/>
    <s v="ADV FROM CUSTOMER"/>
    <x v="0"/>
    <x v="0"/>
    <m/>
    <x v="0"/>
    <m/>
    <n v="0"/>
    <n v="0"/>
    <n v="0"/>
    <n v="0"/>
    <m/>
    <n v="0"/>
    <n v="0"/>
    <n v="0"/>
    <n v="0"/>
  </r>
  <r>
    <n v="126"/>
    <s v="Chohan Stationery &amp; Xerox"/>
    <s v="Sundry Creditors for (Expenses)"/>
    <x v="1"/>
    <x v="1"/>
    <m/>
    <x v="1"/>
    <m/>
    <n v="0"/>
    <n v="0"/>
    <n v="0"/>
    <n v="0"/>
    <m/>
    <n v="0"/>
    <n v="0"/>
    <n v="0"/>
    <n v="0"/>
  </r>
  <r>
    <n v="127"/>
    <s v="Citi Bank Credit Card -Platinum"/>
    <s v="COMMON EXPENSE"/>
    <x v="1"/>
    <x v="1"/>
    <m/>
    <x v="1"/>
    <m/>
    <n v="0"/>
    <n v="0"/>
    <n v="0"/>
    <n v="0"/>
    <m/>
    <n v="0"/>
    <n v="0"/>
    <n v="0"/>
    <n v="0"/>
  </r>
  <r>
    <n v="128"/>
    <s v="CitiBank Credit Card"/>
    <s v="COMMON EXPENSE"/>
    <x v="1"/>
    <x v="1"/>
    <m/>
    <x v="1"/>
    <m/>
    <n v="0"/>
    <n v="0"/>
    <n v="0"/>
    <n v="0"/>
    <m/>
    <n v="0"/>
    <n v="0"/>
    <n v="0"/>
    <n v="0"/>
  </r>
  <r>
    <n v="129"/>
    <s v="City Compensatory Allowance - Office"/>
    <s v="Salary &amp; Wages - Office"/>
    <x v="2"/>
    <x v="3"/>
    <s v="Salary &amp; wages"/>
    <x v="1"/>
    <m/>
    <n v="0"/>
    <n v="0"/>
    <n v="0"/>
    <n v="0"/>
    <m/>
    <n v="0"/>
    <n v="0"/>
    <n v="0"/>
    <n v="0"/>
  </r>
  <r>
    <n v="130"/>
    <s v="CLASSIC CREATION PRINT PACK PRIVATE LIMITED"/>
    <s v="Sundry Creditors ( Blue Streak )"/>
    <x v="1"/>
    <x v="1"/>
    <m/>
    <x v="2"/>
    <m/>
    <n v="0"/>
    <n v="0"/>
    <n v="0"/>
    <n v="0"/>
    <m/>
    <n v="0"/>
    <n v="0"/>
    <n v="0"/>
    <n v="0"/>
  </r>
  <r>
    <n v="131"/>
    <s v="Clicktech Retail Private Limited"/>
    <s v="Sundry Creditors for (Expenses)"/>
    <x v="1"/>
    <x v="1"/>
    <m/>
    <x v="1"/>
    <m/>
    <n v="0"/>
    <n v="0"/>
    <n v="0"/>
    <n v="0"/>
    <m/>
    <n v="0"/>
    <n v="0"/>
    <n v="0"/>
    <n v="0"/>
  </r>
  <r>
    <n v="132"/>
    <s v="Clicktech Retail Private Limited(GJ)"/>
    <s v="Sundry Creditors for (Expenses)"/>
    <x v="1"/>
    <x v="1"/>
    <m/>
    <x v="1"/>
    <m/>
    <n v="0"/>
    <n v="0"/>
    <n v="0"/>
    <n v="0"/>
    <m/>
    <n v="0"/>
    <n v="0"/>
    <n v="0"/>
    <n v="0"/>
  </r>
  <r>
    <n v="133"/>
    <s v="CLOUDSTORE RETAIL PRIVATE LIMITED"/>
    <s v="Sundry Creditors for (Expenses)"/>
    <x v="1"/>
    <x v="1"/>
    <m/>
    <x v="1"/>
    <m/>
    <n v="0"/>
    <n v="0"/>
    <n v="0"/>
    <n v="0"/>
    <m/>
    <n v="-8528"/>
    <n v="8528"/>
    <n v="0"/>
    <n v="0"/>
  </r>
  <r>
    <n v="134"/>
    <s v="COCOBLU RETAIL LIMITED"/>
    <s v="Sundry Creditors for (Expenses)"/>
    <x v="1"/>
    <x v="1"/>
    <m/>
    <x v="1"/>
    <m/>
    <n v="0"/>
    <n v="0"/>
    <n v="0"/>
    <n v="0"/>
    <m/>
    <n v="0"/>
    <n v="0"/>
    <n v="0"/>
    <n v="0"/>
  </r>
  <r>
    <n v="135"/>
    <s v="Commission"/>
    <s v="Direct Incomes"/>
    <x v="2"/>
    <x v="5"/>
    <s v="Commission"/>
    <x v="3"/>
    <m/>
    <n v="0"/>
    <n v="0"/>
    <n v="17000000"/>
    <n v="-17000000"/>
    <m/>
    <n v="0"/>
    <n v="6380"/>
    <n v="17555124.239999998"/>
    <n v="-17548744.239999998"/>
  </r>
  <r>
    <n v="136"/>
    <s v="Compressor"/>
    <s v="Plant &amp; Machinery"/>
    <x v="0"/>
    <x v="0"/>
    <m/>
    <x v="0"/>
    <m/>
    <n v="7666.78"/>
    <n v="0"/>
    <n v="0"/>
    <n v="7666.78"/>
    <m/>
    <n v="7666.78"/>
    <n v="0"/>
    <n v="0"/>
    <n v="7666.78"/>
  </r>
  <r>
    <n v="137"/>
    <s v="Computer &amp; Cartridge Point"/>
    <s v="Rest of Maharashtra"/>
    <x v="1"/>
    <x v="2"/>
    <m/>
    <x v="2"/>
    <m/>
    <n v="26597"/>
    <n v="0"/>
    <n v="0"/>
    <n v="26597"/>
    <m/>
    <n v="26597"/>
    <n v="26597"/>
    <n v="26597"/>
    <n v="26597"/>
  </r>
  <r>
    <n v="138"/>
    <s v="Computer &amp; Peripherals"/>
    <s v="Computers"/>
    <x v="0"/>
    <x v="0"/>
    <m/>
    <x v="0"/>
    <m/>
    <n v="42546.02"/>
    <n v="0"/>
    <n v="0"/>
    <n v="42546.02"/>
    <m/>
    <n v="3646.87"/>
    <n v="38899.15"/>
    <n v="0"/>
    <n v="42546.02"/>
  </r>
  <r>
    <n v="139"/>
    <s v="Computer Suppliers FZCO (Dubai)"/>
    <s v="Export"/>
    <x v="1"/>
    <x v="2"/>
    <m/>
    <x v="3"/>
    <m/>
    <n v="0"/>
    <n v="0"/>
    <n v="0"/>
    <n v="0"/>
    <m/>
    <n v="0"/>
    <n v="35385851.270000003"/>
    <n v="35385851.270000003"/>
    <n v="0"/>
  </r>
  <r>
    <n v="140"/>
    <s v="Computer World"/>
    <s v="SUNDRY DEBTORS BLUESTREAK - AJAYSIR"/>
    <x v="1"/>
    <x v="2"/>
    <m/>
    <x v="2"/>
    <m/>
    <n v="0"/>
    <n v="0"/>
    <n v="0"/>
    <n v="0"/>
    <m/>
    <n v="0"/>
    <n v="0"/>
    <n v="0"/>
    <n v="0"/>
  </r>
  <r>
    <n v="141"/>
    <s v="Compuworld Complete IT Solutions"/>
    <s v="Sundry Creditors for (Expenses)"/>
    <x v="1"/>
    <x v="1"/>
    <m/>
    <x v="1"/>
    <m/>
    <n v="0"/>
    <n v="0"/>
    <n v="0"/>
    <n v="0"/>
    <m/>
    <n v="0"/>
    <n v="0"/>
    <n v="0"/>
    <n v="0"/>
  </r>
  <r>
    <n v="142"/>
    <s v="Consultancy Charges (URD) (OFFICE)"/>
    <s v="OFFICE EXPENSE"/>
    <x v="2"/>
    <x v="3"/>
    <s v="Professional charges"/>
    <x v="1"/>
    <m/>
    <n v="0"/>
    <n v="2000"/>
    <n v="0"/>
    <n v="2000"/>
    <m/>
    <n v="0"/>
    <n v="12000"/>
    <n v="0"/>
    <n v="12000"/>
  </r>
  <r>
    <n v="143"/>
    <s v="Consulting Rooms Private Limited"/>
    <s v="Sundry Creditors for (Expenses)"/>
    <x v="1"/>
    <x v="1"/>
    <m/>
    <x v="1"/>
    <m/>
    <n v="0"/>
    <n v="0"/>
    <n v="0"/>
    <n v="0"/>
    <m/>
    <n v="0"/>
    <n v="7038.02"/>
    <n v="7038.02"/>
    <n v="0"/>
  </r>
  <r>
    <n v="144"/>
    <s v="Continious Sealing Machine"/>
    <s v="Plant &amp; Machinery"/>
    <x v="0"/>
    <x v="0"/>
    <m/>
    <x v="0"/>
    <m/>
    <n v="36972.86"/>
    <n v="0"/>
    <n v="0"/>
    <n v="36972.86"/>
    <m/>
    <n v="36972.86"/>
    <n v="0"/>
    <n v="0"/>
    <n v="36972.86"/>
  </r>
  <r>
    <n v="145"/>
    <s v="Conveyance - Factory"/>
    <s v="FACTORY EXPENSE"/>
    <x v="2"/>
    <x v="3"/>
    <s v="Conveyance expenses"/>
    <x v="1"/>
    <m/>
    <n v="0"/>
    <n v="0"/>
    <n v="0"/>
    <n v="0"/>
    <m/>
    <n v="0"/>
    <n v="4724"/>
    <n v="0"/>
    <n v="4724"/>
  </r>
  <r>
    <n v="146"/>
    <s v="Conveyance - Office"/>
    <s v="OFFICE EXPENSE"/>
    <x v="2"/>
    <x v="3"/>
    <s v="Conveyance expenses"/>
    <x v="1"/>
    <m/>
    <n v="0"/>
    <n v="1324"/>
    <n v="0"/>
    <n v="1324"/>
    <m/>
    <n v="0"/>
    <n v="292294"/>
    <n v="0"/>
    <n v="292294"/>
  </r>
  <r>
    <n v="147"/>
    <s v="Courier Charges (URD) (FACTORY)"/>
    <s v="FACTORY EXPENSE"/>
    <x v="2"/>
    <x v="3"/>
    <s v="Courier charges"/>
    <x v="1"/>
    <m/>
    <n v="0"/>
    <n v="0"/>
    <n v="0"/>
    <n v="0"/>
    <m/>
    <n v="0"/>
    <n v="4541"/>
    <n v="0"/>
    <n v="4541"/>
  </r>
  <r>
    <n v="148"/>
    <s v="Courier Charges (URD) (OFFICE)"/>
    <s v="OFFICE EXPENSE"/>
    <x v="2"/>
    <x v="3"/>
    <s v="Courier charges"/>
    <x v="1"/>
    <m/>
    <n v="0"/>
    <n v="21030.560000000001"/>
    <n v="0"/>
    <n v="21030.560000000001"/>
    <m/>
    <n v="0"/>
    <n v="96815.56"/>
    <n v="0"/>
    <n v="96815.56"/>
  </r>
  <r>
    <n v="149"/>
    <s v="Courier Charges GST 18%"/>
    <s v="COMMON EXPENSE"/>
    <x v="2"/>
    <x v="3"/>
    <s v="Courier charges"/>
    <x v="1"/>
    <m/>
    <n v="0"/>
    <n v="14235"/>
    <n v="0"/>
    <n v="14235"/>
    <m/>
    <n v="0"/>
    <n v="61098.26"/>
    <n v="0"/>
    <n v="61098.26"/>
  </r>
  <r>
    <n v="150"/>
    <s v="Crates"/>
    <s v="Furniture &amp; Fittings"/>
    <x v="0"/>
    <x v="0"/>
    <m/>
    <x v="0"/>
    <m/>
    <n v="4652.6400000000003"/>
    <n v="0"/>
    <n v="0"/>
    <n v="4652.6400000000003"/>
    <m/>
    <n v="4652.6400000000003"/>
    <n v="0"/>
    <n v="0"/>
    <n v="4652.6400000000003"/>
  </r>
  <r>
    <n v="151"/>
    <s v="Currency Exchange (EXPORT)"/>
    <s v="EXPORT (EXPENSE)"/>
    <x v="2"/>
    <x v="3"/>
    <s v="Travelling expenses"/>
    <x v="3"/>
    <m/>
    <n v="0"/>
    <n v="0"/>
    <n v="0"/>
    <n v="0"/>
    <m/>
    <n v="0"/>
    <n v="1091557.46"/>
    <n v="0"/>
    <n v="1091557.46"/>
  </r>
  <r>
    <n v="152"/>
    <s v="Currency Exchange (Office)"/>
    <s v="OFFICE EXPENSE"/>
    <x v="2"/>
    <x v="3"/>
    <s v="Travelling expenses"/>
    <x v="1"/>
    <m/>
    <n v="0"/>
    <n v="0"/>
    <n v="0"/>
    <n v="0"/>
    <m/>
    <n v="0"/>
    <n v="0"/>
    <n v="0"/>
    <n v="0"/>
  </r>
  <r>
    <n v="153"/>
    <s v="CUSTOM CLEARANCE CHARGES-CHA"/>
    <s v="EXPORT (EXPENSE)"/>
    <x v="2"/>
    <x v="4"/>
    <s v="Export charges"/>
    <x v="3"/>
    <m/>
    <n v="0"/>
    <n v="0"/>
    <n v="16833"/>
    <n v="-16833"/>
    <m/>
    <n v="0"/>
    <n v="37500"/>
    <n v="35925"/>
    <n v="1575"/>
  </r>
  <r>
    <n v="154"/>
    <s v="D S DATA SPEC PRIVATE LIMITED"/>
    <s v="SUNDRY CREDITORS (EXPORT)"/>
    <x v="1"/>
    <x v="1"/>
    <m/>
    <x v="3"/>
    <m/>
    <n v="0"/>
    <n v="0"/>
    <n v="0"/>
    <n v="0"/>
    <m/>
    <n v="0"/>
    <n v="0"/>
    <n v="0"/>
    <n v="0"/>
  </r>
  <r>
    <n v="155"/>
    <s v="D. S. Data Spec Pvt Ltd"/>
    <s v="SUNDRY DEBTORS BLUESTREAK - AJAYSIR"/>
    <x v="1"/>
    <x v="2"/>
    <m/>
    <x v="2"/>
    <m/>
    <n v="0"/>
    <n v="0"/>
    <n v="0"/>
    <n v="0"/>
    <m/>
    <n v="57909"/>
    <n v="0"/>
    <n v="57909"/>
    <n v="0"/>
  </r>
  <r>
    <n v="156"/>
    <s v="D.B.Enterprises"/>
    <s v="Rajasthan"/>
    <x v="1"/>
    <x v="2"/>
    <m/>
    <x v="2"/>
    <m/>
    <n v="0"/>
    <n v="0"/>
    <n v="0"/>
    <n v="0"/>
    <m/>
    <n v="0"/>
    <n v="0"/>
    <n v="0"/>
    <n v="0"/>
  </r>
  <r>
    <n v="157"/>
    <s v="D.M. Plant &amp; UV Systems"/>
    <s v="Plant &amp; Machinery"/>
    <x v="0"/>
    <x v="0"/>
    <m/>
    <x v="0"/>
    <m/>
    <n v="4735.38"/>
    <n v="0"/>
    <n v="0"/>
    <n v="4735.38"/>
    <m/>
    <n v="4735.38"/>
    <n v="0"/>
    <n v="0"/>
    <n v="4735.38"/>
  </r>
  <r>
    <n v="158"/>
    <s v="D.P CHARGE"/>
    <s v="SHARE EXPENSE"/>
    <x v="2"/>
    <x v="3"/>
    <s v="Share trading expenses"/>
    <x v="6"/>
    <m/>
    <n v="0"/>
    <n v="0"/>
    <n v="0"/>
    <n v="0"/>
    <m/>
    <n v="0"/>
    <n v="460.59"/>
    <n v="0"/>
    <n v="460.59"/>
  </r>
  <r>
    <n v="159"/>
    <s v="Das Paper Enterprises"/>
    <s v="West Bengal"/>
    <x v="1"/>
    <x v="2"/>
    <m/>
    <x v="2"/>
    <m/>
    <n v="0"/>
    <n v="0"/>
    <n v="0"/>
    <n v="0"/>
    <m/>
    <n v="29198"/>
    <n v="0"/>
    <n v="29198"/>
    <n v="0"/>
  </r>
  <r>
    <n v="160"/>
    <s v="Datamation Services"/>
    <s v="SUNDRY CREDITORS (EXPORT)"/>
    <x v="1"/>
    <x v="1"/>
    <m/>
    <x v="3"/>
    <m/>
    <n v="0"/>
    <n v="0"/>
    <n v="0"/>
    <n v="0"/>
    <m/>
    <n v="0"/>
    <n v="0"/>
    <n v="0"/>
    <n v="0"/>
  </r>
  <r>
    <n v="161"/>
    <s v="Dawntech Electronics Pvt. Ltd."/>
    <s v="Sundry Creditors for (Expenses)"/>
    <x v="1"/>
    <x v="1"/>
    <m/>
    <x v="1"/>
    <m/>
    <n v="0"/>
    <n v="0"/>
    <n v="0"/>
    <n v="0"/>
    <m/>
    <n v="0"/>
    <n v="0"/>
    <n v="0"/>
    <n v="0"/>
  </r>
  <r>
    <n v="162"/>
    <s v="Deepanshu Enterprises"/>
    <s v="Rajasthan"/>
    <x v="1"/>
    <x v="2"/>
    <m/>
    <x v="2"/>
    <m/>
    <n v="0"/>
    <n v="0"/>
    <n v="0"/>
    <n v="0"/>
    <m/>
    <n v="0"/>
    <n v="78720"/>
    <n v="78720"/>
    <n v="0"/>
  </r>
  <r>
    <n v="163"/>
    <s v="Delta Make A.C. Drive"/>
    <s v="Plant &amp; Machinery"/>
    <x v="0"/>
    <x v="0"/>
    <m/>
    <x v="0"/>
    <m/>
    <n v="13273.49"/>
    <n v="0"/>
    <n v="0"/>
    <n v="13273.49"/>
    <m/>
    <n v="13273.49"/>
    <n v="0"/>
    <n v="0"/>
    <n v="13273.49"/>
  </r>
  <r>
    <n v="164"/>
    <s v="Demat Charges"/>
    <s v="OFFICE EXPENSE"/>
    <x v="2"/>
    <x v="3"/>
    <s v="Share trading expenses"/>
    <x v="1"/>
    <m/>
    <n v="0"/>
    <n v="0"/>
    <n v="0"/>
    <n v="0"/>
    <m/>
    <n v="0"/>
    <n v="8282.84"/>
    <n v="0"/>
    <n v="8282.84"/>
  </r>
  <r>
    <n v="165"/>
    <s v="DEPRECIATION"/>
    <s v="COMMON EXPENSE"/>
    <x v="2"/>
    <x v="3"/>
    <s v="Depreciation"/>
    <x v="1"/>
    <m/>
    <n v="0"/>
    <n v="0"/>
    <n v="0"/>
    <n v="0"/>
    <m/>
    <n v="0"/>
    <n v="0"/>
    <n v="0"/>
    <n v="0"/>
  </r>
  <r>
    <n v="166"/>
    <s v="Device Technologies"/>
    <s v="Rest of Maharashtra"/>
    <x v="1"/>
    <x v="2"/>
    <m/>
    <x v="2"/>
    <m/>
    <n v="0"/>
    <n v="0"/>
    <n v="0"/>
    <n v="0"/>
    <m/>
    <n v="0"/>
    <n v="0"/>
    <n v="0"/>
    <n v="0"/>
  </r>
  <r>
    <n v="167"/>
    <s v="DH-5M-5Rolls Wet Tissue Spunlaced Converting Machin"/>
    <s v="Plant &amp; Machinery"/>
    <x v="0"/>
    <x v="0"/>
    <m/>
    <x v="0"/>
    <m/>
    <n v="261129.93"/>
    <n v="0"/>
    <n v="0"/>
    <n v="261129.93"/>
    <m/>
    <n v="261129.93"/>
    <n v="0"/>
    <n v="0"/>
    <n v="261129.93"/>
  </r>
  <r>
    <n v="168"/>
    <s v="Dhal Associates"/>
    <s v="Sundry Debtor Clarus (Current)"/>
    <x v="1"/>
    <x v="2"/>
    <m/>
    <x v="5"/>
    <m/>
    <n v="0"/>
    <n v="0"/>
    <n v="0"/>
    <n v="0"/>
    <m/>
    <n v="0"/>
    <n v="0"/>
    <n v="0"/>
    <n v="0"/>
  </r>
  <r>
    <n v="169"/>
    <s v="Dia &amp; Mould A/c"/>
    <s v="Plant &amp; Machinery"/>
    <x v="0"/>
    <x v="0"/>
    <m/>
    <x v="0"/>
    <m/>
    <n v="442000"/>
    <n v="0"/>
    <n v="0"/>
    <n v="442000"/>
    <m/>
    <n v="442000"/>
    <n v="0"/>
    <n v="0"/>
    <n v="442000"/>
  </r>
  <r>
    <n v="170"/>
    <s v="Differences &amp; Discount (BLUE STREAK)"/>
    <s v="SALES BLUESTREAK"/>
    <x v="2"/>
    <x v="6"/>
    <s v="Sales"/>
    <x v="2"/>
    <m/>
    <n v="0"/>
    <n v="0"/>
    <n v="0"/>
    <n v="0"/>
    <m/>
    <n v="0"/>
    <n v="0"/>
    <n v="0"/>
    <n v="0"/>
  </r>
  <r>
    <n v="171"/>
    <s v="DIGITAL IT SOLUTIONS"/>
    <s v="SUNDRY CREDITORS (EXPORT)"/>
    <x v="1"/>
    <x v="1"/>
    <m/>
    <x v="3"/>
    <m/>
    <n v="282"/>
    <n v="0"/>
    <n v="0"/>
    <n v="282"/>
    <m/>
    <n v="0"/>
    <n v="6232783"/>
    <n v="6232501"/>
    <n v="282"/>
  </r>
  <r>
    <n v="172"/>
    <s v="Digital Mediation"/>
    <s v="Madhya Pradesh"/>
    <x v="1"/>
    <x v="2"/>
    <m/>
    <x v="2"/>
    <m/>
    <n v="0"/>
    <n v="0"/>
    <n v="0"/>
    <n v="0"/>
    <m/>
    <n v="0"/>
    <n v="0"/>
    <n v="0"/>
    <n v="0"/>
  </r>
  <r>
    <n v="173"/>
    <s v="DILIP AGENCY RK"/>
    <s v="Sundry Debtor Clarus (Current)"/>
    <x v="1"/>
    <x v="2"/>
    <m/>
    <x v="5"/>
    <m/>
    <n v="0"/>
    <n v="0"/>
    <n v="0"/>
    <n v="0"/>
    <m/>
    <n v="0"/>
    <n v="109511"/>
    <n v="109511"/>
    <n v="0"/>
  </r>
  <r>
    <n v="174"/>
    <s v="Dilip Kisan Rathod"/>
    <s v="Sundry Creditors"/>
    <x v="1"/>
    <x v="1"/>
    <m/>
    <x v="1"/>
    <m/>
    <n v="0"/>
    <n v="0"/>
    <n v="0"/>
    <n v="0"/>
    <m/>
    <n v="0"/>
    <n v="0"/>
    <n v="0"/>
    <n v="0"/>
  </r>
  <r>
    <n v="175"/>
    <s v="Dilip Kisan Rathod Loan A/c"/>
    <s v="STAFF LOAN - FACTORY"/>
    <x v="0"/>
    <x v="0"/>
    <m/>
    <x v="0"/>
    <m/>
    <n v="40000"/>
    <n v="0"/>
    <n v="0"/>
    <n v="40000"/>
    <m/>
    <n v="45000"/>
    <n v="0"/>
    <n v="5000"/>
    <n v="40000"/>
  </r>
  <r>
    <n v="176"/>
    <s v="Dilip Sales"/>
    <s v="Sundry Debtor Clarus"/>
    <x v="1"/>
    <x v="2"/>
    <m/>
    <x v="5"/>
    <m/>
    <n v="0"/>
    <n v="0"/>
    <n v="0"/>
    <n v="0"/>
    <m/>
    <n v="0"/>
    <n v="12516"/>
    <n v="12516"/>
    <n v="0"/>
  </r>
  <r>
    <n v="177"/>
    <s v="DISCOUNT &amp; DIFFERENCE (CLARUS)"/>
    <s v="CLARUS (EXPENSE)"/>
    <x v="2"/>
    <x v="7"/>
    <s v="Purchase"/>
    <x v="5"/>
    <m/>
    <n v="0"/>
    <n v="0"/>
    <n v="0"/>
    <n v="0"/>
    <m/>
    <n v="0"/>
    <n v="0"/>
    <n v="0"/>
    <n v="0"/>
  </r>
  <r>
    <n v="178"/>
    <s v="Discount Expense"/>
    <s v="BLUESTREAK (EXPENSES)"/>
    <x v="2"/>
    <x v="6"/>
    <s v="Sales"/>
    <x v="2"/>
    <m/>
    <n v="0"/>
    <n v="0"/>
    <n v="0"/>
    <n v="0"/>
    <m/>
    <n v="0"/>
    <n v="0"/>
    <n v="0"/>
    <n v="0"/>
  </r>
  <r>
    <n v="179"/>
    <s v="Discount on Sales (CLARUS)"/>
    <s v="SALES CLARUS"/>
    <x v="2"/>
    <x v="6"/>
    <s v="Sales"/>
    <x v="5"/>
    <m/>
    <n v="0"/>
    <n v="0"/>
    <n v="0"/>
    <n v="0"/>
    <m/>
    <n v="0"/>
    <n v="49606.03"/>
    <n v="0"/>
    <n v="49606.03"/>
  </r>
  <r>
    <n v="180"/>
    <s v="Discount On Sales Export"/>
    <s v="SALES EXPORT"/>
    <x v="2"/>
    <x v="6"/>
    <s v="Sales"/>
    <x v="3"/>
    <m/>
    <n v="0"/>
    <n v="0"/>
    <n v="0"/>
    <n v="0"/>
    <m/>
    <n v="0"/>
    <n v="0"/>
    <n v="0"/>
    <n v="0"/>
  </r>
  <r>
    <n v="181"/>
    <s v="Discount On Sales IT"/>
    <s v="SALES IT"/>
    <x v="2"/>
    <x v="6"/>
    <s v="Sales"/>
    <x v="3"/>
    <m/>
    <n v="0"/>
    <n v="0"/>
    <n v="0"/>
    <n v="0"/>
    <m/>
    <n v="0"/>
    <n v="176300"/>
    <n v="0"/>
    <n v="176300"/>
  </r>
  <r>
    <n v="182"/>
    <s v="Display TV"/>
    <s v="Office Equipment"/>
    <x v="0"/>
    <x v="0"/>
    <m/>
    <x v="0"/>
    <m/>
    <n v="32990"/>
    <n v="0"/>
    <n v="0"/>
    <n v="32990"/>
    <m/>
    <n v="32990"/>
    <n v="0"/>
    <n v="0"/>
    <n v="32990"/>
  </r>
  <r>
    <n v="183"/>
    <s v="Dividend Income"/>
    <s v="Share Dividend Income"/>
    <x v="2"/>
    <x v="5"/>
    <s v="Dividend "/>
    <x v="6"/>
    <m/>
    <n v="0"/>
    <n v="0"/>
    <n v="0"/>
    <n v="0"/>
    <m/>
    <n v="0"/>
    <n v="0"/>
    <n v="10487"/>
    <n v="-10487"/>
  </r>
  <r>
    <n v="184"/>
    <s v="Dividend Receivable"/>
    <s v="Current Assets"/>
    <x v="0"/>
    <x v="0"/>
    <m/>
    <x v="0"/>
    <m/>
    <n v="4500"/>
    <n v="0"/>
    <n v="0"/>
    <n v="4500"/>
    <m/>
    <n v="4500"/>
    <n v="0"/>
    <n v="0"/>
    <n v="4500"/>
  </r>
  <r>
    <n v="185"/>
    <s v="DM Services Private Limited"/>
    <s v="SUNDRY CREDITORS (EXPORT)"/>
    <x v="1"/>
    <x v="1"/>
    <m/>
    <x v="3"/>
    <m/>
    <n v="24841"/>
    <n v="0"/>
    <n v="24841"/>
    <n v="0"/>
    <m/>
    <n v="0"/>
    <n v="35235543"/>
    <n v="35235543"/>
    <n v="0"/>
  </r>
  <r>
    <n v="186"/>
    <s v="DOCUMENTATION CHARGES"/>
    <s v="Direct Expense"/>
    <x v="2"/>
    <x v="4"/>
    <s v="Port Expenses"/>
    <x v="3"/>
    <m/>
    <n v="0"/>
    <n v="0"/>
    <n v="0"/>
    <n v="0"/>
    <m/>
    <n v="0"/>
    <n v="16500"/>
    <n v="0"/>
    <n v="16500"/>
  </r>
  <r>
    <n v="187"/>
    <s v="Donation"/>
    <s v="COMMON EXPENSE"/>
    <x v="2"/>
    <x v="3"/>
    <s v="Donation"/>
    <x v="1"/>
    <m/>
    <n v="0"/>
    <n v="400"/>
    <n v="0"/>
    <n v="400"/>
    <m/>
    <n v="0"/>
    <n v="700"/>
    <n v="0"/>
    <n v="700"/>
  </r>
  <r>
    <n v="188"/>
    <s v="Dtdc Express Limited"/>
    <s v="Sundry Creditors (Transports/Logistics)"/>
    <x v="1"/>
    <x v="1"/>
    <m/>
    <x v="1"/>
    <m/>
    <n v="-29982.62"/>
    <n v="0"/>
    <n v="0"/>
    <n v="-29982.62"/>
    <m/>
    <n v="-80160"/>
    <n v="99493.440000000002"/>
    <n v="49316.06"/>
    <n v="-29982.62"/>
  </r>
  <r>
    <n v="189"/>
    <s v="DURALABEL GRAPHICS PVT LTD"/>
    <s v="Sundry Creditors ( Clarus )"/>
    <x v="1"/>
    <x v="1"/>
    <m/>
    <x v="5"/>
    <m/>
    <n v="0"/>
    <n v="0"/>
    <n v="0"/>
    <n v="0"/>
    <m/>
    <n v="0"/>
    <n v="29500"/>
    <n v="29500"/>
    <n v="0"/>
  </r>
  <r>
    <n v="190"/>
    <s v="OCEAN FREIGHT CHARGES - SPICE"/>
    <s v="SPICE EXPENSE"/>
    <x v="2"/>
    <x v="4"/>
    <s v="Port Expenses"/>
    <x v="4"/>
    <m/>
    <n v="0"/>
    <n v="1412974.26"/>
    <n v="0"/>
    <n v="1412974.26"/>
    <m/>
    <n v="0"/>
    <n v="2287554.4"/>
    <n v="0"/>
    <n v="2287554.4"/>
  </r>
  <r>
    <n v="190"/>
    <s v="E.S.I.C."/>
    <s v="Indirect Expenses"/>
    <x v="2"/>
    <x v="3"/>
    <s v="Salary &amp; wages"/>
    <x v="1"/>
    <m/>
    <n v="0"/>
    <n v="0"/>
    <n v="0"/>
    <n v="0"/>
    <m/>
    <n v="0"/>
    <n v="0"/>
    <n v="0"/>
    <n v="0"/>
  </r>
  <r>
    <n v="191"/>
    <s v="EL Enterprises"/>
    <s v="Statewise"/>
    <x v="1"/>
    <x v="2"/>
    <m/>
    <x v="2"/>
    <m/>
    <n v="0"/>
    <n v="0"/>
    <n v="0"/>
    <n v="0"/>
    <m/>
    <n v="0"/>
    <n v="15644"/>
    <n v="15644"/>
    <n v="0"/>
  </r>
  <r>
    <n v="192"/>
    <s v="Electricity Charges - Factory"/>
    <s v="FACTORY EXPENSE"/>
    <x v="2"/>
    <x v="3"/>
    <s v="Electricity charges"/>
    <x v="1"/>
    <m/>
    <n v="0"/>
    <n v="1680"/>
    <n v="0"/>
    <n v="1680"/>
    <m/>
    <n v="0"/>
    <n v="28720"/>
    <n v="0"/>
    <n v="28720"/>
  </r>
  <r>
    <n v="193"/>
    <s v="Electricity Charges - Factory(TAMBADMAL)"/>
    <s v="BLUESTREAK (EXPENSES)"/>
    <x v="2"/>
    <x v="3"/>
    <s v="Electricity charges"/>
    <x v="2"/>
    <m/>
    <n v="0"/>
    <n v="0"/>
    <n v="0"/>
    <n v="0"/>
    <m/>
    <n v="0"/>
    <n v="1590"/>
    <n v="0"/>
    <n v="1590"/>
  </r>
  <r>
    <n v="194"/>
    <s v="Electricity Charges - Office"/>
    <s v="OFFICE EXPENSE"/>
    <x v="2"/>
    <x v="3"/>
    <s v="Electricity charges"/>
    <x v="1"/>
    <m/>
    <n v="0"/>
    <n v="6790"/>
    <n v="0"/>
    <n v="6790"/>
    <m/>
    <n v="0"/>
    <n v="108230"/>
    <n v="0"/>
    <n v="108230"/>
  </r>
  <r>
    <n v="195"/>
    <s v="Electricity Deposit (MSEB)"/>
    <s v="Deposits (Asset)"/>
    <x v="0"/>
    <x v="0"/>
    <m/>
    <x v="0"/>
    <m/>
    <n v="21820"/>
    <n v="0"/>
    <n v="0"/>
    <n v="21820"/>
    <m/>
    <n v="21820"/>
    <n v="0"/>
    <n v="0"/>
    <n v="21820"/>
  </r>
  <r>
    <n v="196"/>
    <s v="Electronic Weighting Scale"/>
    <s v="Plant &amp; Machinery"/>
    <x v="0"/>
    <x v="0"/>
    <m/>
    <x v="0"/>
    <m/>
    <n v="4163.62"/>
    <n v="0"/>
    <n v="0"/>
    <n v="4163.62"/>
    <m/>
    <n v="4163.62"/>
    <n v="0"/>
    <n v="0"/>
    <n v="4163.62"/>
  </r>
  <r>
    <n v="197"/>
    <s v="EMIRATES"/>
    <s v="SUNDRY CREDITORS (EXPORT)"/>
    <x v="1"/>
    <x v="1"/>
    <m/>
    <x v="3"/>
    <m/>
    <n v="0"/>
    <n v="0"/>
    <n v="0"/>
    <n v="0"/>
    <m/>
    <n v="0"/>
    <n v="0"/>
    <n v="0"/>
    <n v="0"/>
  </r>
  <r>
    <n v="198"/>
    <s v="Employer's Contri  to Pension Fund A/c # 10 -Fac."/>
    <s v="Employer's Contribution - Factory"/>
    <x v="0"/>
    <x v="0"/>
    <m/>
    <x v="0"/>
    <m/>
    <n v="0"/>
    <n v="0"/>
    <n v="0"/>
    <n v="0"/>
    <m/>
    <n v="0"/>
    <n v="2343"/>
    <n v="2343"/>
    <n v="0"/>
  </r>
  <r>
    <n v="199"/>
    <s v="Employers Contribution ESIC Payable - Office"/>
    <s v="ESIC Payable"/>
    <x v="0"/>
    <x v="0"/>
    <m/>
    <x v="0"/>
    <m/>
    <n v="0"/>
    <n v="1141"/>
    <n v="0"/>
    <n v="1141"/>
    <m/>
    <n v="-1145"/>
    <n v="9877"/>
    <n v="7591"/>
    <n v="1141"/>
  </r>
  <r>
    <n v="200"/>
    <s v="Employer's Contribution Paid"/>
    <s v="Indirect Expenses"/>
    <x v="2"/>
    <x v="3"/>
    <s v="Salary &amp; wages"/>
    <x v="1"/>
    <m/>
    <n v="0"/>
    <n v="0"/>
    <n v="0"/>
    <n v="0"/>
    <m/>
    <n v="0"/>
    <n v="0"/>
    <n v="0"/>
    <n v="0"/>
  </r>
  <r>
    <n v="201"/>
    <s v="Employers Contribution Payable"/>
    <s v="ESIC  Payable Office"/>
    <x v="0"/>
    <x v="0"/>
    <m/>
    <x v="0"/>
    <m/>
    <n v="0"/>
    <n v="0"/>
    <n v="0"/>
    <n v="0"/>
    <m/>
    <n v="0"/>
    <n v="0"/>
    <n v="0"/>
    <n v="0"/>
  </r>
  <r>
    <n v="202"/>
    <s v="Employers Contribution Payable - Bluestreak"/>
    <s v="ESIC  Payable - Bluestreak"/>
    <x v="0"/>
    <x v="0"/>
    <m/>
    <x v="0"/>
    <m/>
    <n v="0"/>
    <n v="0"/>
    <n v="0"/>
    <n v="0"/>
    <m/>
    <n v="0"/>
    <n v="0"/>
    <n v="0"/>
    <n v="0"/>
  </r>
  <r>
    <n v="203"/>
    <s v="Employers Contribution Payable - Fact."/>
    <s v="PF &amp; ESIC Payable - Factory"/>
    <x v="0"/>
    <x v="0"/>
    <m/>
    <x v="0"/>
    <m/>
    <n v="0"/>
    <n v="566"/>
    <n v="0"/>
    <n v="566"/>
    <m/>
    <n v="-955"/>
    <n v="9745"/>
    <n v="8224"/>
    <n v="566"/>
  </r>
  <r>
    <n v="204"/>
    <s v="Employer's Contribution to PF A/c # 1 -Fac."/>
    <s v="Employer's Contribution - Fact"/>
    <x v="0"/>
    <x v="0"/>
    <m/>
    <x v="0"/>
    <m/>
    <n v="0"/>
    <n v="0"/>
    <n v="0"/>
    <n v="0"/>
    <m/>
    <n v="0"/>
    <n v="1032"/>
    <n v="1032"/>
    <n v="0"/>
  </r>
  <r>
    <n v="205"/>
    <s v="EPF - Employee's Share of Contribution A/c No.01"/>
    <s v="ESIC  Payable Office"/>
    <x v="0"/>
    <x v="0"/>
    <m/>
    <x v="0"/>
    <m/>
    <n v="0"/>
    <n v="0"/>
    <n v="0"/>
    <n v="0"/>
    <m/>
    <n v="0"/>
    <n v="0"/>
    <n v="0"/>
    <n v="0"/>
  </r>
  <r>
    <n v="206"/>
    <s v="EPF - Employer's Share of Contribution A/c No.01"/>
    <s v="Employer's Contribution - Factory"/>
    <x v="0"/>
    <x v="0"/>
    <m/>
    <x v="0"/>
    <m/>
    <n v="0"/>
    <n v="0"/>
    <n v="0"/>
    <n v="0"/>
    <m/>
    <n v="0"/>
    <n v="0"/>
    <n v="0"/>
    <n v="0"/>
  </r>
  <r>
    <n v="207"/>
    <s v="EPF Administration Charges A/c # 2 - Fac."/>
    <s v="PF &amp; ESIC Payable - Factory"/>
    <x v="0"/>
    <x v="0"/>
    <m/>
    <x v="0"/>
    <m/>
    <n v="0"/>
    <n v="0"/>
    <n v="0"/>
    <n v="0"/>
    <m/>
    <n v="0"/>
    <n v="2000"/>
    <n v="2000"/>
    <n v="0"/>
  </r>
  <r>
    <n v="208"/>
    <s v="EPF -Employee's Share of Contribution A/c No.01 Fac"/>
    <s v="PF &amp; ESIC Payable - Factory"/>
    <x v="0"/>
    <x v="0"/>
    <m/>
    <x v="0"/>
    <m/>
    <n v="0"/>
    <n v="0"/>
    <n v="0"/>
    <n v="0"/>
    <m/>
    <n v="-1125"/>
    <n v="3938"/>
    <n v="2813"/>
    <n v="0"/>
  </r>
  <r>
    <n v="209"/>
    <s v="EPF Employer's Contribution A/c No. 01 &amp; 10"/>
    <s v="PF &amp; ESIC Payable - Factory"/>
    <x v="0"/>
    <x v="0"/>
    <m/>
    <x v="0"/>
    <m/>
    <n v="0"/>
    <n v="0"/>
    <n v="0"/>
    <n v="0"/>
    <m/>
    <n v="0"/>
    <n v="0"/>
    <n v="0"/>
    <n v="0"/>
  </r>
  <r>
    <n v="210"/>
    <s v="EPF Employer's Contribution to PF A/c # 21 - Fac."/>
    <s v="PF &amp; ESIC Payable - Factory"/>
    <x v="0"/>
    <x v="0"/>
    <m/>
    <x v="0"/>
    <m/>
    <n v="0"/>
    <n v="0"/>
    <n v="0"/>
    <n v="0"/>
    <m/>
    <n v="0"/>
    <n v="164"/>
    <n v="164"/>
    <n v="0"/>
  </r>
  <r>
    <n v="211"/>
    <s v="EPF Expenses"/>
    <s v="Salary &amp; Wages - Factory"/>
    <x v="2"/>
    <x v="3"/>
    <s v="Salary &amp; wages"/>
    <x v="1"/>
    <m/>
    <n v="0"/>
    <n v="0"/>
    <n v="0"/>
    <n v="0"/>
    <m/>
    <n v="0"/>
    <n v="2164"/>
    <n v="0"/>
    <n v="2164"/>
  </r>
  <r>
    <n v="212"/>
    <s v="Equity Share Capital"/>
    <s v="Capital Account"/>
    <x v="0"/>
    <x v="0"/>
    <m/>
    <x v="0"/>
    <m/>
    <n v="-2490000"/>
    <n v="0"/>
    <n v="0"/>
    <n v="-2490000"/>
    <m/>
    <n v="-2490000"/>
    <n v="0"/>
    <n v="0"/>
    <n v="-2490000"/>
  </r>
  <r>
    <n v="213"/>
    <s v="ESIC - Employees - Bluestreak"/>
    <s v="ESIC  Payable - Bluestreak"/>
    <x v="0"/>
    <x v="0"/>
    <m/>
    <x v="0"/>
    <m/>
    <n v="0"/>
    <n v="0"/>
    <n v="0"/>
    <n v="0"/>
    <m/>
    <n v="0"/>
    <n v="0"/>
    <n v="0"/>
    <n v="0"/>
  </r>
  <r>
    <n v="214"/>
    <s v="ESIC - Employees  -Factory"/>
    <s v="PF &amp; ESIC Payable - Factory"/>
    <x v="0"/>
    <x v="0"/>
    <m/>
    <x v="0"/>
    <m/>
    <n v="-131"/>
    <n v="131"/>
    <n v="133"/>
    <n v="-133"/>
    <m/>
    <n v="-79"/>
    <n v="1343"/>
    <n v="1397"/>
    <n v="-133"/>
  </r>
  <r>
    <n v="215"/>
    <s v="ESIC - Employees - Office"/>
    <s v="ESIC  Payable Office"/>
    <x v="0"/>
    <x v="0"/>
    <m/>
    <x v="0"/>
    <m/>
    <n v="-264"/>
    <n v="264"/>
    <n v="257"/>
    <n v="-257"/>
    <m/>
    <n v="-265"/>
    <n v="2285"/>
    <n v="2277"/>
    <n v="-257"/>
  </r>
  <r>
    <n v="216"/>
    <s v="ESIC - Employer's - Bluestreak"/>
    <s v="Employer's Contribution - Bluestreak"/>
    <x v="0"/>
    <x v="0"/>
    <m/>
    <x v="0"/>
    <m/>
    <n v="0"/>
    <n v="0"/>
    <n v="0"/>
    <n v="0"/>
    <m/>
    <n v="0"/>
    <n v="0"/>
    <n v="0"/>
    <n v="0"/>
  </r>
  <r>
    <n v="217"/>
    <s v="ESIC - Employer's - Fac."/>
    <s v="Employer's Contribution - Factory"/>
    <x v="0"/>
    <x v="0"/>
    <m/>
    <x v="0"/>
    <m/>
    <n v="0"/>
    <n v="0"/>
    <n v="0"/>
    <n v="0"/>
    <m/>
    <n v="0"/>
    <n v="4729"/>
    <n v="4729"/>
    <n v="0"/>
  </r>
  <r>
    <n v="218"/>
    <s v="ESIC - Employer's - Office"/>
    <s v="Employer's Contribution - Office"/>
    <x v="0"/>
    <x v="0"/>
    <m/>
    <x v="0"/>
    <m/>
    <n v="0"/>
    <n v="0"/>
    <n v="0"/>
    <n v="0"/>
    <m/>
    <n v="-1163"/>
    <n v="7591"/>
    <n v="6428"/>
    <n v="0"/>
  </r>
  <r>
    <n v="219"/>
    <s v="ESIC Employers Bluestreak Exp"/>
    <s v="BLUESTREAK (EXPENSES)"/>
    <x v="2"/>
    <x v="3"/>
    <s v="Salary &amp; wages"/>
    <x v="2"/>
    <m/>
    <n v="0"/>
    <n v="0"/>
    <n v="0"/>
    <n v="0"/>
    <m/>
    <n v="0"/>
    <n v="0"/>
    <n v="0"/>
    <n v="0"/>
  </r>
  <r>
    <n v="220"/>
    <s v="ESIC Employers Factory Expense"/>
    <s v="Salary &amp; Wages - Factory"/>
    <x v="2"/>
    <x v="3"/>
    <s v="Salary &amp; wages"/>
    <x v="1"/>
    <m/>
    <n v="0"/>
    <n v="0"/>
    <n v="0"/>
    <n v="0"/>
    <m/>
    <n v="0"/>
    <n v="8104"/>
    <n v="0"/>
    <n v="8104"/>
  </r>
  <r>
    <n v="221"/>
    <s v="ESIC Employers Office Expense"/>
    <s v="Salary &amp; Wages - Office"/>
    <x v="2"/>
    <x v="3"/>
    <s v="Salary &amp; wages"/>
    <x v="1"/>
    <m/>
    <n v="0"/>
    <n v="0"/>
    <n v="0"/>
    <n v="0"/>
    <m/>
    <n v="0"/>
    <n v="6428"/>
    <n v="0"/>
    <n v="6428"/>
  </r>
  <r>
    <n v="222"/>
    <s v="Etrade Marketing Pvt Ltd"/>
    <s v="Sundry Creditors for (Expenses)"/>
    <x v="1"/>
    <x v="1"/>
    <m/>
    <x v="1"/>
    <m/>
    <n v="0"/>
    <n v="0"/>
    <n v="0"/>
    <n v="0"/>
    <m/>
    <n v="-1086"/>
    <n v="1086"/>
    <n v="0"/>
    <n v="0"/>
  </r>
  <r>
    <n v="223"/>
    <s v="EXAMINATION CHARGES"/>
    <s v="Direct Expense"/>
    <x v="2"/>
    <x v="4"/>
    <s v="Port Expenses"/>
    <x v="3"/>
    <m/>
    <n v="0"/>
    <n v="0"/>
    <n v="0"/>
    <n v="0"/>
    <m/>
    <n v="0"/>
    <n v="26000"/>
    <n v="0"/>
    <n v="26000"/>
  </r>
  <r>
    <n v="224"/>
    <s v="Expenses Payable"/>
    <s v="Liabilities for Expenses"/>
    <x v="0"/>
    <x v="0"/>
    <m/>
    <x v="0"/>
    <m/>
    <n v="25775"/>
    <n v="0"/>
    <n v="0"/>
    <n v="25775"/>
    <m/>
    <n v="7775"/>
    <n v="18000"/>
    <n v="0"/>
    <n v="25775"/>
  </r>
  <r>
    <n v="225"/>
    <s v="Expenses Payable - Bluestreak ( Bonus )"/>
    <s v="BLUESTREAK (EXPENSES)"/>
    <x v="2"/>
    <x v="3"/>
    <s v="Salary &amp; wages"/>
    <x v="2"/>
    <m/>
    <n v="0"/>
    <n v="0"/>
    <n v="0"/>
    <n v="0"/>
    <m/>
    <n v="0"/>
    <n v="0"/>
    <n v="0"/>
    <n v="0"/>
  </r>
  <r>
    <n v="226"/>
    <s v="Expenses Payable - Clarus ( Bonus )"/>
    <s v="CLARUS (EXPENSE)"/>
    <x v="2"/>
    <x v="3"/>
    <s v="Salary &amp; wages"/>
    <x v="5"/>
    <m/>
    <n v="0"/>
    <n v="0"/>
    <n v="0"/>
    <n v="0"/>
    <m/>
    <n v="0"/>
    <n v="9375"/>
    <n v="0"/>
    <n v="9375"/>
  </r>
  <r>
    <n v="227"/>
    <s v="Expenses Payable - Factory ( Bonus )"/>
    <s v="FACTORY EXPENSE"/>
    <x v="2"/>
    <x v="3"/>
    <s v="Salary &amp; wages"/>
    <x v="1"/>
    <m/>
    <n v="0"/>
    <n v="0"/>
    <n v="0"/>
    <n v="0"/>
    <m/>
    <n v="0"/>
    <n v="14973"/>
    <n v="0"/>
    <n v="14973"/>
  </r>
  <r>
    <n v="228"/>
    <s v="Expenses Payable - Office ( Bonus )"/>
    <s v="OFFICE EXPENSE"/>
    <x v="2"/>
    <x v="3"/>
    <s v="Salary &amp; wages"/>
    <x v="1"/>
    <m/>
    <n v="0"/>
    <n v="13904"/>
    <n v="0"/>
    <n v="13904"/>
    <m/>
    <n v="0"/>
    <n v="36091"/>
    <n v="0"/>
    <n v="36091"/>
  </r>
  <r>
    <n v="229"/>
    <s v="EXPORT GST REFUND"/>
    <s v="Tax Advances"/>
    <x v="0"/>
    <x v="0"/>
    <m/>
    <x v="0"/>
    <m/>
    <n v="-1060335"/>
    <n v="0"/>
    <n v="0"/>
    <n v="-1060335"/>
    <m/>
    <n v="0"/>
    <n v="0"/>
    <n v="1060335"/>
    <n v="-1060335"/>
  </r>
  <r>
    <n v="230"/>
    <s v="Eye Mark Sensor"/>
    <s v="Plant &amp; Machinery"/>
    <x v="0"/>
    <x v="0"/>
    <m/>
    <x v="0"/>
    <m/>
    <n v="5383.47"/>
    <n v="0"/>
    <n v="0"/>
    <n v="5383.47"/>
    <m/>
    <n v="5383.47"/>
    <n v="0"/>
    <n v="0"/>
    <n v="5383.47"/>
  </r>
  <r>
    <n v="231"/>
    <s v="Falguni Mehta Loan A/c"/>
    <s v="Unsecured Loans"/>
    <x v="0"/>
    <x v="0"/>
    <m/>
    <x v="0"/>
    <m/>
    <n v="-33366666.670000002"/>
    <n v="2184388"/>
    <n v="2184388"/>
    <n v="-33366666.670000002"/>
    <m/>
    <n v="-3366666.67"/>
    <n v="2184388"/>
    <n v="32184388"/>
    <n v="-33366666.670000002"/>
  </r>
  <r>
    <n v="232"/>
    <s v="Fans"/>
    <s v="Furniture &amp; Fittings"/>
    <x v="0"/>
    <x v="0"/>
    <m/>
    <x v="0"/>
    <m/>
    <n v="5154.6400000000003"/>
    <n v="0"/>
    <n v="0"/>
    <n v="5154.6400000000003"/>
    <m/>
    <n v="5154.6400000000003"/>
    <n v="0"/>
    <n v="0"/>
    <n v="5154.6400000000003"/>
  </r>
  <r>
    <n v="233"/>
    <s v="Fax Machine"/>
    <s v="Office Equipment"/>
    <x v="0"/>
    <x v="0"/>
    <m/>
    <x v="0"/>
    <m/>
    <n v="405.6"/>
    <n v="0"/>
    <n v="0"/>
    <n v="405.6"/>
    <m/>
    <n v="405.6"/>
    <n v="0"/>
    <n v="0"/>
    <n v="405.6"/>
  </r>
  <r>
    <n v="234"/>
    <s v="FD PRE CLOSURE CHARGE"/>
    <s v="COMMON EXPENSE"/>
    <x v="2"/>
    <x v="3"/>
    <s v="Bank charges"/>
    <x v="1"/>
    <m/>
    <n v="0"/>
    <n v="0"/>
    <n v="0"/>
    <n v="0"/>
    <m/>
    <n v="0"/>
    <n v="0"/>
    <n v="0"/>
    <n v="0"/>
  </r>
  <r>
    <n v="235"/>
    <s v="FD With ICICI Bank 034813014812"/>
    <s v="FDR WITH ICICI BANK"/>
    <x v="0"/>
    <x v="0"/>
    <m/>
    <x v="0"/>
    <m/>
    <n v="-17710"/>
    <n v="0"/>
    <n v="0"/>
    <n v="-17710"/>
    <m/>
    <n v="750921"/>
    <n v="0"/>
    <n v="768631"/>
    <n v="-17710"/>
  </r>
  <r>
    <n v="236"/>
    <s v="FD WITH ICICI BANK 34813014821"/>
    <s v="FDR WITH ICICI BANK"/>
    <x v="0"/>
    <x v="0"/>
    <m/>
    <x v="0"/>
    <m/>
    <n v="-88777"/>
    <n v="0"/>
    <n v="0"/>
    <n v="-88777"/>
    <m/>
    <n v="3753947"/>
    <n v="0"/>
    <n v="3842724"/>
    <n v="-88777"/>
  </r>
  <r>
    <n v="237"/>
    <s v="FD WITH ICICI BANK 34813014822"/>
    <s v="FDR WITH ICICI BANK"/>
    <x v="0"/>
    <x v="0"/>
    <m/>
    <x v="0"/>
    <m/>
    <n v="-19755"/>
    <n v="0"/>
    <n v="0"/>
    <n v="-19755"/>
    <m/>
    <n v="1001053"/>
    <n v="0"/>
    <n v="1020808"/>
    <n v="-19755"/>
  </r>
  <r>
    <n v="238"/>
    <s v="FD WITH ICICI BANK FD NO.034813014731"/>
    <s v="FDR WITH ICICI BANK"/>
    <x v="0"/>
    <x v="0"/>
    <m/>
    <x v="0"/>
    <m/>
    <n v="1166"/>
    <n v="0"/>
    <n v="0"/>
    <n v="1166"/>
    <m/>
    <n v="501665"/>
    <n v="0"/>
    <n v="500499"/>
    <n v="1166"/>
  </r>
  <r>
    <n v="239"/>
    <s v="FD WITH ICICI BANK FD NO-034810011355"/>
    <s v="FDR WITH ICICI BANK"/>
    <x v="0"/>
    <x v="0"/>
    <m/>
    <x v="0"/>
    <m/>
    <n v="12522"/>
    <n v="0"/>
    <n v="0"/>
    <n v="12522"/>
    <m/>
    <n v="1000000"/>
    <n v="0"/>
    <n v="987478"/>
    <n v="12522"/>
  </r>
  <r>
    <n v="240"/>
    <s v="FD WITH ICICI BANK FD NO-034813012794"/>
    <s v="FDR WITH ICICI BANK"/>
    <x v="0"/>
    <x v="0"/>
    <m/>
    <x v="0"/>
    <m/>
    <n v="-7440"/>
    <n v="0"/>
    <n v="0"/>
    <n v="-7440"/>
    <m/>
    <n v="281099.62"/>
    <n v="0"/>
    <n v="288539.62"/>
    <n v="-7440"/>
  </r>
  <r>
    <n v="241"/>
    <s v="FD WITH ICICI BANK FD NO-034813012834"/>
    <s v="FDR WITH ICICI BANK"/>
    <x v="0"/>
    <x v="0"/>
    <m/>
    <x v="0"/>
    <m/>
    <n v="0"/>
    <n v="0"/>
    <n v="0"/>
    <n v="0"/>
    <m/>
    <n v="0"/>
    <n v="0"/>
    <n v="0"/>
    <n v="0"/>
  </r>
  <r>
    <n v="242"/>
    <s v="FD WITH ICICI BANK FD NO-034813013029"/>
    <s v="FDR WITH ICICI BANK"/>
    <x v="0"/>
    <x v="0"/>
    <m/>
    <x v="0"/>
    <m/>
    <n v="0"/>
    <n v="0"/>
    <n v="0"/>
    <n v="0"/>
    <m/>
    <n v="0"/>
    <n v="0"/>
    <n v="0"/>
    <n v="0"/>
  </r>
  <r>
    <n v="243"/>
    <s v="FD WITH ICICI BANK FD NO-034813013030"/>
    <s v="FDR WITH ICICI BANK"/>
    <x v="0"/>
    <x v="0"/>
    <m/>
    <x v="0"/>
    <m/>
    <n v="0"/>
    <n v="0"/>
    <n v="0"/>
    <n v="0"/>
    <m/>
    <n v="0"/>
    <n v="0"/>
    <n v="0"/>
    <n v="0"/>
  </r>
  <r>
    <n v="244"/>
    <s v="FD WITH ICICI BANK FD NO-034813013031"/>
    <s v="FDR WITH ICICI BANK"/>
    <x v="0"/>
    <x v="0"/>
    <m/>
    <x v="0"/>
    <m/>
    <n v="0"/>
    <n v="0"/>
    <n v="0"/>
    <n v="0"/>
    <m/>
    <n v="0"/>
    <n v="0"/>
    <n v="0"/>
    <n v="0"/>
  </r>
  <r>
    <n v="245"/>
    <s v="FD WITH ICICI BANK FD NO-034813013032"/>
    <s v="FDR WITH ICICI BANK"/>
    <x v="0"/>
    <x v="0"/>
    <m/>
    <x v="0"/>
    <m/>
    <n v="0"/>
    <n v="0"/>
    <n v="0"/>
    <n v="0"/>
    <m/>
    <n v="0"/>
    <n v="0"/>
    <n v="0"/>
    <n v="0"/>
  </r>
  <r>
    <n v="246"/>
    <s v="FD WITH ICICI BANK FD NO-034813013045"/>
    <s v="FDR WITH ICICI BANK"/>
    <x v="0"/>
    <x v="0"/>
    <m/>
    <x v="0"/>
    <m/>
    <n v="-5912"/>
    <n v="0"/>
    <n v="0"/>
    <n v="-5912"/>
    <m/>
    <n v="1800667.22"/>
    <n v="0"/>
    <n v="1806579.22"/>
    <n v="-5912"/>
  </r>
  <r>
    <n v="247"/>
    <s v="FD WITH ICICI BANK FD NO-034813013149"/>
    <s v="FDR WITH ICICI BANK"/>
    <x v="0"/>
    <x v="0"/>
    <m/>
    <x v="0"/>
    <m/>
    <n v="0"/>
    <n v="0"/>
    <n v="0"/>
    <n v="0"/>
    <m/>
    <n v="0"/>
    <n v="0"/>
    <n v="0"/>
    <n v="0"/>
  </r>
  <r>
    <n v="248"/>
    <s v="FD WITH ICICI BANK FD NO-034813013381"/>
    <s v="FDR WITH ICICI BANK"/>
    <x v="0"/>
    <x v="0"/>
    <m/>
    <x v="0"/>
    <m/>
    <n v="0"/>
    <n v="0"/>
    <n v="0"/>
    <n v="0"/>
    <m/>
    <n v="0"/>
    <n v="0"/>
    <n v="0"/>
    <n v="0"/>
  </r>
  <r>
    <n v="249"/>
    <s v="FD WITH ICICI BANK FD NO-034813013773"/>
    <s v="FDR WITH ICICI BANK"/>
    <x v="0"/>
    <x v="0"/>
    <m/>
    <x v="0"/>
    <m/>
    <n v="0"/>
    <n v="0"/>
    <n v="0"/>
    <n v="0"/>
    <m/>
    <n v="0"/>
    <n v="0"/>
    <n v="0"/>
    <n v="0"/>
  </r>
  <r>
    <n v="250"/>
    <s v="FD WITH ICICI BANK FD NO-034813013835"/>
    <s v="FDR WITH ICICI BANK"/>
    <x v="0"/>
    <x v="0"/>
    <m/>
    <x v="0"/>
    <m/>
    <n v="0"/>
    <n v="0"/>
    <n v="0"/>
    <n v="0"/>
    <m/>
    <n v="0"/>
    <n v="0"/>
    <n v="0"/>
    <n v="0"/>
  </r>
  <r>
    <n v="251"/>
    <s v="FD WITH ICICI BANK FD NO-034813013867"/>
    <s v="FDR WITH ICICI BANK"/>
    <x v="0"/>
    <x v="0"/>
    <m/>
    <x v="0"/>
    <m/>
    <n v="0"/>
    <n v="0"/>
    <n v="0"/>
    <n v="0"/>
    <m/>
    <n v="0"/>
    <n v="0"/>
    <n v="0"/>
    <n v="0"/>
  </r>
  <r>
    <n v="252"/>
    <s v="FD WITH ICICI BANK FD NO-034813014602"/>
    <s v="FDR WITH ICICI BANK"/>
    <x v="0"/>
    <x v="0"/>
    <m/>
    <x v="0"/>
    <m/>
    <n v="-16459"/>
    <n v="0"/>
    <n v="0"/>
    <n v="-16459"/>
    <m/>
    <n v="756052"/>
    <n v="0"/>
    <n v="772511"/>
    <n v="-16459"/>
  </r>
  <r>
    <n v="253"/>
    <s v="FD WITH ICICI BANK FD NO-034813014630"/>
    <s v="FDR WITH ICICI BANK"/>
    <x v="0"/>
    <x v="0"/>
    <m/>
    <x v="0"/>
    <m/>
    <n v="2210"/>
    <n v="0"/>
    <n v="0"/>
    <n v="2210"/>
    <m/>
    <n v="500347.67"/>
    <n v="0"/>
    <n v="498137.67"/>
    <n v="2210"/>
  </r>
  <r>
    <n v="254"/>
    <s v="FD WITH ICICI BANK-034813014381"/>
    <s v="FDR WITH ICICI BANK"/>
    <x v="0"/>
    <x v="0"/>
    <m/>
    <x v="0"/>
    <m/>
    <n v="0"/>
    <n v="0"/>
    <n v="0"/>
    <n v="0"/>
    <m/>
    <n v="0"/>
    <n v="0"/>
    <n v="0"/>
    <n v="0"/>
  </r>
  <r>
    <n v="255"/>
    <s v="FDR NO. 002 2001 0062485 6383"/>
    <s v="FDR WITH BMC BANK"/>
    <x v="0"/>
    <x v="0"/>
    <m/>
    <x v="0"/>
    <m/>
    <n v="0"/>
    <n v="0"/>
    <n v="0"/>
    <n v="0"/>
    <m/>
    <n v="4557"/>
    <n v="0"/>
    <n v="4557"/>
    <n v="0"/>
  </r>
  <r>
    <n v="256"/>
    <s v="FDR NO. 002 2007 0404375 58535"/>
    <s v="FDR WITH BMC BANK"/>
    <x v="0"/>
    <x v="0"/>
    <m/>
    <x v="0"/>
    <m/>
    <n v="0"/>
    <n v="0"/>
    <n v="0"/>
    <n v="0"/>
    <m/>
    <n v="55038"/>
    <n v="0"/>
    <n v="55038"/>
    <n v="0"/>
  </r>
  <r>
    <n v="257"/>
    <s v="FDR NO-318803030017307"/>
    <s v="FDR WITH UBI BANK"/>
    <x v="0"/>
    <x v="0"/>
    <m/>
    <x v="0"/>
    <m/>
    <n v="0"/>
    <n v="0"/>
    <n v="0"/>
    <n v="0"/>
    <m/>
    <n v="0"/>
    <n v="0"/>
    <n v="0"/>
    <n v="0"/>
  </r>
  <r>
    <n v="258"/>
    <s v="FDR NO-318803030018239"/>
    <s v="FDR WITH UBI BANK"/>
    <x v="0"/>
    <x v="0"/>
    <m/>
    <x v="0"/>
    <m/>
    <n v="0"/>
    <n v="0"/>
    <n v="0"/>
    <n v="0"/>
    <m/>
    <n v="0"/>
    <n v="0"/>
    <n v="0"/>
    <n v="0"/>
  </r>
  <r>
    <n v="259"/>
    <s v="FDR NO-318803030018546"/>
    <s v="FDR WITH UBI BANK"/>
    <x v="0"/>
    <x v="0"/>
    <m/>
    <x v="0"/>
    <m/>
    <n v="0"/>
    <n v="0"/>
    <n v="0"/>
    <n v="0"/>
    <m/>
    <n v="0"/>
    <n v="0"/>
    <n v="0"/>
    <n v="0"/>
  </r>
  <r>
    <n v="260"/>
    <s v="FDR NO-318803030019530"/>
    <s v="FDR WITH UBI BANK"/>
    <x v="0"/>
    <x v="0"/>
    <m/>
    <x v="0"/>
    <m/>
    <n v="-4294453.88"/>
    <n v="0"/>
    <n v="0"/>
    <n v="-4294453.88"/>
    <m/>
    <n v="0"/>
    <n v="0"/>
    <n v="4294453.88"/>
    <n v="-4294453.88"/>
  </r>
  <r>
    <n v="261"/>
    <s v="FDR NO-318803030024400"/>
    <s v="FDR WITH UBI BANK"/>
    <x v="0"/>
    <x v="0"/>
    <m/>
    <x v="0"/>
    <m/>
    <n v="0"/>
    <n v="0"/>
    <n v="0"/>
    <n v="0"/>
    <m/>
    <n v="0"/>
    <n v="0"/>
    <n v="0"/>
    <n v="0"/>
  </r>
  <r>
    <n v="262"/>
    <s v="FDR NO-318803030024401"/>
    <s v="FDR WITH UBI BANK"/>
    <x v="0"/>
    <x v="0"/>
    <m/>
    <x v="0"/>
    <m/>
    <n v="0"/>
    <n v="0"/>
    <n v="0"/>
    <n v="0"/>
    <m/>
    <n v="0"/>
    <n v="0"/>
    <n v="0"/>
    <n v="0"/>
  </r>
  <r>
    <n v="263"/>
    <s v="FDR NO-318803030025600"/>
    <s v="FDR WITH UBI BANK"/>
    <x v="0"/>
    <x v="0"/>
    <m/>
    <x v="0"/>
    <m/>
    <n v="0"/>
    <n v="0"/>
    <n v="0"/>
    <n v="0"/>
    <m/>
    <n v="0"/>
    <n v="0"/>
    <n v="0"/>
    <n v="0"/>
  </r>
  <r>
    <n v="264"/>
    <s v="FDR NO-318803030031079"/>
    <s v="FDR WITH UBI BANK"/>
    <x v="0"/>
    <x v="0"/>
    <m/>
    <x v="0"/>
    <m/>
    <n v="0"/>
    <n v="0"/>
    <n v="0"/>
    <n v="0"/>
    <m/>
    <n v="0"/>
    <n v="0"/>
    <n v="0"/>
    <n v="0"/>
  </r>
  <r>
    <n v="265"/>
    <s v="Federation Of Indian Export Organisations"/>
    <s v="SUNDRY CREDITORS (EXPORT)"/>
    <x v="1"/>
    <x v="1"/>
    <m/>
    <x v="3"/>
    <m/>
    <n v="0"/>
    <n v="0"/>
    <n v="0"/>
    <n v="0"/>
    <m/>
    <n v="0"/>
    <n v="17995"/>
    <n v="17995"/>
    <n v="0"/>
  </r>
  <r>
    <n v="266"/>
    <s v="Firki Wholesale Pvt. Ltd. (Amazon)"/>
    <s v="Sundry Creditors for (Expenses)"/>
    <x v="1"/>
    <x v="1"/>
    <m/>
    <x v="1"/>
    <m/>
    <n v="0"/>
    <n v="0"/>
    <n v="0"/>
    <n v="0"/>
    <m/>
    <n v="-3395"/>
    <n v="3395"/>
    <n v="0"/>
    <n v="0"/>
  </r>
  <r>
    <n v="267"/>
    <s v="FIRST TIME IMPORT/EXPORT CHARGES-CHA"/>
    <s v="EXPORT (EXPENSE)"/>
    <x v="2"/>
    <x v="3"/>
    <s v="Export charges"/>
    <x v="3"/>
    <m/>
    <n v="0"/>
    <n v="0"/>
    <n v="0"/>
    <n v="0"/>
    <m/>
    <n v="0"/>
    <n v="0"/>
    <n v="0"/>
    <n v="0"/>
  </r>
  <r>
    <n v="268"/>
    <s v="Foreign Exchange Gain"/>
    <s v="Indirect Incomes"/>
    <x v="2"/>
    <x v="5"/>
    <s v="Foreign Exchange Gain"/>
    <x v="1"/>
    <m/>
    <n v="0"/>
    <n v="0"/>
    <n v="0"/>
    <n v="0"/>
    <m/>
    <n v="0"/>
    <n v="0"/>
    <n v="566542.43999999994"/>
    <n v="-566542.43999999994"/>
  </r>
  <r>
    <n v="269"/>
    <s v="Foreign Hotel Expense (EXPORT)"/>
    <s v="EXPORT (EXPENSE)"/>
    <x v="2"/>
    <x v="3"/>
    <s v="Accomodation expenses"/>
    <x v="3"/>
    <m/>
    <n v="0"/>
    <n v="81813.94"/>
    <n v="0"/>
    <n v="81813.94"/>
    <m/>
    <n v="0"/>
    <n v="299599.94"/>
    <n v="0"/>
    <n v="299599.94"/>
  </r>
  <r>
    <n v="270"/>
    <s v="FOREX SERVICE CHG GST 18% (EXPORT)"/>
    <s v="EXPORT (EXPENSE)"/>
    <x v="2"/>
    <x v="3"/>
    <s v="Travelling expenses"/>
    <x v="3"/>
    <m/>
    <n v="0"/>
    <n v="0"/>
    <n v="0"/>
    <n v="0"/>
    <m/>
    <n v="0"/>
    <n v="183869"/>
    <n v="0"/>
    <n v="183869"/>
  </r>
  <r>
    <n v="271"/>
    <s v="FOREX SERVICE CHG GST 18% (Office)"/>
    <s v="OFFICE EXPENSE"/>
    <x v="2"/>
    <x v="3"/>
    <s v="Travelling expenses"/>
    <x v="1"/>
    <m/>
    <n v="0"/>
    <n v="0"/>
    <n v="0"/>
    <n v="0"/>
    <m/>
    <n v="0"/>
    <n v="0"/>
    <n v="0"/>
    <n v="0"/>
  </r>
  <r>
    <n v="272"/>
    <s v="Forum Meha Loan A/c"/>
    <s v="Unsecured Loans"/>
    <x v="0"/>
    <x v="0"/>
    <m/>
    <x v="0"/>
    <m/>
    <n v="-33366666.66"/>
    <n v="1184951"/>
    <n v="1184951"/>
    <n v="-33366666.66"/>
    <m/>
    <n v="-3366666.66"/>
    <n v="1184951"/>
    <n v="31184951"/>
    <n v="-33366666.66"/>
  </r>
  <r>
    <n v="273"/>
    <s v="FOUNTAINHEAD EXPORT"/>
    <s v="Sundry Creditors for (OFFICE)"/>
    <x v="1"/>
    <x v="1"/>
    <m/>
    <x v="1"/>
    <m/>
    <n v="0"/>
    <n v="211869"/>
    <n v="211869"/>
    <n v="0"/>
    <m/>
    <n v="0"/>
    <n v="2507257"/>
    <n v="2507257"/>
    <n v="0"/>
  </r>
  <r>
    <n v="274"/>
    <s v="FR-900A Band Sealer (MSH) (Digital)"/>
    <s v="Plant &amp; Machinery"/>
    <x v="0"/>
    <x v="0"/>
    <m/>
    <x v="0"/>
    <m/>
    <n v="11500"/>
    <n v="0"/>
    <n v="0"/>
    <n v="11500"/>
    <m/>
    <n v="11500"/>
    <n v="0"/>
    <n v="0"/>
    <n v="11500"/>
  </r>
  <r>
    <n v="275"/>
    <s v="FR-900A Band Sealer (MSV) (Digital)"/>
    <s v="Plant &amp; Machinery"/>
    <x v="0"/>
    <x v="0"/>
    <m/>
    <x v="0"/>
    <m/>
    <n v="13500"/>
    <n v="0"/>
    <n v="0"/>
    <n v="13500"/>
    <m/>
    <n v="13500"/>
    <n v="0"/>
    <n v="0"/>
    <n v="13500"/>
  </r>
  <r>
    <n v="276"/>
    <s v="Freight Charges GST (CLARUS)"/>
    <s v="CLARUS (EXPENSE)"/>
    <x v="2"/>
    <x v="4"/>
    <s v="Freight &amp; Shipping charges"/>
    <x v="5"/>
    <m/>
    <n v="0"/>
    <n v="0"/>
    <n v="0"/>
    <n v="0"/>
    <m/>
    <n v="0"/>
    <n v="0"/>
    <n v="0"/>
    <n v="0"/>
  </r>
  <r>
    <n v="277"/>
    <s v="Freight Charges GST(PURC)(BLUE STREAK)"/>
    <s v="BLUESTREAK (EXPENSES)"/>
    <x v="2"/>
    <x v="4"/>
    <s v="Freight &amp; Shipping charges"/>
    <x v="2"/>
    <m/>
    <n v="0"/>
    <n v="0"/>
    <n v="0"/>
    <n v="0"/>
    <m/>
    <n v="0"/>
    <n v="0"/>
    <n v="0"/>
    <n v="0"/>
  </r>
  <r>
    <n v="278"/>
    <s v="Friends Computers"/>
    <s v="Rest of Maharashtra"/>
    <x v="1"/>
    <x v="2"/>
    <m/>
    <x v="2"/>
    <m/>
    <n v="0"/>
    <n v="0"/>
    <n v="0"/>
    <n v="0"/>
    <m/>
    <n v="0"/>
    <n v="0"/>
    <n v="0"/>
    <n v="0"/>
  </r>
  <r>
    <n v="279"/>
    <s v="FUEL EXPENSES"/>
    <s v="OFFICE EXPENSE"/>
    <x v="2"/>
    <x v="3"/>
    <s v="Fuel Expenses"/>
    <x v="1"/>
    <m/>
    <n v="0"/>
    <n v="5000"/>
    <n v="0"/>
    <n v="5000"/>
    <m/>
    <n v="0"/>
    <n v="35542"/>
    <n v="0"/>
    <n v="35542"/>
  </r>
  <r>
    <n v="280"/>
    <s v="Furniture &amp; Fixture (Personal)"/>
    <s v="Furniture &amp; Fittings"/>
    <x v="0"/>
    <x v="0"/>
    <m/>
    <x v="0"/>
    <m/>
    <n v="25623.87"/>
    <n v="0"/>
    <n v="0"/>
    <n v="25623.87"/>
    <m/>
    <n v="25623.87"/>
    <n v="0"/>
    <n v="0"/>
    <n v="25623.87"/>
  </r>
  <r>
    <n v="281"/>
    <s v="G. T. Technologies"/>
    <s v="Rest of Maharashtra"/>
    <x v="1"/>
    <x v="2"/>
    <m/>
    <x v="2"/>
    <m/>
    <n v="0"/>
    <n v="0"/>
    <n v="0"/>
    <n v="0"/>
    <m/>
    <n v="0"/>
    <n v="0"/>
    <n v="0"/>
    <n v="0"/>
  </r>
  <r>
    <n v="282"/>
    <s v="Galaxy Enterprises"/>
    <s v="Sundry Creditors for (Expenses)"/>
    <x v="1"/>
    <x v="1"/>
    <m/>
    <x v="1"/>
    <m/>
    <n v="0"/>
    <n v="0"/>
    <n v="0"/>
    <n v="0"/>
    <m/>
    <n v="0"/>
    <n v="0"/>
    <n v="0"/>
    <n v="0"/>
  </r>
  <r>
    <n v="283"/>
    <s v="Garg Computer"/>
    <s v="Punjab"/>
    <x v="1"/>
    <x v="2"/>
    <m/>
    <x v="2"/>
    <m/>
    <n v="0"/>
    <n v="0"/>
    <n v="0"/>
    <n v="0"/>
    <m/>
    <n v="0"/>
    <n v="0"/>
    <n v="0"/>
    <n v="0"/>
  </r>
  <r>
    <n v="284"/>
    <s v="Ginni Filaments Limited"/>
    <s v="Sundry Creditors ( Clarus )"/>
    <x v="1"/>
    <x v="1"/>
    <m/>
    <x v="5"/>
    <m/>
    <n v="-23345"/>
    <n v="0"/>
    <n v="0"/>
    <n v="-23345"/>
    <m/>
    <n v="-23345"/>
    <n v="0"/>
    <n v="0"/>
    <n v="-23345"/>
  </r>
  <r>
    <n v="285"/>
    <s v="Ginni Filaments Ltd (CPD) New"/>
    <s v="Deposits (Asset)"/>
    <x v="0"/>
    <x v="0"/>
    <m/>
    <x v="0"/>
    <m/>
    <n v="220600"/>
    <n v="0"/>
    <n v="0"/>
    <n v="220600"/>
    <m/>
    <n v="220600"/>
    <n v="0"/>
    <n v="0"/>
    <n v="220600"/>
  </r>
  <r>
    <n v="286"/>
    <s v="GLOBAL COMPUTERS"/>
    <s v="SUNDRY CREDITORS (EXPORT)"/>
    <x v="1"/>
    <x v="1"/>
    <m/>
    <x v="3"/>
    <m/>
    <n v="1433"/>
    <n v="0"/>
    <n v="9603"/>
    <n v="-8170"/>
    <m/>
    <n v="0"/>
    <n v="28246533"/>
    <n v="28254703"/>
    <n v="-8170"/>
  </r>
  <r>
    <n v="287"/>
    <s v="Globalnet Computers"/>
    <s v="Sundry Creditors for (Expenses)"/>
    <x v="1"/>
    <x v="1"/>
    <m/>
    <x v="1"/>
    <m/>
    <n v="0"/>
    <n v="0"/>
    <n v="0"/>
    <n v="0"/>
    <m/>
    <n v="0"/>
    <n v="0"/>
    <n v="0"/>
    <n v="0"/>
  </r>
  <r>
    <n v="288"/>
    <s v="Gratuity"/>
    <s v="FACTORY EXPENSE"/>
    <x v="2"/>
    <x v="3"/>
    <s v="Salary &amp; wages"/>
    <x v="1"/>
    <m/>
    <n v="0"/>
    <n v="0"/>
    <n v="0"/>
    <n v="0"/>
    <m/>
    <n v="0"/>
    <n v="80480"/>
    <n v="0"/>
    <n v="80480"/>
  </r>
  <r>
    <n v="289"/>
    <s v="Greenvision Technologies Private Limited"/>
    <s v="Sundry Debtors"/>
    <x v="1"/>
    <x v="2"/>
    <m/>
    <x v="1"/>
    <m/>
    <n v="0"/>
    <n v="0"/>
    <n v="0"/>
    <n v="0"/>
    <m/>
    <n v="0"/>
    <n v="0"/>
    <n v="0"/>
    <n v="0"/>
  </r>
  <r>
    <n v="290"/>
    <s v="Greenvision Technologies Private Limited(TN)"/>
    <s v="Sundry Debtors"/>
    <x v="1"/>
    <x v="2"/>
    <m/>
    <x v="1"/>
    <m/>
    <n v="0"/>
    <n v="0"/>
    <n v="0"/>
    <n v="0"/>
    <m/>
    <n v="237010"/>
    <n v="655048"/>
    <n v="892058"/>
    <n v="0"/>
  </r>
  <r>
    <n v="291"/>
    <s v="GSI India"/>
    <s v="Sundry Creditors for (Expenses)"/>
    <x v="1"/>
    <x v="1"/>
    <m/>
    <x v="1"/>
    <m/>
    <n v="0"/>
    <n v="0"/>
    <n v="0"/>
    <n v="0"/>
    <m/>
    <n v="0"/>
    <n v="0"/>
    <n v="0"/>
    <n v="0"/>
  </r>
  <r>
    <n v="292"/>
    <s v="GST"/>
    <s v="GST Payable"/>
    <x v="0"/>
    <x v="0"/>
    <m/>
    <x v="0"/>
    <m/>
    <n v="-1382189.58"/>
    <n v="0"/>
    <n v="0"/>
    <n v="-1382189.58"/>
    <m/>
    <n v="-35868.97"/>
    <n v="208010"/>
    <n v="1554330.61"/>
    <n v="-1382189.58"/>
  </r>
  <r>
    <n v="293"/>
    <s v="GST Expense"/>
    <s v="OFFICE EXPENSE"/>
    <x v="2"/>
    <x v="3"/>
    <m/>
    <x v="1"/>
    <m/>
    <n v="0"/>
    <n v="0"/>
    <n v="0"/>
    <n v="0"/>
    <m/>
    <n v="0"/>
    <n v="0"/>
    <n v="0"/>
    <n v="0"/>
  </r>
  <r>
    <n v="294"/>
    <s v="GST Receivable"/>
    <s v="Current Assets"/>
    <x v="0"/>
    <x v="0"/>
    <m/>
    <x v="0"/>
    <m/>
    <n v="1649918.95"/>
    <n v="0"/>
    <n v="0"/>
    <n v="1649918.95"/>
    <m/>
    <n v="0"/>
    <n v="11624395.949999999"/>
    <n v="9974477"/>
    <n v="1649918.95"/>
  </r>
  <r>
    <n v="295"/>
    <s v="H A Q Sumar Enterprise Security Deposit"/>
    <s v="Security Deposite New Gala Kaman"/>
    <x v="0"/>
    <x v="0"/>
    <m/>
    <x v="0"/>
    <m/>
    <n v="120000"/>
    <n v="0"/>
    <n v="0"/>
    <n v="120000"/>
    <m/>
    <n v="120000"/>
    <n v="0"/>
    <n v="0"/>
    <n v="120000"/>
  </r>
  <r>
    <n v="296"/>
    <s v="H A Q SUMAR ENTERPRISES"/>
    <s v="Sundry Creditors for Factory"/>
    <x v="1"/>
    <x v="1"/>
    <m/>
    <x v="1"/>
    <m/>
    <n v="-50009"/>
    <n v="54640"/>
    <n v="54640"/>
    <n v="-50009"/>
    <m/>
    <n v="-52164"/>
    <n v="632063"/>
    <n v="629908"/>
    <n v="-50009"/>
  </r>
  <r>
    <n v="297"/>
    <s v="Hand Pallet Truck"/>
    <s v="Plant &amp; Machinery"/>
    <x v="0"/>
    <x v="0"/>
    <m/>
    <x v="0"/>
    <m/>
    <n v="5241.51"/>
    <n v="0"/>
    <n v="0"/>
    <n v="5241.51"/>
    <m/>
    <n v="5241.51"/>
    <n v="0"/>
    <n v="0"/>
    <n v="5241.51"/>
  </r>
  <r>
    <n v="298"/>
    <s v="Origin Terminal Handling Charge"/>
    <s v="SPICE EXPENSE"/>
    <x v="2"/>
    <x v="4"/>
    <s v="Port Expenses"/>
    <x v="4"/>
    <m/>
    <n v="0"/>
    <n v="9500"/>
    <n v="0"/>
    <n v="9500"/>
    <m/>
    <n v="0"/>
    <n v="30700"/>
    <n v="0"/>
    <n v="30700"/>
  </r>
  <r>
    <n v="298"/>
    <s v="Handkerchief Pocket Tissue Converting Machine"/>
    <s v="Plant &amp; Machinery"/>
    <x v="0"/>
    <x v="0"/>
    <m/>
    <x v="0"/>
    <m/>
    <n v="70583.740000000005"/>
    <n v="0"/>
    <n v="0"/>
    <n v="70583.740000000005"/>
    <m/>
    <n v="70583.740000000005"/>
    <n v="0"/>
    <n v="0"/>
    <n v="70583.740000000005"/>
  </r>
  <r>
    <n v="299"/>
    <s v="Palsun Maritime (India) Limited"/>
    <s v="SUNDRY CREDITORS (Spice)"/>
    <x v="1"/>
    <x v="1"/>
    <m/>
    <x v="4"/>
    <m/>
    <n v="-17246"/>
    <n v="402716"/>
    <n v="2319667.73"/>
    <n v="-1934197.73"/>
    <m/>
    <n v="0"/>
    <n v="1513808"/>
    <n v="3448005.73"/>
    <n v="-1934197.73"/>
  </r>
  <r>
    <n v="299"/>
    <s v="Handkerchief Pocket Tissue Packing Machine"/>
    <s v="Plant &amp; Machinery"/>
    <x v="0"/>
    <x v="0"/>
    <m/>
    <x v="0"/>
    <m/>
    <n v="11265.99"/>
    <n v="0"/>
    <n v="0"/>
    <n v="11265.99"/>
    <m/>
    <n v="11265.99"/>
    <n v="0"/>
    <n v="0"/>
    <n v="11265.99"/>
  </r>
  <r>
    <n v="300"/>
    <s v="Paper Roll (18%)"/>
    <s v="Packaging for Spice"/>
    <x v="2"/>
    <x v="7"/>
    <s v="Purchase"/>
    <x v="4"/>
    <m/>
    <n v="0"/>
    <n v="0"/>
    <n v="0"/>
    <n v="0"/>
    <m/>
    <n v="0"/>
    <n v="0"/>
    <n v="0"/>
    <n v="0"/>
  </r>
  <r>
    <n v="300"/>
    <s v="Harsha Enterprises"/>
    <s v="Sundry Creditors for (Expenses)"/>
    <x v="1"/>
    <x v="1"/>
    <m/>
    <x v="1"/>
    <m/>
    <n v="199900"/>
    <n v="0"/>
    <n v="100000"/>
    <n v="99900"/>
    <m/>
    <n v="0"/>
    <n v="300000"/>
    <n v="200100"/>
    <n v="99900"/>
  </r>
  <r>
    <n v="301"/>
    <s v="PF Admin Charges"/>
    <s v="ESIC  Payable Office"/>
    <x v="0"/>
    <x v="0"/>
    <m/>
    <x v="0"/>
    <m/>
    <n v="1375"/>
    <n v="0"/>
    <n v="0"/>
    <n v="1375"/>
    <m/>
    <n v="0"/>
    <n v="1375"/>
    <n v="0"/>
    <n v="1375"/>
  </r>
  <r>
    <n v="301"/>
    <s v="HDFC Bank Credit Card 4375465000802029"/>
    <s v="COMMON EXPENSE"/>
    <x v="1"/>
    <x v="1"/>
    <m/>
    <x v="0"/>
    <m/>
    <n v="0"/>
    <n v="13176"/>
    <n v="0"/>
    <n v="13176"/>
    <m/>
    <n v="0"/>
    <n v="144073"/>
    <n v="130897"/>
    <n v="13176"/>
  </r>
  <r>
    <n v="302"/>
    <s v="HDFC BANK NEW A/C NO-50200093303339"/>
    <s v="Bank Accounts"/>
    <x v="0"/>
    <x v="0"/>
    <m/>
    <x v="3"/>
    <m/>
    <n v="0"/>
    <n v="0"/>
    <n v="0"/>
    <n v="0"/>
    <m/>
    <n v="13200"/>
    <n v="0"/>
    <n v="13200"/>
    <n v="0"/>
  </r>
  <r>
    <n v="303"/>
    <s v="HDFC Credit Card"/>
    <s v="Sundry Creditors for (Expenses)"/>
    <x v="1"/>
    <x v="1"/>
    <m/>
    <x v="1"/>
    <m/>
    <n v="7796"/>
    <n v="0"/>
    <n v="0"/>
    <n v="7796"/>
    <m/>
    <n v="0"/>
    <n v="7796"/>
    <n v="0"/>
    <n v="7796"/>
  </r>
  <r>
    <n v="304"/>
    <s v="HDFC CREDIT CARD NO. 4375 4650 0002 6306"/>
    <s v="COMMON EXPENSE"/>
    <x v="1"/>
    <x v="1"/>
    <m/>
    <x v="1"/>
    <m/>
    <n v="93"/>
    <n v="29207"/>
    <n v="29300"/>
    <n v="0"/>
    <m/>
    <n v="16750"/>
    <n v="248193"/>
    <n v="264943"/>
    <n v="0"/>
  </r>
  <r>
    <n v="305"/>
    <s v="HDFC CREDIT CARD NO. 4375 4650 0011 8822"/>
    <s v="COMMON EXPENSE"/>
    <x v="1"/>
    <x v="1"/>
    <m/>
    <x v="1"/>
    <m/>
    <n v="0"/>
    <n v="0"/>
    <n v="0"/>
    <n v="0"/>
    <m/>
    <n v="0"/>
    <n v="0"/>
    <n v="0"/>
    <n v="0"/>
  </r>
  <r>
    <n v="306"/>
    <s v="HDFC CREDIT CARD NO. 4375 4650 0076 0326"/>
    <s v="COMMON EXPENSE"/>
    <x v="1"/>
    <x v="1"/>
    <m/>
    <x v="1"/>
    <m/>
    <n v="0"/>
    <n v="0"/>
    <n v="0"/>
    <n v="0"/>
    <m/>
    <n v="18"/>
    <n v="0"/>
    <n v="18"/>
    <n v="0"/>
  </r>
  <r>
    <n v="307"/>
    <s v="HDFC Credit Card-6529 2600 0205 9946"/>
    <s v="Sundry Creditors for (Expenses)"/>
    <x v="1"/>
    <x v="1"/>
    <m/>
    <x v="1"/>
    <m/>
    <n v="0"/>
    <n v="0"/>
    <n v="0"/>
    <n v="0"/>
    <m/>
    <n v="0"/>
    <n v="0"/>
    <n v="0"/>
    <n v="0"/>
  </r>
  <r>
    <n v="308"/>
    <s v="HDFC Ergo General Insurance Company Ltd"/>
    <s v="Sundry Creditors for (Expenses)"/>
    <x v="1"/>
    <x v="1"/>
    <m/>
    <x v="1"/>
    <m/>
    <n v="0"/>
    <n v="0"/>
    <n v="0"/>
    <n v="0"/>
    <m/>
    <n v="0"/>
    <n v="147415"/>
    <n v="147415"/>
    <n v="0"/>
  </r>
  <r>
    <n v="309"/>
    <s v="HDFC SECURITIES LIMITED"/>
    <s v="Sundry Creditors for (OFFICE)"/>
    <x v="1"/>
    <x v="1"/>
    <m/>
    <x v="1"/>
    <m/>
    <n v="0"/>
    <n v="0"/>
    <n v="0"/>
    <n v="0"/>
    <m/>
    <n v="0"/>
    <n v="0"/>
    <n v="0"/>
    <n v="0"/>
  </r>
  <r>
    <n v="310"/>
    <s v="HDFC SWIGGY CREDIT CARD 5268730004771208"/>
    <s v="Sundry Creditors for (Expenses)"/>
    <x v="1"/>
    <x v="1"/>
    <m/>
    <x v="1"/>
    <m/>
    <n v="0"/>
    <n v="0"/>
    <n v="0"/>
    <n v="0"/>
    <m/>
    <n v="0"/>
    <n v="4594"/>
    <n v="4594"/>
    <n v="0"/>
  </r>
  <r>
    <n v="311"/>
    <s v="Hinglag Packaging LLP"/>
    <s v="Sundry Creditors for Factory"/>
    <x v="1"/>
    <x v="1"/>
    <m/>
    <x v="1"/>
    <m/>
    <n v="0"/>
    <n v="0"/>
    <n v="0"/>
    <n v="0"/>
    <m/>
    <n v="0"/>
    <n v="1215"/>
    <n v="1215"/>
    <n v="0"/>
  </r>
  <r>
    <n v="312"/>
    <s v="Hotel Marine Plaza"/>
    <s v="SUNDRY CREDITORS (EXPORT)"/>
    <x v="1"/>
    <x v="1"/>
    <m/>
    <x v="1"/>
    <m/>
    <n v="0"/>
    <n v="0"/>
    <n v="0"/>
    <n v="0"/>
    <m/>
    <n v="0"/>
    <n v="40120"/>
    <n v="40120"/>
    <n v="0"/>
  </r>
  <r>
    <n v="313"/>
    <s v="House Rent Allowance  - Factory"/>
    <s v="Salary &amp; Wages - Factory"/>
    <x v="2"/>
    <x v="3"/>
    <s v="Salary &amp; wages"/>
    <x v="1"/>
    <m/>
    <n v="0"/>
    <n v="2925"/>
    <n v="0"/>
    <n v="2925"/>
    <m/>
    <n v="0"/>
    <n v="29190"/>
    <n v="0"/>
    <n v="29190"/>
  </r>
  <r>
    <n v="314"/>
    <s v="House Rent Allowance - Bluestreak"/>
    <s v="Salary &amp; Wages - Bluestreak"/>
    <x v="2"/>
    <x v="3"/>
    <s v="Salary &amp; wages"/>
    <x v="2"/>
    <m/>
    <n v="0"/>
    <n v="0"/>
    <n v="0"/>
    <n v="0"/>
    <m/>
    <n v="0"/>
    <n v="0"/>
    <n v="0"/>
    <n v="0"/>
  </r>
  <r>
    <n v="315"/>
    <s v="House Rent Allowance - Clarus"/>
    <s v="Salary &amp; Wages - Clarus"/>
    <x v="2"/>
    <x v="3"/>
    <s v="Salary &amp; wages"/>
    <x v="5"/>
    <m/>
    <n v="0"/>
    <n v="0"/>
    <n v="0"/>
    <n v="0"/>
    <m/>
    <n v="0"/>
    <n v="13950"/>
    <n v="0"/>
    <n v="13950"/>
  </r>
  <r>
    <n v="316"/>
    <s v="House Rent Allowance - Office"/>
    <s v="Salary &amp; Wages - Office"/>
    <x v="2"/>
    <x v="3"/>
    <s v="Salary &amp; wages"/>
    <x v="1"/>
    <m/>
    <n v="0"/>
    <n v="22649"/>
    <n v="0"/>
    <n v="22649"/>
    <m/>
    <n v="0"/>
    <n v="331246"/>
    <n v="0"/>
    <n v="331246"/>
  </r>
  <r>
    <n v="317"/>
    <s v="HX-1575B Rewinding &amp; Perforating Kitchen Towel Mach"/>
    <s v="Plant &amp; Machinery"/>
    <x v="0"/>
    <x v="0"/>
    <m/>
    <x v="0"/>
    <m/>
    <n v="532692.65"/>
    <n v="0"/>
    <n v="0"/>
    <n v="532692.65"/>
    <m/>
    <n v="532692.65"/>
    <n v="0"/>
    <n v="0"/>
    <n v="532692.65"/>
  </r>
  <r>
    <n v="318"/>
    <s v="HX-1575B Rewinding &amp; Perforation Toilet Roll Machin"/>
    <s v="Plant &amp; Machinery"/>
    <x v="0"/>
    <x v="0"/>
    <m/>
    <x v="0"/>
    <m/>
    <n v="443911.44"/>
    <n v="0"/>
    <n v="0"/>
    <n v="443911.44"/>
    <m/>
    <n v="443911.44"/>
    <n v="0"/>
    <n v="0"/>
    <n v="443911.44"/>
  </r>
  <r>
    <n v="319"/>
    <s v="ICE GATE SERVICE CHARGE (EXPORT)"/>
    <s v="EXPORT (EXPENSE)"/>
    <x v="2"/>
    <x v="4"/>
    <s v="Export charges"/>
    <x v="3"/>
    <m/>
    <n v="0"/>
    <n v="0"/>
    <n v="0"/>
    <n v="0"/>
    <m/>
    <n v="0"/>
    <n v="0"/>
    <n v="0"/>
    <n v="0"/>
  </r>
  <r>
    <n v="320"/>
    <s v="ICICI BANK LTD. A/C NO-034805006668"/>
    <s v="Bank Accounts"/>
    <x v="0"/>
    <x v="0"/>
    <m/>
    <x v="0"/>
    <m/>
    <n v="127374.74"/>
    <n v="82237465.819999993"/>
    <n v="79552327.950000003"/>
    <n v="2812512.61"/>
    <m/>
    <n v="383377.59"/>
    <n v="366759978.43000001"/>
    <n v="364330843.41000003"/>
    <n v="2812512.61"/>
  </r>
  <r>
    <n v="321"/>
    <s v="ICICI CESS dummy ledger"/>
    <s v="Duties &amp; Taxes"/>
    <x v="0"/>
    <x v="0"/>
    <m/>
    <x v="0"/>
    <m/>
    <n v="0"/>
    <n v="0"/>
    <n v="0"/>
    <n v="0"/>
    <m/>
    <n v="0"/>
    <n v="0"/>
    <n v="0"/>
    <n v="0"/>
  </r>
  <r>
    <n v="322"/>
    <s v="ICICI CGST dummy ledger"/>
    <s v="Duties &amp; Taxes"/>
    <x v="0"/>
    <x v="0"/>
    <m/>
    <x v="0"/>
    <m/>
    <n v="0"/>
    <n v="0"/>
    <n v="0"/>
    <n v="0"/>
    <m/>
    <n v="0"/>
    <n v="0"/>
    <n v="0"/>
    <n v="0"/>
  </r>
  <r>
    <n v="323"/>
    <s v="ICICI CREDIT CARD 4315 8126 9298 1004"/>
    <s v="Sundry Creditors for (Expenses)"/>
    <x v="1"/>
    <x v="1"/>
    <m/>
    <x v="1"/>
    <m/>
    <n v="0"/>
    <n v="0"/>
    <n v="0"/>
    <n v="0"/>
    <m/>
    <n v="0"/>
    <n v="18956"/>
    <n v="18956"/>
    <n v="0"/>
  </r>
  <r>
    <n v="324"/>
    <s v="ICICI CREDIT CARD 5241 9393 8697 3009"/>
    <s v="Sundry Creditors for (Expenses)"/>
    <x v="1"/>
    <x v="1"/>
    <m/>
    <x v="1"/>
    <m/>
    <n v="0"/>
    <n v="0"/>
    <n v="0"/>
    <n v="0"/>
    <m/>
    <n v="0"/>
    <n v="363197"/>
    <n v="363197"/>
    <n v="0"/>
  </r>
  <r>
    <n v="325"/>
    <s v="ICICI IGST dummy ledger"/>
    <s v="Duties &amp; Taxes"/>
    <x v="0"/>
    <x v="0"/>
    <m/>
    <x v="0"/>
    <m/>
    <n v="0"/>
    <n v="0"/>
    <n v="0"/>
    <n v="0"/>
    <m/>
    <n v="0"/>
    <n v="0"/>
    <n v="0"/>
    <n v="0"/>
  </r>
  <r>
    <n v="326"/>
    <s v="ICICI LOMBARD GENRAL INSURANCE CO. LTD."/>
    <s v="Sundry Creditors for Factory"/>
    <x v="1"/>
    <x v="1"/>
    <m/>
    <x v="1"/>
    <m/>
    <n v="0"/>
    <n v="0"/>
    <n v="0"/>
    <n v="0"/>
    <m/>
    <n v="0"/>
    <n v="15505"/>
    <n v="15505"/>
    <n v="0"/>
  </r>
  <r>
    <n v="327"/>
    <s v="ICICI PRUDENTIAL MUTUAL FUND F.No-31862226"/>
    <s v="MUTUAL FUND INVESTMENT"/>
    <x v="0"/>
    <x v="0"/>
    <m/>
    <x v="0"/>
    <m/>
    <n v="0"/>
    <n v="0"/>
    <n v="0"/>
    <n v="0"/>
    <m/>
    <n v="149992.5"/>
    <n v="0"/>
    <n v="149992.5"/>
    <n v="0"/>
  </r>
  <r>
    <n v="328"/>
    <s v="ICICI SGST dummy ledger"/>
    <s v="Duties &amp; Taxes"/>
    <x v="0"/>
    <x v="0"/>
    <m/>
    <x v="0"/>
    <m/>
    <n v="0"/>
    <n v="0"/>
    <n v="0"/>
    <n v="0"/>
    <m/>
    <n v="0"/>
    <n v="0"/>
    <n v="0"/>
    <n v="0"/>
  </r>
  <r>
    <n v="329"/>
    <s v="ICICI Suspense A/c"/>
    <s v="Suspense A/c"/>
    <x v="1"/>
    <x v="0"/>
    <m/>
    <x v="1"/>
    <m/>
    <n v="0"/>
    <n v="0"/>
    <n v="0"/>
    <n v="0"/>
    <m/>
    <n v="0"/>
    <n v="0"/>
    <n v="0"/>
    <n v="0"/>
  </r>
  <r>
    <n v="330"/>
    <s v="IDFC First Bank Limited"/>
    <s v="Share Investment Anand Rathi"/>
    <x v="0"/>
    <x v="0"/>
    <m/>
    <x v="0"/>
    <m/>
    <n v="0"/>
    <n v="0"/>
    <n v="0"/>
    <n v="0"/>
    <m/>
    <n v="153632.85"/>
    <n v="166.44"/>
    <n v="153799.29"/>
    <n v="0"/>
  </r>
  <r>
    <n v="331"/>
    <s v="IGST 12 %"/>
    <s v="GST Payable"/>
    <x v="0"/>
    <x v="0"/>
    <m/>
    <x v="0"/>
    <m/>
    <n v="3790.08"/>
    <n v="0"/>
    <n v="0"/>
    <n v="3790.08"/>
    <m/>
    <n v="0"/>
    <n v="12224.35"/>
    <n v="8434.27"/>
    <n v="3790.08"/>
  </r>
  <r>
    <n v="332"/>
    <s v="IGST 18%"/>
    <s v="GST Payable"/>
    <x v="0"/>
    <x v="0"/>
    <m/>
    <x v="0"/>
    <m/>
    <n v="675475.88"/>
    <n v="123630.03"/>
    <n v="0"/>
    <n v="799105.91"/>
    <m/>
    <n v="-518342"/>
    <n v="21702186.170000002"/>
    <n v="20384738.260000002"/>
    <n v="799105.91"/>
  </r>
  <r>
    <n v="333"/>
    <s v="IGST 5%"/>
    <s v="GST Payable"/>
    <x v="0"/>
    <x v="0"/>
    <m/>
    <x v="0"/>
    <m/>
    <n v="214404.69"/>
    <n v="2038318.32"/>
    <n v="3553930.14"/>
    <n v="-1301207.1299999999"/>
    <m/>
    <n v="0"/>
    <n v="4302890.2"/>
    <n v="5604097.3300000001"/>
    <n v="-1301207.1299999999"/>
  </r>
  <r>
    <n v="334"/>
    <s v="Image Info Consumables"/>
    <s v="Sundry Debtors Blue Streak Shrikant"/>
    <x v="1"/>
    <x v="2"/>
    <m/>
    <x v="1"/>
    <m/>
    <n v="0"/>
    <n v="0"/>
    <n v="0"/>
    <n v="0"/>
    <m/>
    <n v="0"/>
    <n v="0"/>
    <n v="0"/>
    <n v="0"/>
  </r>
  <r>
    <n v="335"/>
    <s v="Income Tax (A S Year 2012-13)"/>
    <s v="Tax Advances"/>
    <x v="0"/>
    <x v="0"/>
    <m/>
    <x v="0"/>
    <m/>
    <n v="1067760"/>
    <n v="0"/>
    <n v="0"/>
    <n v="1067760"/>
    <m/>
    <n v="1067760"/>
    <n v="0"/>
    <n v="0"/>
    <n v="1067760"/>
  </r>
  <r>
    <n v="336"/>
    <s v="Income Tax Refund ( AY 14-15 )"/>
    <s v="Tax Advances"/>
    <x v="0"/>
    <x v="0"/>
    <m/>
    <x v="0"/>
    <m/>
    <n v="-44770"/>
    <n v="0"/>
    <n v="0"/>
    <n v="-44770"/>
    <m/>
    <n v="-44770"/>
    <n v="0"/>
    <n v="0"/>
    <n v="-44770"/>
  </r>
  <r>
    <n v="337"/>
    <s v="Indian Oil Axis Bank Credit Card 4386280528394152"/>
    <s v="Sundry Creditors for (Expenses)"/>
    <x v="1"/>
    <x v="1"/>
    <m/>
    <x v="1"/>
    <m/>
    <n v="0"/>
    <n v="0"/>
    <n v="0"/>
    <n v="0"/>
    <m/>
    <n v="0"/>
    <n v="14637.12"/>
    <n v="14637.12"/>
    <n v="0"/>
  </r>
  <r>
    <n v="338"/>
    <s v="Indrayani Sales Pvt Ltd"/>
    <s v="SUNDRY DEBTORS BLUESTREAK - AJAYSIR"/>
    <x v="1"/>
    <x v="2"/>
    <m/>
    <x v="2"/>
    <m/>
    <n v="90097"/>
    <n v="0"/>
    <n v="0"/>
    <n v="90097"/>
    <m/>
    <n v="90097"/>
    <n v="0"/>
    <n v="0"/>
    <n v="90097"/>
  </r>
  <r>
    <n v="339"/>
    <s v="Indusind Bank Credit Card No. 4147 5248 7257 6017"/>
    <s v="SUNDRY CREDITORS (EXPORT)"/>
    <x v="1"/>
    <x v="1"/>
    <m/>
    <x v="3"/>
    <m/>
    <n v="0"/>
    <n v="0"/>
    <n v="0"/>
    <n v="0"/>
    <m/>
    <n v="0"/>
    <n v="0"/>
    <n v="0"/>
    <n v="0"/>
  </r>
  <r>
    <n v="340"/>
    <s v="Induslnd Bank Credit Card No.3561 4200 0783 9165"/>
    <s v="Sundry Creditors for (Expenses)"/>
    <x v="1"/>
    <x v="1"/>
    <m/>
    <x v="1"/>
    <m/>
    <n v="0"/>
    <n v="0"/>
    <n v="0"/>
    <n v="0"/>
    <m/>
    <n v="0"/>
    <n v="31186.03"/>
    <n v="31186.03"/>
    <n v="0"/>
  </r>
  <r>
    <n v="341"/>
    <s v="Induslnd Bank Credit Card No.5376524692827102"/>
    <s v="Sundry Creditors for (Expenses)"/>
    <x v="1"/>
    <x v="1"/>
    <m/>
    <x v="1"/>
    <m/>
    <n v="0"/>
    <n v="0"/>
    <n v="0"/>
    <n v="0"/>
    <m/>
    <n v="0"/>
    <n v="62386"/>
    <n v="62386"/>
    <n v="0"/>
  </r>
  <r>
    <n v="342"/>
    <s v="INDUSTRIAL ENGINEERS DISTRIBUTORS PVT. LTD."/>
    <s v="SUNDRY CREDITORS (EXPORT)"/>
    <x v="1"/>
    <x v="1"/>
    <m/>
    <x v="3"/>
    <m/>
    <n v="0"/>
    <n v="0"/>
    <n v="0"/>
    <n v="0"/>
    <m/>
    <n v="0"/>
    <n v="89147"/>
    <n v="89147"/>
    <n v="0"/>
  </r>
  <r>
    <n v="343"/>
    <s v="INFO EDGE (INDIA) LTD"/>
    <s v="SUNDRY CREDITORS (EXPORT)"/>
    <x v="1"/>
    <x v="1"/>
    <m/>
    <x v="3"/>
    <m/>
    <n v="0"/>
    <n v="0"/>
    <n v="0"/>
    <n v="0"/>
    <m/>
    <n v="-22420"/>
    <n v="22420"/>
    <n v="0"/>
    <n v="0"/>
  </r>
  <r>
    <n v="344"/>
    <s v="INFODRIVEINDIA PVT LTD"/>
    <s v="SUNDRY CREDITORS (EXPORT)"/>
    <x v="1"/>
    <x v="1"/>
    <m/>
    <x v="3"/>
    <m/>
    <n v="0"/>
    <n v="0"/>
    <n v="0"/>
    <n v="0"/>
    <m/>
    <n v="0"/>
    <n v="318600"/>
    <n v="318600"/>
    <n v="0"/>
  </r>
  <r>
    <n v="345"/>
    <s v="Infopower Systems"/>
    <s v="ASSAM"/>
    <x v="1"/>
    <x v="2"/>
    <m/>
    <x v="2"/>
    <m/>
    <n v="-12803"/>
    <n v="0"/>
    <n v="0"/>
    <n v="-12803"/>
    <m/>
    <n v="-12803"/>
    <n v="0"/>
    <n v="0"/>
    <n v="-12803"/>
  </r>
  <r>
    <n v="346"/>
    <s v="Infotech Solution"/>
    <s v="Tamil Nadu"/>
    <x v="1"/>
    <x v="2"/>
    <m/>
    <x v="2"/>
    <m/>
    <n v="0"/>
    <n v="0"/>
    <n v="0"/>
    <n v="0"/>
    <m/>
    <n v="0"/>
    <n v="42903"/>
    <n v="42903"/>
    <n v="0"/>
  </r>
  <r>
    <n v="347"/>
    <s v="Instanet Technologies Private Limited"/>
    <s v="Sundry Creditors for Factory"/>
    <x v="1"/>
    <x v="1"/>
    <m/>
    <x v="1"/>
    <m/>
    <n v="0"/>
    <n v="650"/>
    <n v="650"/>
    <n v="0"/>
    <m/>
    <n v="0"/>
    <n v="7800"/>
    <n v="7800"/>
    <n v="0"/>
  </r>
  <r>
    <n v="348"/>
    <s v="INSURANCE OF EXPORT BILL"/>
    <s v="EXPORT (EXPENSE)"/>
    <x v="2"/>
    <x v="4"/>
    <s v="Insurance expenses"/>
    <x v="3"/>
    <m/>
    <n v="0"/>
    <n v="14837"/>
    <n v="0"/>
    <n v="14837"/>
    <m/>
    <n v="0"/>
    <n v="177005"/>
    <n v="0"/>
    <n v="177005"/>
  </r>
  <r>
    <n v="349"/>
    <s v="Insurance Premium ( Factory )"/>
    <s v="FACTORY EXPENSE"/>
    <x v="2"/>
    <x v="3"/>
    <s v="Insurance expenses"/>
    <x v="1"/>
    <m/>
    <n v="0"/>
    <n v="0"/>
    <n v="0"/>
    <n v="0"/>
    <m/>
    <n v="0"/>
    <n v="13139.84"/>
    <n v="0"/>
    <n v="13139.84"/>
  </r>
  <r>
    <n v="350"/>
    <s v="Insurance Premium ( Office )"/>
    <s v="OFFICE EXPENSE"/>
    <x v="2"/>
    <x v="3"/>
    <s v="Insurance expenses"/>
    <x v="1"/>
    <m/>
    <n v="0"/>
    <n v="0"/>
    <n v="0"/>
    <n v="0"/>
    <m/>
    <n v="0"/>
    <n v="142654"/>
    <n v="3966"/>
    <n v="138688"/>
  </r>
  <r>
    <n v="351"/>
    <s v="Interest on FD Receivable"/>
    <s v="Current Assets"/>
    <x v="0"/>
    <x v="0"/>
    <m/>
    <x v="0"/>
    <m/>
    <n v="6595"/>
    <n v="0"/>
    <n v="0"/>
    <n v="6595"/>
    <m/>
    <n v="6955"/>
    <n v="0"/>
    <n v="360"/>
    <n v="6595"/>
  </r>
  <r>
    <n v="352"/>
    <s v="Interest on FD with BMC"/>
    <s v="Interest Income"/>
    <x v="2"/>
    <x v="5"/>
    <s v="Interest Income"/>
    <x v="1"/>
    <m/>
    <n v="0"/>
    <n v="0"/>
    <n v="0"/>
    <n v="0"/>
    <m/>
    <n v="0"/>
    <n v="0"/>
    <n v="0"/>
    <n v="0"/>
  </r>
  <r>
    <n v="353"/>
    <s v="Interest on FD with ICICI"/>
    <s v="Interest Income"/>
    <x v="2"/>
    <x v="5"/>
    <s v="Interest Income"/>
    <x v="1"/>
    <m/>
    <n v="0"/>
    <n v="0"/>
    <n v="0"/>
    <n v="0"/>
    <m/>
    <n v="0"/>
    <n v="0"/>
    <n v="50789"/>
    <n v="-50789"/>
  </r>
  <r>
    <n v="354"/>
    <s v="Interest on FD with UBI"/>
    <s v="Interest Income"/>
    <x v="2"/>
    <x v="5"/>
    <s v="Interest Income"/>
    <x v="1"/>
    <m/>
    <n v="0"/>
    <n v="0"/>
    <n v="0"/>
    <n v="0"/>
    <m/>
    <n v="0"/>
    <n v="0"/>
    <n v="59362"/>
    <n v="-59362"/>
  </r>
  <r>
    <n v="355"/>
    <s v="INTEREST ON TDS"/>
    <s v="OFFICE EXPENSE"/>
    <x v="2"/>
    <x v="3"/>
    <s v="Rates &amp; Taxes"/>
    <x v="1"/>
    <m/>
    <n v="0"/>
    <n v="2925"/>
    <n v="0"/>
    <n v="2925"/>
    <m/>
    <n v="0"/>
    <n v="3751"/>
    <n v="0"/>
    <n v="3751"/>
  </r>
  <r>
    <n v="356"/>
    <s v="INTERGLOBE AVIATION LIMITED"/>
    <s v="SUNDRY CREDITORS (EXPORT)"/>
    <x v="1"/>
    <x v="1"/>
    <m/>
    <x v="3"/>
    <m/>
    <n v="0"/>
    <n v="0"/>
    <n v="0"/>
    <n v="0"/>
    <m/>
    <n v="0"/>
    <n v="58203"/>
    <n v="58203"/>
    <n v="0"/>
  </r>
  <r>
    <n v="357"/>
    <s v="Interglobe Aviation Limited - Gujarat"/>
    <s v="SUNDRY CREDITORS (EXPORT)"/>
    <x v="1"/>
    <x v="1"/>
    <m/>
    <x v="3"/>
    <m/>
    <n v="0"/>
    <n v="0"/>
    <n v="0"/>
    <n v="0"/>
    <m/>
    <n v="0"/>
    <n v="24405.1"/>
    <n v="24405.1"/>
    <n v="0"/>
  </r>
  <r>
    <n v="358"/>
    <s v="Interglobe Aviation Limited-New Delhi"/>
    <s v="SUNDRY CREDITORS (EXPORT)"/>
    <x v="1"/>
    <x v="1"/>
    <m/>
    <x v="3"/>
    <m/>
    <n v="0"/>
    <n v="0"/>
    <n v="0"/>
    <n v="0"/>
    <m/>
    <n v="0"/>
    <n v="18885"/>
    <n v="18885"/>
    <n v="0"/>
  </r>
  <r>
    <n v="359"/>
    <s v="Internet Charges (A to Z)"/>
    <s v="OFFICE EXPENSE"/>
    <x v="2"/>
    <x v="3"/>
    <s v="Telephone &amp; Internet charges"/>
    <x v="1"/>
    <m/>
    <n v="0"/>
    <n v="942.82"/>
    <n v="0"/>
    <n v="942.82"/>
    <m/>
    <n v="0"/>
    <n v="9307.99"/>
    <n v="0"/>
    <n v="9307.99"/>
  </r>
  <r>
    <n v="360"/>
    <s v="Internet Charges Factory"/>
    <s v="FACTORY EXPENSE"/>
    <x v="2"/>
    <x v="3"/>
    <s v="Telephone &amp; Internet charges"/>
    <x v="1"/>
    <m/>
    <n v="0"/>
    <n v="551"/>
    <n v="0"/>
    <n v="551"/>
    <m/>
    <n v="0"/>
    <n v="6612"/>
    <n v="0"/>
    <n v="6612"/>
  </r>
  <r>
    <n v="361"/>
    <s v="Inter-State Purchase (Bluestreak)"/>
    <s v="Purchase Accounts (Blue Streak)"/>
    <x v="2"/>
    <x v="7"/>
    <s v="Purchase"/>
    <x v="2"/>
    <m/>
    <n v="0"/>
    <n v="0"/>
    <n v="0"/>
    <n v="0"/>
    <m/>
    <n v="0"/>
    <n v="0"/>
    <n v="0"/>
    <n v="0"/>
  </r>
  <r>
    <n v="362"/>
    <s v="Inter-State Purchase (Clarus)"/>
    <s v="PURCHASE A/C CLARUS"/>
    <x v="2"/>
    <x v="7"/>
    <s v="Purchase"/>
    <x v="5"/>
    <m/>
    <n v="0"/>
    <n v="0"/>
    <n v="0"/>
    <n v="0"/>
    <m/>
    <n v="0"/>
    <n v="28560"/>
    <n v="0"/>
    <n v="28560"/>
  </r>
  <r>
    <n v="363"/>
    <s v="Inverter"/>
    <s v="Plant &amp; Machinery"/>
    <x v="0"/>
    <x v="0"/>
    <m/>
    <x v="0"/>
    <m/>
    <n v="59548.72"/>
    <n v="0"/>
    <n v="0"/>
    <n v="59548.72"/>
    <m/>
    <n v="59548.72"/>
    <n v="0"/>
    <n v="0"/>
    <n v="59548.72"/>
  </r>
  <r>
    <n v="364"/>
    <s v="Inverter Battery"/>
    <s v="Fixed Assets"/>
    <x v="0"/>
    <x v="0"/>
    <m/>
    <x v="0"/>
    <m/>
    <n v="6440.68"/>
    <n v="0"/>
    <n v="0"/>
    <n v="6440.68"/>
    <m/>
    <n v="6440.68"/>
    <n v="0"/>
    <n v="0"/>
    <n v="6440.68"/>
  </r>
  <r>
    <n v="365"/>
    <s v="Iscon Distributors"/>
    <s v="Uttar Pradesh"/>
    <x v="1"/>
    <x v="2"/>
    <m/>
    <x v="2"/>
    <m/>
    <n v="10201.6"/>
    <n v="0"/>
    <n v="0"/>
    <n v="10201.6"/>
    <m/>
    <n v="56221.599999999999"/>
    <n v="76877"/>
    <n v="122897"/>
    <n v="10201.6"/>
  </r>
  <r>
    <n v="366"/>
    <s v="IT EXPENSE"/>
    <s v="IT EXPENSE"/>
    <x v="0"/>
    <x v="0"/>
    <m/>
    <x v="0"/>
    <m/>
    <n v="0"/>
    <n v="0"/>
    <n v="0"/>
    <n v="0"/>
    <m/>
    <n v="0"/>
    <n v="0"/>
    <n v="0"/>
    <n v="0"/>
  </r>
  <r>
    <n v="367"/>
    <s v="J Core"/>
    <s v="Rajasthan"/>
    <x v="1"/>
    <x v="2"/>
    <m/>
    <x v="2"/>
    <m/>
    <n v="6254"/>
    <n v="0"/>
    <n v="0"/>
    <n v="6254"/>
    <m/>
    <n v="6254"/>
    <n v="0"/>
    <n v="0"/>
    <n v="6254"/>
  </r>
  <r>
    <n v="368"/>
    <s v="J.G CHEMICALS LTD"/>
    <s v="Share Investment Anand Rathi"/>
    <x v="0"/>
    <x v="0"/>
    <m/>
    <x v="0"/>
    <m/>
    <n v="0"/>
    <n v="0"/>
    <n v="0"/>
    <n v="0"/>
    <m/>
    <n v="0"/>
    <n v="0"/>
    <n v="0"/>
    <n v="0"/>
  </r>
  <r>
    <n v="369"/>
    <s v="JAB Equipments Pvt. Ltd."/>
    <s v="Sundry Creditors for (Expenses)"/>
    <x v="1"/>
    <x v="1"/>
    <m/>
    <x v="1"/>
    <m/>
    <n v="0"/>
    <n v="0"/>
    <n v="0"/>
    <n v="0"/>
    <m/>
    <n v="-538"/>
    <n v="1075.7"/>
    <n v="537.70000000000005"/>
    <n v="0"/>
  </r>
  <r>
    <n v="370"/>
    <s v="Jaiswal Transport"/>
    <s v="Sundry Creditors (Transports/Logistics)"/>
    <x v="1"/>
    <x v="1"/>
    <m/>
    <x v="1"/>
    <m/>
    <n v="0"/>
    <n v="0"/>
    <n v="0"/>
    <n v="0"/>
    <m/>
    <n v="0"/>
    <n v="0"/>
    <n v="0"/>
    <n v="0"/>
  </r>
  <r>
    <n v="371"/>
    <s v="Jina Cosmetics Pvt. Ltd."/>
    <s v="Sundry Creditors ( Blue Streak )"/>
    <x v="1"/>
    <x v="1"/>
    <m/>
    <x v="2"/>
    <m/>
    <n v="0"/>
    <n v="0"/>
    <n v="0"/>
    <n v="0"/>
    <m/>
    <n v="0"/>
    <n v="32487"/>
    <n v="32487"/>
    <n v="0"/>
  </r>
  <r>
    <n v="372"/>
    <s v="Jinshasan Info Sysytem"/>
    <s v="SUNDRY CREDITORS (EXPORT)"/>
    <x v="1"/>
    <x v="1"/>
    <m/>
    <x v="1"/>
    <m/>
    <n v="0"/>
    <n v="0"/>
    <n v="0"/>
    <n v="0"/>
    <m/>
    <n v="0"/>
    <n v="96000"/>
    <n v="96000"/>
    <n v="0"/>
  </r>
  <r>
    <n v="373"/>
    <s v="Kaabeer Global Consultants"/>
    <s v="SUNDRY CREDITORS (EXPORT)"/>
    <x v="1"/>
    <x v="1"/>
    <m/>
    <x v="3"/>
    <m/>
    <n v="0"/>
    <n v="0"/>
    <n v="0"/>
    <n v="0"/>
    <m/>
    <n v="0"/>
    <n v="0"/>
    <n v="0"/>
    <n v="0"/>
  </r>
  <r>
    <n v="374"/>
    <s v="Kagaj Digital Gallery"/>
    <s v="Sundry Creditors ( Blue Streak )"/>
    <x v="1"/>
    <x v="1"/>
    <m/>
    <x v="2"/>
    <m/>
    <n v="0"/>
    <n v="0"/>
    <n v="0"/>
    <n v="0"/>
    <m/>
    <n v="-36736"/>
    <n v="77168"/>
    <n v="40432"/>
    <n v="0"/>
  </r>
  <r>
    <n v="375"/>
    <s v="Kamal Agency"/>
    <s v="SUNDRY DEBTORS (BLUE STREAK)"/>
    <x v="1"/>
    <x v="2"/>
    <m/>
    <x v="2"/>
    <m/>
    <n v="0"/>
    <n v="0"/>
    <n v="0"/>
    <n v="0"/>
    <m/>
    <n v="0"/>
    <n v="0"/>
    <n v="0"/>
    <n v="0"/>
  </r>
  <r>
    <n v="376"/>
    <s v="Kaman Police Station"/>
    <s v="SUNDRY DEBTORS (BLUE STREAK)"/>
    <x v="1"/>
    <x v="2"/>
    <m/>
    <x v="2"/>
    <m/>
    <n v="0"/>
    <n v="0"/>
    <n v="0"/>
    <n v="0"/>
    <m/>
    <n v="0"/>
    <n v="500"/>
    <n v="500"/>
    <n v="0"/>
  </r>
  <r>
    <n v="377"/>
    <s v="Kanaiyalal M. Vania"/>
    <s v="Sundry Debtor Clarus (Current)"/>
    <x v="1"/>
    <x v="2"/>
    <m/>
    <x v="5"/>
    <m/>
    <n v="0"/>
    <n v="0"/>
    <n v="0"/>
    <n v="0"/>
    <m/>
    <n v="0"/>
    <n v="0"/>
    <n v="0"/>
    <n v="0"/>
  </r>
  <r>
    <n v="378"/>
    <s v="Karma Management Global Consulting Solutions Private Limited"/>
    <s v="Sundry Debtors"/>
    <x v="1"/>
    <x v="2"/>
    <m/>
    <x v="1"/>
    <m/>
    <n v="0"/>
    <n v="0"/>
    <n v="0"/>
    <n v="0"/>
    <m/>
    <n v="0"/>
    <n v="0"/>
    <n v="0"/>
    <n v="0"/>
  </r>
  <r>
    <n v="379"/>
    <s v="KH 90 SEMI AUTOMATIC STRAPPING MACHINE"/>
    <s v="Plant &amp; Machinery"/>
    <x v="0"/>
    <x v="0"/>
    <m/>
    <x v="0"/>
    <m/>
    <n v="28000"/>
    <n v="0"/>
    <n v="0"/>
    <n v="28000"/>
    <m/>
    <n v="28000"/>
    <n v="0"/>
    <n v="0"/>
    <n v="28000"/>
  </r>
  <r>
    <n v="380"/>
    <s v="KingS It World"/>
    <s v="Tamil Nadu"/>
    <x v="1"/>
    <x v="2"/>
    <m/>
    <x v="2"/>
    <m/>
    <n v="0"/>
    <n v="0"/>
    <n v="0"/>
    <n v="0"/>
    <m/>
    <n v="0"/>
    <n v="0"/>
    <n v="0"/>
    <n v="0"/>
  </r>
  <r>
    <n v="381"/>
    <s v="Kisuji Chamber Type Shrink Tunnal"/>
    <s v="Plant &amp; Machinery"/>
    <x v="0"/>
    <x v="0"/>
    <m/>
    <x v="0"/>
    <m/>
    <n v="18341.55"/>
    <n v="0"/>
    <n v="0"/>
    <n v="18341.55"/>
    <m/>
    <n v="18341.55"/>
    <n v="0"/>
    <n v="0"/>
    <n v="18341.55"/>
  </r>
  <r>
    <n v="382"/>
    <s v="KOTAK CREDIT CARD"/>
    <s v="Sundry Creditors for (Expenses)"/>
    <x v="1"/>
    <x v="1"/>
    <m/>
    <x v="1"/>
    <m/>
    <n v="0"/>
    <n v="0"/>
    <n v="0"/>
    <n v="0"/>
    <m/>
    <n v="0"/>
    <n v="861"/>
    <n v="861"/>
    <n v="0"/>
  </r>
  <r>
    <n v="383"/>
    <s v="Kotak Credit Card No. 4147 6716 0110 0245"/>
    <s v="Sundry Creditors"/>
    <x v="1"/>
    <x v="1"/>
    <m/>
    <x v="1"/>
    <m/>
    <n v="0"/>
    <n v="0"/>
    <n v="0"/>
    <n v="0"/>
    <m/>
    <n v="0"/>
    <n v="0"/>
    <n v="0"/>
    <n v="0"/>
  </r>
  <r>
    <n v="384"/>
    <s v="Krupa Electronic"/>
    <s v="SUNDRY DEBTORS BLUESTREAK - AJAYSIR"/>
    <x v="1"/>
    <x v="2"/>
    <m/>
    <x v="2"/>
    <m/>
    <n v="0"/>
    <n v="0"/>
    <n v="0"/>
    <n v="0"/>
    <m/>
    <n v="0"/>
    <n v="25960"/>
    <n v="25960"/>
    <n v="0"/>
  </r>
  <r>
    <n v="385"/>
    <s v="Labelling Machine"/>
    <s v="Plant &amp; Machinery"/>
    <x v="0"/>
    <x v="0"/>
    <m/>
    <x v="0"/>
    <m/>
    <n v="26231.75"/>
    <n v="0"/>
    <n v="0"/>
    <n v="26231.75"/>
    <m/>
    <n v="26231.75"/>
    <n v="0"/>
    <n v="0"/>
    <n v="26231.75"/>
  </r>
  <r>
    <n v="386"/>
    <s v="LABOUR JOB EXP (BLUESTREAK)"/>
    <s v="BLUESTREAK (EXPENSES)"/>
    <x v="2"/>
    <x v="3"/>
    <s v="Labour charges"/>
    <x v="2"/>
    <m/>
    <n v="0"/>
    <n v="0"/>
    <n v="0"/>
    <n v="0"/>
    <m/>
    <n v="0"/>
    <n v="13260"/>
    <n v="0"/>
    <n v="13260"/>
  </r>
  <r>
    <n v="387"/>
    <s v="Lalit Computer And Appliances"/>
    <s v="Haryana"/>
    <x v="1"/>
    <x v="2"/>
    <m/>
    <x v="2"/>
    <m/>
    <n v="0"/>
    <n v="0"/>
    <n v="0"/>
    <n v="0"/>
    <m/>
    <n v="0"/>
    <n v="0"/>
    <n v="0"/>
    <n v="0"/>
  </r>
  <r>
    <n v="388"/>
    <s v="Late Fee Charges On TDS"/>
    <s v="OFFICE EXPENSE"/>
    <x v="2"/>
    <x v="3"/>
    <s v="Rates &amp; Taxes"/>
    <x v="1"/>
    <m/>
    <n v="0"/>
    <n v="0"/>
    <n v="0"/>
    <n v="0"/>
    <m/>
    <n v="0"/>
    <n v="40000"/>
    <n v="0"/>
    <n v="40000"/>
  </r>
  <r>
    <n v="389"/>
    <s v="LAXMAN PRINTERS &amp; SYSTEM SERVICE"/>
    <s v="Andhra Pradesh"/>
    <x v="1"/>
    <x v="2"/>
    <m/>
    <x v="2"/>
    <m/>
    <n v="0"/>
    <n v="0"/>
    <n v="0"/>
    <n v="0"/>
    <m/>
    <n v="0"/>
    <n v="0"/>
    <n v="0"/>
    <n v="0"/>
  </r>
  <r>
    <n v="390"/>
    <s v="Laxmi Computers And Stationers"/>
    <s v="Rest of Maharashtra"/>
    <x v="1"/>
    <x v="2"/>
    <m/>
    <x v="2"/>
    <m/>
    <n v="39766"/>
    <n v="0"/>
    <n v="0"/>
    <n v="39766"/>
    <m/>
    <n v="39766"/>
    <n v="0"/>
    <n v="0"/>
    <n v="39766"/>
  </r>
  <r>
    <n v="391"/>
    <s v="LEASE RENT FACTORY"/>
    <s v="FACTORY EXPENSE"/>
    <x v="2"/>
    <x v="3"/>
    <s v="Rent expenses"/>
    <x v="1"/>
    <m/>
    <n v="0"/>
    <n v="46305"/>
    <n v="0"/>
    <n v="46305"/>
    <m/>
    <n v="0"/>
    <n v="533820"/>
    <n v="0"/>
    <n v="533820"/>
  </r>
  <r>
    <n v="392"/>
    <s v="Leave Encashment - Bluestreak"/>
    <s v="BLUESTREAK (EXPENSES)"/>
    <x v="2"/>
    <x v="3"/>
    <s v="Salary &amp; wages"/>
    <x v="2"/>
    <m/>
    <n v="0"/>
    <n v="0"/>
    <n v="0"/>
    <n v="0"/>
    <m/>
    <n v="0"/>
    <n v="0"/>
    <n v="0"/>
    <n v="0"/>
  </r>
  <r>
    <n v="393"/>
    <s v="Leave Encashment - Clarus"/>
    <s v="CLARUS (EXPENSE)"/>
    <x v="2"/>
    <x v="3"/>
    <s v="Salary &amp; wages"/>
    <x v="5"/>
    <m/>
    <n v="0"/>
    <n v="0"/>
    <n v="0"/>
    <n v="0"/>
    <m/>
    <n v="0"/>
    <n v="6200"/>
    <n v="0"/>
    <n v="6200"/>
  </r>
  <r>
    <n v="394"/>
    <s v="Leave Encashment - Factory"/>
    <s v="FACTORY EXPENSE"/>
    <x v="2"/>
    <x v="3"/>
    <s v="Salary &amp; wages"/>
    <x v="1"/>
    <m/>
    <n v="0"/>
    <n v="0"/>
    <n v="0"/>
    <n v="0"/>
    <m/>
    <n v="0"/>
    <n v="5409"/>
    <n v="0"/>
    <n v="5409"/>
  </r>
  <r>
    <n v="395"/>
    <s v="Leave Encashment - Office"/>
    <s v="OFFICE EXPENSE"/>
    <x v="2"/>
    <x v="3"/>
    <s v="Salary &amp; wages"/>
    <x v="1"/>
    <m/>
    <n v="0"/>
    <n v="7480"/>
    <n v="0"/>
    <n v="7480"/>
    <m/>
    <n v="0"/>
    <n v="7480"/>
    <n v="0"/>
    <n v="7480"/>
  </r>
  <r>
    <n v="396"/>
    <s v="Loading / Unloading Charges Factory"/>
    <s v="FACTORY EXPENSE"/>
    <x v="2"/>
    <x v="4"/>
    <s v="Loading &amp; Unloading charges"/>
    <x v="7"/>
    <m/>
    <n v="0"/>
    <n v="0"/>
    <n v="0"/>
    <n v="0"/>
    <m/>
    <n v="0"/>
    <n v="0"/>
    <n v="0"/>
    <n v="0"/>
  </r>
  <r>
    <n v="397"/>
    <s v="Local Body Tax Expense"/>
    <s v="EXPORT (EXPENSE)"/>
    <x v="2"/>
    <x v="3"/>
    <s v="Misc Expenses"/>
    <x v="3"/>
    <m/>
    <n v="0"/>
    <n v="0"/>
    <n v="0"/>
    <n v="0"/>
    <m/>
    <n v="0"/>
    <n v="93223"/>
    <n v="0"/>
    <n v="93223"/>
  </r>
  <r>
    <n v="398"/>
    <s v="LOLO CHARGES"/>
    <s v="Direct Expense"/>
    <x v="2"/>
    <x v="4"/>
    <s v="Port Expenses"/>
    <x v="3"/>
    <m/>
    <n v="0"/>
    <n v="0"/>
    <n v="0"/>
    <n v="0"/>
    <m/>
    <n v="0"/>
    <n v="2850"/>
    <n v="0"/>
    <n v="2850"/>
  </r>
  <r>
    <n v="399"/>
    <s v="M/S Jaico"/>
    <s v="Sundry Debtors"/>
    <x v="1"/>
    <x v="2"/>
    <m/>
    <x v="1"/>
    <m/>
    <n v="0"/>
    <n v="0"/>
    <n v="0"/>
    <n v="0"/>
    <m/>
    <n v="0"/>
    <n v="0"/>
    <n v="0"/>
    <n v="0"/>
  </r>
  <r>
    <n v="400"/>
    <s v="M/s Prince Traders"/>
    <s v="ADV FROM CUSTOMER"/>
    <x v="0"/>
    <x v="0"/>
    <m/>
    <x v="0"/>
    <m/>
    <n v="-1250000"/>
    <n v="0"/>
    <n v="0"/>
    <n v="-1250000"/>
    <m/>
    <n v="-1250000"/>
    <n v="0"/>
    <n v="0"/>
    <n v="-1250000"/>
  </r>
  <r>
    <n v="401"/>
    <s v="MACHINE REPAIRING &amp; OPERETOR CLARUS(EXPENSE)"/>
    <s v="CLARUS (EXPENSE)"/>
    <x v="2"/>
    <x v="3"/>
    <s v="Repairs &amp; maintenance expenses"/>
    <x v="5"/>
    <m/>
    <n v="0"/>
    <n v="18401.57"/>
    <n v="0"/>
    <n v="18401.57"/>
    <m/>
    <n v="0"/>
    <n v="18401.57"/>
    <n v="0"/>
    <n v="18401.57"/>
  </r>
  <r>
    <n v="402"/>
    <s v="Mahadev Forex Pvt Ltd"/>
    <s v="SUNDRY CREDITORS (EXPORT)"/>
    <x v="1"/>
    <x v="1"/>
    <m/>
    <x v="3"/>
    <m/>
    <n v="0"/>
    <n v="0"/>
    <n v="0"/>
    <n v="0"/>
    <m/>
    <n v="0"/>
    <n v="320721"/>
    <n v="320721"/>
    <n v="0"/>
  </r>
  <r>
    <n v="403"/>
    <s v="Mahavir Enterprises"/>
    <s v="Sundry Debtor Clarus (Current)"/>
    <x v="1"/>
    <x v="2"/>
    <m/>
    <x v="5"/>
    <m/>
    <n v="0"/>
    <n v="0"/>
    <n v="0"/>
    <n v="0"/>
    <m/>
    <n v="0"/>
    <n v="0"/>
    <n v="0"/>
    <n v="0"/>
  </r>
  <r>
    <n v="404"/>
    <s v="Maintenance -OFFICE (URD)"/>
    <s v="OFFICE EXPENSE"/>
    <x v="2"/>
    <x v="3"/>
    <s v="Repairs &amp; maintenance expenses"/>
    <x v="1"/>
    <m/>
    <n v="0"/>
    <n v="0"/>
    <n v="0"/>
    <n v="0"/>
    <m/>
    <n v="0"/>
    <n v="37648"/>
    <n v="0"/>
    <n v="37648"/>
  </r>
  <r>
    <n v="405"/>
    <s v="Manasiya Paper Products Llp"/>
    <s v="Sundry Creditors ( Clarus )"/>
    <x v="1"/>
    <x v="1"/>
    <m/>
    <x v="5"/>
    <m/>
    <n v="0"/>
    <n v="0"/>
    <n v="0"/>
    <n v="0"/>
    <m/>
    <n v="0"/>
    <n v="0"/>
    <n v="0"/>
    <n v="0"/>
  </r>
  <r>
    <n v="406"/>
    <s v="Manibhadra Electricals Pvt Ltd"/>
    <s v="SUNDRY CREDITORS (EXPORT)"/>
    <x v="1"/>
    <x v="1"/>
    <m/>
    <x v="3"/>
    <m/>
    <n v="0"/>
    <n v="0"/>
    <n v="0"/>
    <n v="0"/>
    <m/>
    <n v="0"/>
    <n v="0"/>
    <n v="0"/>
    <n v="0"/>
  </r>
  <r>
    <n v="407"/>
    <s v="Manish Parmar"/>
    <s v="Sundry Creditors for (Expenses)"/>
    <x v="1"/>
    <x v="1"/>
    <m/>
    <x v="1"/>
    <m/>
    <n v="0"/>
    <n v="0"/>
    <n v="0"/>
    <n v="0"/>
    <m/>
    <n v="0"/>
    <n v="0"/>
    <n v="0"/>
    <n v="0"/>
  </r>
  <r>
    <n v="408"/>
    <s v="Manisha Enterprises"/>
    <s v="Jharkhand"/>
    <x v="1"/>
    <x v="2"/>
    <m/>
    <x v="2"/>
    <m/>
    <n v="0"/>
    <n v="0"/>
    <n v="0"/>
    <n v="0"/>
    <m/>
    <n v="0"/>
    <n v="0"/>
    <n v="0"/>
    <n v="0"/>
  </r>
  <r>
    <n v="409"/>
    <s v="Manisha Mehta (Loan A/c)"/>
    <s v="Unsecured Loans"/>
    <x v="0"/>
    <x v="0"/>
    <m/>
    <x v="0"/>
    <m/>
    <n v="0"/>
    <n v="0"/>
    <n v="0"/>
    <n v="0"/>
    <m/>
    <n v="0"/>
    <n v="0"/>
    <n v="0"/>
    <n v="0"/>
  </r>
  <r>
    <n v="410"/>
    <s v="Manual Induction Sealing Machine-500f"/>
    <s v="Office Equipment"/>
    <x v="0"/>
    <x v="0"/>
    <m/>
    <x v="0"/>
    <m/>
    <n v="7500"/>
    <n v="0"/>
    <n v="0"/>
    <n v="7500"/>
    <m/>
    <n v="7500"/>
    <n v="0"/>
    <n v="0"/>
    <n v="7500"/>
  </r>
  <r>
    <n v="411"/>
    <s v="Mario Industries Private Limited"/>
    <s v="Sundry Creditors ( Blue Streak )"/>
    <x v="1"/>
    <x v="1"/>
    <m/>
    <x v="2"/>
    <m/>
    <n v="-23961"/>
    <n v="0"/>
    <n v="0"/>
    <n v="-23961"/>
    <m/>
    <n v="-23961"/>
    <n v="3865"/>
    <n v="3865"/>
    <n v="-23961"/>
  </r>
  <r>
    <n v="412"/>
    <s v="MARKETING EXPENSE (EXPORT)"/>
    <s v="EXPORT (EXPENSE)"/>
    <x v="2"/>
    <x v="3"/>
    <s v="Marketing Expense"/>
    <x v="3"/>
    <m/>
    <n v="0"/>
    <n v="0"/>
    <n v="0"/>
    <n v="0"/>
    <m/>
    <n v="0"/>
    <n v="0"/>
    <n v="0"/>
    <n v="0"/>
  </r>
  <r>
    <n v="413"/>
    <s v="Lenovo 81NB00F6IN Laptop"/>
    <s v="Office Equipment"/>
    <x v="0"/>
    <x v="0"/>
    <m/>
    <x v="0"/>
    <m/>
    <n v="26694.92"/>
    <n v="0"/>
    <n v="0"/>
    <n v="26694.92"/>
    <m/>
    <n v="0"/>
    <n v="26694.92"/>
    <n v="0"/>
    <n v="26694.92"/>
  </r>
  <r>
    <n v="413"/>
    <s v="MARKETING EXPENSE (IT)"/>
    <s v="IT EXPENSE"/>
    <x v="2"/>
    <x v="3"/>
    <s v="Advertisements costs"/>
    <x v="3"/>
    <m/>
    <n v="0"/>
    <n v="30000"/>
    <n v="0"/>
    <n v="30000"/>
    <m/>
    <n v="0"/>
    <n v="30000"/>
    <n v="0"/>
    <n v="30000"/>
  </r>
  <r>
    <n v="414"/>
    <s v="Maruti Enterprises"/>
    <s v="Uttar Pradesh"/>
    <x v="1"/>
    <x v="2"/>
    <m/>
    <x v="2"/>
    <m/>
    <n v="0"/>
    <n v="0"/>
    <n v="0"/>
    <n v="0"/>
    <m/>
    <n v="0"/>
    <n v="6835"/>
    <n v="6835"/>
    <n v="0"/>
  </r>
  <r>
    <n v="415"/>
    <s v="Mayur Stationers (Kolhapur)"/>
    <s v="Rest of Maharashtra"/>
    <x v="1"/>
    <x v="2"/>
    <m/>
    <x v="2"/>
    <m/>
    <n v="-474"/>
    <n v="0"/>
    <n v="0"/>
    <n v="-474"/>
    <m/>
    <n v="-474"/>
    <n v="26342"/>
    <n v="26342"/>
    <n v="-474"/>
  </r>
  <r>
    <n v="416"/>
    <s v="Medical - Office"/>
    <s v="Salary &amp; Wages - Office"/>
    <x v="2"/>
    <x v="3"/>
    <s v="Salary &amp; wages"/>
    <x v="1"/>
    <m/>
    <n v="0"/>
    <n v="0"/>
    <n v="0"/>
    <n v="0"/>
    <m/>
    <n v="0"/>
    <n v="6220"/>
    <n v="0"/>
    <n v="6220"/>
  </r>
  <r>
    <n v="417"/>
    <s v="Meet Enterprises"/>
    <s v="Sundry Debtor Clarus (Current)"/>
    <x v="1"/>
    <x v="2"/>
    <m/>
    <x v="5"/>
    <m/>
    <n v="0"/>
    <n v="0"/>
    <n v="0"/>
    <n v="0"/>
    <m/>
    <n v="0"/>
    <n v="0"/>
    <n v="0"/>
    <n v="0"/>
  </r>
  <r>
    <n v="418"/>
    <s v="Micro Tab Info Solution"/>
    <s v="SUNDRY CREDITORS (EXPORT)"/>
    <x v="1"/>
    <x v="1"/>
    <m/>
    <x v="3"/>
    <m/>
    <n v="0"/>
    <n v="0"/>
    <n v="0"/>
    <n v="0"/>
    <m/>
    <n v="0"/>
    <n v="2043500"/>
    <n v="2043500"/>
    <n v="0"/>
  </r>
  <r>
    <n v="419"/>
    <s v="MINAL PLASTIC"/>
    <s v="Sundry Creditors for Factory"/>
    <x v="1"/>
    <x v="1"/>
    <m/>
    <x v="1"/>
    <m/>
    <n v="0"/>
    <n v="0"/>
    <n v="0"/>
    <n v="0"/>
    <m/>
    <n v="0"/>
    <n v="0"/>
    <n v="0"/>
    <n v="0"/>
  </r>
  <r>
    <n v="420"/>
    <s v="MJPT &amp; CO LLP"/>
    <s v="Sundry Creditors for (OFFICE)"/>
    <x v="1"/>
    <x v="1"/>
    <m/>
    <x v="1"/>
    <m/>
    <n v="-26320"/>
    <n v="452520"/>
    <n v="447800"/>
    <n v="-21600"/>
    <m/>
    <n v="-21600"/>
    <n v="712120"/>
    <n v="712120"/>
    <n v="-21600"/>
  </r>
  <r>
    <n v="421"/>
    <s v="MMK E-KART INDIA PVT. LTD."/>
    <s v="Sundry Creditors for (Expenses)"/>
    <x v="1"/>
    <x v="1"/>
    <m/>
    <x v="1"/>
    <m/>
    <n v="0"/>
    <n v="0"/>
    <n v="0"/>
    <n v="0"/>
    <m/>
    <n v="0"/>
    <n v="9523"/>
    <n v="9523"/>
    <n v="0"/>
  </r>
  <r>
    <n v="422"/>
    <s v="MOBILE &amp; TELEPHONE EXPENSE (EXPORT)"/>
    <s v="EXPORT (EXPENSE)"/>
    <x v="2"/>
    <x v="3"/>
    <s v="Telephone &amp; Internet charges"/>
    <x v="3"/>
    <m/>
    <n v="0"/>
    <n v="4473.46"/>
    <n v="0"/>
    <n v="4473.46"/>
    <m/>
    <n v="0"/>
    <n v="91086.49"/>
    <n v="0"/>
    <n v="91086.49"/>
  </r>
  <r>
    <n v="423"/>
    <s v="Mobile Phone"/>
    <s v="Office Equipment"/>
    <x v="0"/>
    <x v="0"/>
    <m/>
    <x v="0"/>
    <m/>
    <n v="336143.22"/>
    <n v="110168.64"/>
    <n v="0"/>
    <n v="446311.86"/>
    <m/>
    <n v="287076.26"/>
    <n v="169235.6"/>
    <n v="10000"/>
    <n v="446311.86"/>
  </r>
  <r>
    <n v="424"/>
    <s v="Monarch Stationery"/>
    <s v="Sundry Creditors for (Expenses)"/>
    <x v="1"/>
    <x v="1"/>
    <m/>
    <x v="1"/>
    <m/>
    <n v="0"/>
    <n v="0"/>
    <n v="0"/>
    <n v="0"/>
    <m/>
    <n v="0"/>
    <n v="0"/>
    <n v="0"/>
    <n v="0"/>
  </r>
  <r>
    <n v="425"/>
    <s v="MOSCHIP TECHNOLOGIES LTD"/>
    <s v="Share Investment Anand Rathi"/>
    <x v="0"/>
    <x v="0"/>
    <m/>
    <x v="0"/>
    <m/>
    <n v="0"/>
    <n v="0"/>
    <n v="0"/>
    <n v="0"/>
    <m/>
    <n v="118139.95"/>
    <n v="104.09"/>
    <n v="118244.04"/>
    <n v="0"/>
  </r>
  <r>
    <n v="426"/>
    <s v="Motor"/>
    <s v="Plant &amp; Machinery"/>
    <x v="0"/>
    <x v="0"/>
    <m/>
    <x v="0"/>
    <m/>
    <n v="3132.28"/>
    <n v="0"/>
    <n v="0"/>
    <n v="3132.28"/>
    <m/>
    <n v="3132.28"/>
    <n v="0"/>
    <n v="0"/>
    <n v="3132.28"/>
  </r>
  <r>
    <n v="427"/>
    <s v="MRP Telecom Solutions"/>
    <s v="Sundry Creditors for (Expenses)"/>
    <x v="1"/>
    <x v="1"/>
    <m/>
    <x v="1"/>
    <m/>
    <n v="0"/>
    <n v="0"/>
    <n v="0"/>
    <n v="0"/>
    <m/>
    <n v="-1947"/>
    <n v="1947"/>
    <n v="0"/>
    <n v="0"/>
  </r>
  <r>
    <n v="428"/>
    <s v="MUC"/>
    <s v="Direct Expense"/>
    <x v="2"/>
    <x v="4"/>
    <s v="Port Expenses"/>
    <x v="3"/>
    <m/>
    <n v="0"/>
    <n v="0"/>
    <n v="0"/>
    <n v="0"/>
    <m/>
    <n v="0"/>
    <n v="850"/>
    <n v="0"/>
    <n v="850"/>
  </r>
  <r>
    <n v="429"/>
    <s v="MUKESH DILIP JADHAV"/>
    <s v="Sundry Creditors for (Expenses)"/>
    <x v="1"/>
    <x v="1"/>
    <m/>
    <x v="1"/>
    <m/>
    <n v="0"/>
    <n v="18510"/>
    <n v="18510"/>
    <n v="0"/>
    <m/>
    <n v="0"/>
    <n v="60190"/>
    <n v="60190"/>
    <n v="0"/>
  </r>
  <r>
    <n v="430"/>
    <s v="Namah IP Solutions"/>
    <s v="Sundry Creditors for (Expenses)"/>
    <x v="1"/>
    <x v="1"/>
    <m/>
    <x v="1"/>
    <m/>
    <n v="0"/>
    <n v="0"/>
    <n v="0"/>
    <n v="0"/>
    <m/>
    <n v="0"/>
    <n v="0"/>
    <n v="0"/>
    <n v="0"/>
  </r>
  <r>
    <n v="431"/>
    <s v="Napkin Tissue Machine Model No. MH-200"/>
    <s v="Plant &amp; Machinery"/>
    <x v="0"/>
    <x v="0"/>
    <m/>
    <x v="0"/>
    <m/>
    <n v="145129.1"/>
    <n v="0"/>
    <n v="0"/>
    <n v="145129.1"/>
    <m/>
    <n v="145129.1"/>
    <n v="0"/>
    <n v="0"/>
    <n v="145129.1"/>
  </r>
  <r>
    <n v="432"/>
    <s v="Napkin Tissue Machine Model No. MH-300"/>
    <s v="Plant &amp; Machinery"/>
    <x v="0"/>
    <x v="0"/>
    <m/>
    <x v="0"/>
    <m/>
    <n v="241882.11"/>
    <n v="0"/>
    <n v="0"/>
    <n v="241882.11"/>
    <m/>
    <n v="241882.11"/>
    <n v="0"/>
    <n v="0"/>
    <n v="241882.11"/>
  </r>
  <r>
    <n v="433"/>
    <s v="Napkin Tissue Machine Model No. MH-330"/>
    <s v="Plant &amp; Machinery"/>
    <x v="0"/>
    <x v="0"/>
    <m/>
    <x v="0"/>
    <m/>
    <n v="338635.12"/>
    <n v="0"/>
    <n v="0"/>
    <n v="338635.12"/>
    <m/>
    <n v="338635.12"/>
    <n v="0"/>
    <n v="0"/>
    <n v="338635.12"/>
  </r>
  <r>
    <n v="434"/>
    <s v="Naren Traders"/>
    <s v="Sundry Debtor Clarus (Current)"/>
    <x v="1"/>
    <x v="2"/>
    <m/>
    <x v="5"/>
    <m/>
    <n v="300"/>
    <n v="0"/>
    <n v="0"/>
    <n v="300"/>
    <m/>
    <n v="300"/>
    <n v="71966"/>
    <n v="71966"/>
    <n v="300"/>
  </r>
  <r>
    <n v="435"/>
    <s v="Naresh Steel Industries Pvt.Ltd."/>
    <s v="Sundry Debtor Clarus (Current)"/>
    <x v="1"/>
    <x v="2"/>
    <m/>
    <x v="5"/>
    <m/>
    <n v="0"/>
    <n v="0"/>
    <n v="0"/>
    <n v="0"/>
    <m/>
    <n v="0"/>
    <n v="13293"/>
    <n v="13293"/>
    <n v="0"/>
  </r>
  <r>
    <n v="436"/>
    <s v="Nasika"/>
    <s v="Sundry Debtor Clarus (Current)"/>
    <x v="1"/>
    <x v="2"/>
    <m/>
    <x v="5"/>
    <m/>
    <n v="0"/>
    <n v="0"/>
    <n v="0"/>
    <n v="0"/>
    <m/>
    <n v="0"/>
    <n v="0"/>
    <n v="0"/>
    <n v="0"/>
  </r>
  <r>
    <n v="437"/>
    <s v="Neha Enterprises"/>
    <s v="Madhya Pradesh"/>
    <x v="1"/>
    <x v="2"/>
    <m/>
    <x v="2"/>
    <m/>
    <n v="0"/>
    <n v="0"/>
    <n v="0"/>
    <n v="0"/>
    <m/>
    <n v="0"/>
    <n v="0"/>
    <n v="0"/>
    <n v="0"/>
  </r>
  <r>
    <n v="438"/>
    <s v="Neoteric Infomatique Ltd"/>
    <s v="Unsecured Loans"/>
    <x v="0"/>
    <x v="0"/>
    <m/>
    <x v="0"/>
    <m/>
    <n v="0"/>
    <n v="0"/>
    <n v="0"/>
    <n v="0"/>
    <m/>
    <n v="0"/>
    <n v="0"/>
    <n v="0"/>
    <n v="0"/>
  </r>
  <r>
    <n v="439"/>
    <s v="New Way Imports"/>
    <s v="Sundry Creditors ( Blue Streak )"/>
    <x v="1"/>
    <x v="1"/>
    <m/>
    <x v="2"/>
    <m/>
    <n v="0"/>
    <n v="0"/>
    <n v="0"/>
    <n v="0"/>
    <m/>
    <n v="0"/>
    <n v="0"/>
    <n v="0"/>
    <n v="0"/>
  </r>
  <r>
    <n v="440"/>
    <s v="Nexus Elite Lifestyle Private Limited"/>
    <s v="SUNDRY CREDITORS (EXPORT)"/>
    <x v="1"/>
    <x v="1"/>
    <m/>
    <x v="3"/>
    <m/>
    <n v="21588"/>
    <n v="617630"/>
    <n v="1199284"/>
    <n v="-560066"/>
    <m/>
    <n v="0"/>
    <n v="4092498"/>
    <n v="4652564"/>
    <n v="-560066"/>
  </r>
  <r>
    <n v="441"/>
    <s v="Nowtransit Cargo Pvt Ltd"/>
    <s v="Sundry Creditors (Transports/Logistics)"/>
    <x v="1"/>
    <x v="1"/>
    <m/>
    <x v="1"/>
    <m/>
    <n v="0"/>
    <n v="0"/>
    <n v="0"/>
    <n v="0"/>
    <m/>
    <n v="-0.08"/>
    <n v="0.08"/>
    <n v="0"/>
    <n v="0"/>
  </r>
  <r>
    <n v="442"/>
    <s v="Nyrwana"/>
    <s v="Sundry Creditors for (Expenses)"/>
    <x v="1"/>
    <x v="1"/>
    <m/>
    <x v="1"/>
    <m/>
    <n v="0"/>
    <n v="0"/>
    <n v="0"/>
    <n v="0"/>
    <m/>
    <n v="0"/>
    <n v="0"/>
    <n v="0"/>
    <n v="0"/>
  </r>
  <r>
    <n v="443"/>
    <s v="Office Equipment"/>
    <s v="Office Equipment"/>
    <x v="0"/>
    <x v="0"/>
    <m/>
    <x v="0"/>
    <m/>
    <n v="-331909.33"/>
    <n v="0"/>
    <n v="0"/>
    <n v="-331909.33"/>
    <m/>
    <n v="-370252.83"/>
    <n v="38343.5"/>
    <n v="0"/>
    <n v="-331909.33"/>
  </r>
  <r>
    <n v="444"/>
    <s v="OM FREIGHT FORWARDERS PRIVATE LIMITED"/>
    <s v="SUNDRY CREDITORS (EXPORT)"/>
    <x v="1"/>
    <x v="1"/>
    <m/>
    <x v="3"/>
    <m/>
    <n v="0"/>
    <n v="0"/>
    <n v="0"/>
    <n v="0"/>
    <m/>
    <n v="0"/>
    <n v="0"/>
    <n v="0"/>
    <n v="0"/>
  </r>
  <r>
    <n v="445"/>
    <s v="Om Jishnu Computers"/>
    <s v="Tamil Nadu"/>
    <x v="1"/>
    <x v="2"/>
    <m/>
    <x v="2"/>
    <m/>
    <n v="0"/>
    <n v="0"/>
    <n v="0"/>
    <n v="0"/>
    <m/>
    <n v="0"/>
    <n v="0"/>
    <n v="0"/>
    <n v="0"/>
  </r>
  <r>
    <n v="446"/>
    <s v="Omkar Latake Loan A/c"/>
    <s v="Staff Loan - Blue Streak"/>
    <x v="0"/>
    <x v="0"/>
    <m/>
    <x v="0"/>
    <m/>
    <n v="7623"/>
    <n v="0"/>
    <n v="0"/>
    <n v="7623"/>
    <m/>
    <n v="7623"/>
    <n v="0"/>
    <n v="0"/>
    <n v="7623"/>
  </r>
  <r>
    <n v="447"/>
    <s v="ON WHEEL CLEARANCE"/>
    <s v="Direct Expense"/>
    <x v="2"/>
    <x v="4"/>
    <s v="Port Expenses"/>
    <x v="3"/>
    <m/>
    <n v="0"/>
    <n v="0"/>
    <n v="0"/>
    <n v="0"/>
    <m/>
    <n v="0"/>
    <n v="74300"/>
    <n v="0"/>
    <n v="74300"/>
  </r>
  <r>
    <n v="448"/>
    <s v="Onetouch Computer  Services"/>
    <s v="Haryana"/>
    <x v="1"/>
    <x v="2"/>
    <m/>
    <x v="2"/>
    <m/>
    <n v="0"/>
    <n v="0"/>
    <n v="0"/>
    <n v="0"/>
    <m/>
    <n v="0"/>
    <n v="0"/>
    <n v="0"/>
    <n v="0"/>
  </r>
  <r>
    <n v="449"/>
    <s v="Opal Infotech"/>
    <s v="SUNDRY CREDITORS (EXPORT)"/>
    <x v="1"/>
    <x v="1"/>
    <m/>
    <x v="3"/>
    <m/>
    <n v="0"/>
    <n v="0"/>
    <n v="0"/>
    <n v="0"/>
    <m/>
    <n v="0"/>
    <n v="31860"/>
    <n v="31860"/>
    <n v="0"/>
  </r>
  <r>
    <n v="450"/>
    <s v="OTHER SERVICE CHARGES-CHA"/>
    <s v="EXPORT (EXPENSE)"/>
    <x v="2"/>
    <x v="4"/>
    <s v="Freight &amp; Shipping charges"/>
    <x v="3"/>
    <m/>
    <n v="0"/>
    <n v="4770"/>
    <n v="0"/>
    <n v="4770"/>
    <m/>
    <n v="0"/>
    <n v="6660"/>
    <n v="0"/>
    <n v="6660"/>
  </r>
  <r>
    <n v="451"/>
    <s v="OTHER SERVICE CHARGES-FRT(BL SURRENDER CHARGES)"/>
    <s v="EXPORT (EXPENSE)"/>
    <x v="2"/>
    <x v="4"/>
    <s v="Freight &amp; Shipping charges"/>
    <x v="3"/>
    <m/>
    <n v="0"/>
    <n v="0"/>
    <n v="0"/>
    <n v="0"/>
    <m/>
    <n v="0"/>
    <n v="12000"/>
    <n v="0"/>
    <n v="12000"/>
  </r>
  <r>
    <n v="452"/>
    <s v="Oxytech International"/>
    <s v="SUNDRY DEBTORS BLUESTREAK - AJAYSIR"/>
    <x v="1"/>
    <x v="2"/>
    <m/>
    <x v="2"/>
    <m/>
    <n v="1821"/>
    <n v="0"/>
    <n v="0"/>
    <n v="1821"/>
    <m/>
    <n v="1821"/>
    <n v="0"/>
    <n v="0"/>
    <n v="1821"/>
  </r>
  <r>
    <n v="453"/>
    <s v="Ozone Secutech Pvt. Ltd. (Amazon)"/>
    <s v="Sundry Creditors for (Expenses)"/>
    <x v="1"/>
    <x v="1"/>
    <m/>
    <x v="1"/>
    <m/>
    <n v="0"/>
    <n v="0"/>
    <n v="0"/>
    <n v="0"/>
    <m/>
    <n v="0"/>
    <n v="0"/>
    <n v="0"/>
    <n v="0"/>
  </r>
  <r>
    <n v="454"/>
    <s v="P S Shah Panwala"/>
    <s v="Sundry Debtor Clarus (Current)"/>
    <x v="1"/>
    <x v="2"/>
    <m/>
    <x v="5"/>
    <m/>
    <n v="999.87"/>
    <n v="0"/>
    <n v="0"/>
    <n v="999.87"/>
    <m/>
    <n v="999.87"/>
    <n v="49711"/>
    <n v="49711"/>
    <n v="999.87"/>
  </r>
  <r>
    <n v="455"/>
    <s v="Packing Machine"/>
    <s v="Plant &amp; Machinery"/>
    <x v="0"/>
    <x v="0"/>
    <m/>
    <x v="0"/>
    <m/>
    <n v="53157.96"/>
    <n v="0"/>
    <n v="0"/>
    <n v="53157.96"/>
    <m/>
    <n v="53157.96"/>
    <n v="0"/>
    <n v="0"/>
    <n v="53157.96"/>
  </r>
  <r>
    <n v="456"/>
    <s v="PARAS R BHAYANI"/>
    <s v="SUNDRY CREDITORS (EXPORT)"/>
    <x v="1"/>
    <x v="1"/>
    <m/>
    <x v="3"/>
    <m/>
    <n v="0"/>
    <n v="0"/>
    <n v="0"/>
    <n v="0"/>
    <m/>
    <n v="0"/>
    <n v="0"/>
    <n v="0"/>
    <n v="0"/>
  </r>
  <r>
    <n v="457"/>
    <s v="Parekh Market Premises Co Op Society Ltd"/>
    <s v="Sundry Creditors for (Expenses)"/>
    <x v="1"/>
    <x v="1"/>
    <m/>
    <x v="1"/>
    <m/>
    <n v="0"/>
    <n v="0"/>
    <n v="0"/>
    <n v="0"/>
    <m/>
    <n v="0"/>
    <n v="0"/>
    <n v="0"/>
    <n v="0"/>
  </r>
  <r>
    <n v="458"/>
    <s v="PARIS COMPUTERS"/>
    <s v="SUNDRY DEBTORS BLUESTREAK - AJAYSIR"/>
    <x v="1"/>
    <x v="2"/>
    <m/>
    <x v="2"/>
    <m/>
    <n v="0"/>
    <n v="0"/>
    <n v="0"/>
    <n v="0"/>
    <m/>
    <n v="2503883"/>
    <n v="0"/>
    <n v="2503883"/>
    <n v="0"/>
  </r>
  <r>
    <n v="459"/>
    <s v="Part Payment Against Appeal for - 2004-05"/>
    <s v="Tax Advances"/>
    <x v="0"/>
    <x v="0"/>
    <m/>
    <x v="0"/>
    <m/>
    <n v="110000"/>
    <n v="0"/>
    <n v="0"/>
    <n v="110000"/>
    <m/>
    <n v="110000"/>
    <n v="0"/>
    <n v="0"/>
    <n v="110000"/>
  </r>
  <r>
    <n v="460"/>
    <s v="Perfect Rescue Force Pvt Ltd"/>
    <s v="SUNDRY DEBTORS BLUESTREAK - AJAYSIR"/>
    <x v="1"/>
    <x v="2"/>
    <m/>
    <x v="2"/>
    <m/>
    <n v="0"/>
    <n v="0"/>
    <n v="0"/>
    <n v="0"/>
    <m/>
    <n v="0"/>
    <n v="0"/>
    <n v="0"/>
    <n v="0"/>
  </r>
  <r>
    <n v="461"/>
    <s v="Peristaltic Pump"/>
    <s v="Plant &amp; Machinery"/>
    <x v="0"/>
    <x v="0"/>
    <m/>
    <x v="0"/>
    <m/>
    <n v="50264.1"/>
    <n v="0"/>
    <n v="0"/>
    <n v="50264.1"/>
    <m/>
    <n v="50264.1"/>
    <n v="0"/>
    <n v="0"/>
    <n v="50264.1"/>
  </r>
  <r>
    <n v="462"/>
    <s v="Petty Cash - Factory"/>
    <s v="Cash-in-Hand"/>
    <x v="0"/>
    <x v="0"/>
    <m/>
    <x v="0"/>
    <m/>
    <n v="2601"/>
    <n v="0"/>
    <n v="400"/>
    <n v="2201"/>
    <m/>
    <n v="4503"/>
    <n v="43945"/>
    <n v="46247"/>
    <n v="2201"/>
  </r>
  <r>
    <n v="463"/>
    <s v="Petty Cash - Office"/>
    <s v="Cash-in-Hand"/>
    <x v="0"/>
    <x v="0"/>
    <m/>
    <x v="0"/>
    <m/>
    <n v="24176"/>
    <n v="100000"/>
    <n v="74884"/>
    <n v="49292"/>
    <m/>
    <n v="57221"/>
    <n v="615000"/>
    <n v="622929"/>
    <n v="49292"/>
  </r>
  <r>
    <n v="464"/>
    <s v="PF Administration Charges A/c # 22"/>
    <s v="ESIC  Payable Office"/>
    <x v="0"/>
    <x v="0"/>
    <m/>
    <x v="0"/>
    <m/>
    <n v="0"/>
    <n v="75"/>
    <n v="0"/>
    <n v="75"/>
    <m/>
    <n v="0"/>
    <n v="1450"/>
    <n v="1375"/>
    <n v="75"/>
  </r>
  <r>
    <n v="465"/>
    <s v="PF of Employees"/>
    <s v="ESIC  Payable Office"/>
    <x v="0"/>
    <x v="0"/>
    <m/>
    <x v="0"/>
    <m/>
    <n v="0"/>
    <n v="0"/>
    <n v="0"/>
    <n v="0"/>
    <m/>
    <n v="0"/>
    <n v="0"/>
    <n v="0"/>
    <n v="0"/>
  </r>
  <r>
    <n v="466"/>
    <s v="PF of Employer"/>
    <s v="Indirect Expenses"/>
    <x v="2"/>
    <x v="3"/>
    <s v="Salary &amp; wages"/>
    <x v="1"/>
    <m/>
    <n v="0"/>
    <n v="0"/>
    <n v="0"/>
    <n v="0"/>
    <m/>
    <n v="0"/>
    <n v="0"/>
    <n v="0"/>
    <n v="0"/>
  </r>
  <r>
    <n v="467"/>
    <s v="Plant &amp; Machinary"/>
    <s v="Plant &amp; Machinery"/>
    <x v="0"/>
    <x v="0"/>
    <m/>
    <x v="0"/>
    <m/>
    <n v="-3597664.52"/>
    <n v="0"/>
    <n v="0"/>
    <n v="-3597664.52"/>
    <m/>
    <n v="-3597664.52"/>
    <n v="0"/>
    <n v="0"/>
    <n v="-3597664.52"/>
  </r>
  <r>
    <n v="468"/>
    <s v="Plus Plus Unified Engaugement Services Pvt Ltd"/>
    <s v="ADV FROM CUSTOMER"/>
    <x v="0"/>
    <x v="0"/>
    <m/>
    <x v="0"/>
    <m/>
    <n v="-10000000"/>
    <n v="0"/>
    <n v="0"/>
    <n v="-10000000"/>
    <m/>
    <n v="-10000000"/>
    <n v="0"/>
    <n v="0"/>
    <n v="-10000000"/>
  </r>
  <r>
    <n v="469"/>
    <s v="PM Corporations Baroda"/>
    <s v="Sundry Debtor Clarus (Current)"/>
    <x v="1"/>
    <x v="2"/>
    <m/>
    <x v="5"/>
    <m/>
    <n v="0"/>
    <n v="0"/>
    <n v="0"/>
    <n v="0"/>
    <m/>
    <n v="0"/>
    <n v="0"/>
    <n v="0"/>
    <n v="0"/>
  </r>
  <r>
    <n v="470"/>
    <s v="Pocket Tissue Machine"/>
    <s v="Plant &amp; Machinery"/>
    <x v="0"/>
    <x v="0"/>
    <m/>
    <x v="0"/>
    <m/>
    <n v="83193.78"/>
    <n v="0"/>
    <n v="0"/>
    <n v="83193.78"/>
    <m/>
    <n v="83193.78"/>
    <n v="0"/>
    <n v="0"/>
    <n v="83193.78"/>
  </r>
  <r>
    <n v="471"/>
    <s v="Posty Infotech"/>
    <s v="SUNDRY CREDITORS (EXPORT)"/>
    <x v="1"/>
    <x v="1"/>
    <m/>
    <x v="3"/>
    <m/>
    <n v="0"/>
    <n v="2360"/>
    <n v="4720"/>
    <n v="-2360"/>
    <m/>
    <n v="0"/>
    <n v="47200"/>
    <n v="49560"/>
    <n v="-2360"/>
  </r>
  <r>
    <n v="472"/>
    <s v="Power Press with Motor"/>
    <s v="Plant &amp; Machinery"/>
    <x v="0"/>
    <x v="0"/>
    <m/>
    <x v="0"/>
    <m/>
    <n v="2421.91"/>
    <n v="0"/>
    <n v="0"/>
    <n v="2421.91"/>
    <m/>
    <n v="2421.91"/>
    <n v="0"/>
    <n v="0"/>
    <n v="2421.91"/>
  </r>
  <r>
    <n v="473"/>
    <s v="Jamiat Ulama-I-Hind Halal Trust"/>
    <s v="SUNDRY CREDITORS (Spice)"/>
    <x v="1"/>
    <x v="1"/>
    <m/>
    <x v="4"/>
    <m/>
    <n v="0"/>
    <n v="0"/>
    <n v="0"/>
    <n v="0"/>
    <m/>
    <n v="0"/>
    <n v="37388"/>
    <n v="37388"/>
    <n v="0"/>
  </r>
  <r>
    <n v="473"/>
    <s v="Prabhat Computer"/>
    <s v="Sundry Creditors ( Blue Streak )"/>
    <x v="1"/>
    <x v="1"/>
    <m/>
    <x v="2"/>
    <m/>
    <n v="0"/>
    <n v="0"/>
    <n v="0"/>
    <n v="0"/>
    <m/>
    <n v="-164407"/>
    <n v="551166"/>
    <n v="386759"/>
    <n v="0"/>
  </r>
  <r>
    <n v="474"/>
    <s v="Om Sai Transport"/>
    <s v="SUNDRY CREDITORS (Spice)"/>
    <x v="1"/>
    <x v="1"/>
    <m/>
    <x v="4"/>
    <m/>
    <n v="0"/>
    <n v="0"/>
    <n v="0"/>
    <n v="0"/>
    <m/>
    <n v="0"/>
    <n v="4000"/>
    <n v="4000"/>
    <n v="0"/>
  </r>
  <r>
    <n v="474"/>
    <s v="Prajakta Hadpe Loan A/c"/>
    <s v="STAFF LOAN - OFFICE"/>
    <x v="0"/>
    <x v="0"/>
    <m/>
    <x v="0"/>
    <m/>
    <n v="0"/>
    <n v="0"/>
    <n v="0"/>
    <n v="0"/>
    <m/>
    <n v="0"/>
    <n v="0"/>
    <n v="0"/>
    <n v="0"/>
  </r>
  <r>
    <n v="475"/>
    <s v="PRAMAN SECURITIES"/>
    <s v="SUNDRY DEBTORS BLUESTREAK - AJAYSIR"/>
    <x v="1"/>
    <x v="2"/>
    <m/>
    <x v="2"/>
    <m/>
    <n v="0"/>
    <n v="0"/>
    <n v="0"/>
    <n v="0"/>
    <m/>
    <n v="0"/>
    <n v="944"/>
    <n v="944"/>
    <n v="0"/>
  </r>
  <r>
    <n v="476"/>
    <s v="Pranav Enterprises"/>
    <s v="Sundry Debtor Clarus"/>
    <x v="1"/>
    <x v="2"/>
    <m/>
    <x v="5"/>
    <m/>
    <n v="0"/>
    <n v="0"/>
    <n v="0"/>
    <n v="0"/>
    <m/>
    <n v="0"/>
    <n v="41570"/>
    <n v="41570"/>
    <n v="0"/>
  </r>
  <r>
    <n v="477"/>
    <s v="Prash Enterprises"/>
    <s v="SUNDRY DEBTORS BLUESTREAK - AJAYSIR"/>
    <x v="1"/>
    <x v="2"/>
    <m/>
    <x v="2"/>
    <m/>
    <n v="0"/>
    <n v="0"/>
    <n v="0"/>
    <n v="0"/>
    <m/>
    <n v="0"/>
    <n v="0"/>
    <n v="0"/>
    <n v="0"/>
  </r>
  <r>
    <n v="478"/>
    <s v="Prepaid Expense"/>
    <s v="Current Assets"/>
    <x v="0"/>
    <x v="0"/>
    <m/>
    <x v="0"/>
    <m/>
    <n v="24097.17"/>
    <n v="0"/>
    <n v="0"/>
    <n v="24097.17"/>
    <m/>
    <n v="24097.17"/>
    <n v="0"/>
    <n v="0"/>
    <n v="24097.17"/>
  </r>
  <r>
    <n v="479"/>
    <s v="PRIDE PACKAGING"/>
    <s v="Sundry Creditors ( Blue Streak )"/>
    <x v="1"/>
    <x v="1"/>
    <m/>
    <x v="2"/>
    <m/>
    <n v="0"/>
    <n v="0"/>
    <n v="0"/>
    <n v="0"/>
    <m/>
    <n v="-115487.2"/>
    <n v="115487.2"/>
    <n v="0"/>
    <n v="0"/>
  </r>
  <r>
    <n v="480"/>
    <s v="Prime Computers"/>
    <s v="Madhya Pradesh"/>
    <x v="1"/>
    <x v="2"/>
    <m/>
    <x v="2"/>
    <m/>
    <n v="17420"/>
    <n v="0"/>
    <n v="0"/>
    <n v="17420"/>
    <m/>
    <n v="17420"/>
    <n v="0"/>
    <n v="0"/>
    <n v="17420"/>
  </r>
  <r>
    <n v="481"/>
    <s v="Prince Traders"/>
    <s v="Sundry Creditors ( Clarus )"/>
    <x v="1"/>
    <x v="1"/>
    <m/>
    <x v="5"/>
    <m/>
    <n v="0"/>
    <n v="0"/>
    <n v="0"/>
    <n v="0"/>
    <m/>
    <n v="-2124"/>
    <n v="2124"/>
    <n v="0"/>
    <n v="0"/>
  </r>
  <r>
    <n v="482"/>
    <s v="Print Office Solution"/>
    <s v="SUNDRY DEBTORS BLUESTREAK - AJAYSIR"/>
    <x v="1"/>
    <x v="2"/>
    <m/>
    <x v="2"/>
    <m/>
    <n v="0"/>
    <n v="0"/>
    <n v="0"/>
    <n v="0"/>
    <m/>
    <n v="2063019"/>
    <n v="1172948"/>
    <n v="3235967"/>
    <n v="0"/>
  </r>
  <r>
    <n v="483"/>
    <s v="Printing &amp; Stationery (12%)"/>
    <s v="OFFICE EXPENSE"/>
    <x v="2"/>
    <x v="3"/>
    <s v="Printing &amp; Stationery"/>
    <x v="1"/>
    <m/>
    <n v="0"/>
    <n v="0"/>
    <n v="0"/>
    <n v="0"/>
    <m/>
    <n v="0"/>
    <n v="36100"/>
    <n v="800"/>
    <n v="35300"/>
  </r>
  <r>
    <n v="484"/>
    <s v="Printing &amp; Stationery (18%) (Export)"/>
    <s v="EXPORT (EXPENSE)"/>
    <x v="2"/>
    <x v="3"/>
    <s v="Printing &amp; Stationery"/>
    <x v="3"/>
    <m/>
    <n v="0"/>
    <n v="0"/>
    <n v="0"/>
    <n v="0"/>
    <m/>
    <n v="0"/>
    <n v="0"/>
    <n v="0"/>
    <n v="0"/>
  </r>
  <r>
    <n v="485"/>
    <s v="Printing &amp; Stationery (18%) (Office)"/>
    <s v="OFFICE EXPENSE"/>
    <x v="2"/>
    <x v="3"/>
    <s v="Printing &amp; Stationery"/>
    <x v="1"/>
    <m/>
    <n v="0"/>
    <n v="2410"/>
    <n v="0"/>
    <n v="2410"/>
    <m/>
    <n v="0"/>
    <n v="56917"/>
    <n v="0"/>
    <n v="56917"/>
  </r>
  <r>
    <n v="486"/>
    <s v="Pristine Care Products Pvt Ltd (Tambadmal)"/>
    <s v="Sundry Debtors"/>
    <x v="1"/>
    <x v="2"/>
    <m/>
    <x v="1"/>
    <m/>
    <n v="0"/>
    <n v="0"/>
    <n v="0"/>
    <n v="0"/>
    <m/>
    <n v="0"/>
    <n v="0"/>
    <n v="0"/>
    <n v="0"/>
  </r>
  <r>
    <n v="487"/>
    <s v="Pristine Care Products Pvt. Ltd. (H.O.)"/>
    <s v="Sundry Debtors"/>
    <x v="1"/>
    <x v="2"/>
    <m/>
    <x v="1"/>
    <m/>
    <n v="0"/>
    <n v="0"/>
    <n v="0"/>
    <n v="0"/>
    <m/>
    <n v="0"/>
    <n v="0"/>
    <n v="0"/>
    <n v="0"/>
  </r>
  <r>
    <n v="488"/>
    <s v="Priyal IT Solution"/>
    <s v="Rajasthan"/>
    <x v="1"/>
    <x v="2"/>
    <m/>
    <x v="2"/>
    <m/>
    <n v="0"/>
    <n v="0"/>
    <n v="0"/>
    <n v="0"/>
    <m/>
    <n v="0"/>
    <n v="0"/>
    <n v="0"/>
    <n v="0"/>
  </r>
  <r>
    <n v="489"/>
    <s v="Profession Tax - Employees  - Factory"/>
    <s v="Duties &amp; Taxes"/>
    <x v="0"/>
    <x v="0"/>
    <m/>
    <x v="0"/>
    <m/>
    <n v="-2500"/>
    <n v="1700"/>
    <n v="200"/>
    <n v="-1000"/>
    <m/>
    <n v="-200"/>
    <n v="1700"/>
    <n v="2500"/>
    <n v="-1000"/>
  </r>
  <r>
    <n v="490"/>
    <s v="Profession Tax - Employees - Bluestreak"/>
    <s v="Duties &amp; Taxes"/>
    <x v="0"/>
    <x v="0"/>
    <m/>
    <x v="0"/>
    <m/>
    <n v="0"/>
    <n v="0"/>
    <n v="0"/>
    <n v="0"/>
    <m/>
    <n v="0"/>
    <n v="0"/>
    <n v="0"/>
    <n v="0"/>
  </r>
  <r>
    <n v="491"/>
    <s v="Profession Tax - Employees - Clarus"/>
    <s v="Duties &amp; Taxes"/>
    <x v="0"/>
    <x v="0"/>
    <m/>
    <x v="0"/>
    <m/>
    <n v="-800"/>
    <n v="800"/>
    <n v="0"/>
    <n v="0"/>
    <m/>
    <n v="-200"/>
    <n v="800"/>
    <n v="600"/>
    <n v="0"/>
  </r>
  <r>
    <n v="492"/>
    <s v="Profession Tax - Employees - Office"/>
    <s v="Duties &amp; Taxes"/>
    <x v="0"/>
    <x v="0"/>
    <m/>
    <x v="0"/>
    <m/>
    <n v="-2400"/>
    <n v="4400"/>
    <n v="400"/>
    <n v="1600"/>
    <m/>
    <n v="3000"/>
    <n v="4400"/>
    <n v="5800"/>
    <n v="1600"/>
  </r>
  <r>
    <n v="493"/>
    <s v="Profession Tax Payable"/>
    <s v="Duties &amp; Taxes"/>
    <x v="0"/>
    <x v="0"/>
    <m/>
    <x v="0"/>
    <m/>
    <n v="1225"/>
    <n v="0"/>
    <n v="0"/>
    <n v="1225"/>
    <m/>
    <n v="1225"/>
    <n v="0"/>
    <n v="0"/>
    <n v="1225"/>
  </r>
  <r>
    <n v="494"/>
    <s v="Professional Charges (URD)"/>
    <s v="OFFICE EXPENSE"/>
    <x v="2"/>
    <x v="3"/>
    <s v="Professional charges"/>
    <x v="1"/>
    <m/>
    <n v="0"/>
    <n v="0"/>
    <n v="0"/>
    <n v="0"/>
    <m/>
    <n v="0"/>
    <n v="0"/>
    <n v="0"/>
    <n v="0"/>
  </r>
  <r>
    <n v="495"/>
    <s v="Professional Fees (18%)"/>
    <s v="COMMON EXPENSE"/>
    <x v="2"/>
    <x v="3"/>
    <s v="Professional charges"/>
    <x v="1"/>
    <m/>
    <n v="0"/>
    <n v="20000"/>
    <n v="0"/>
    <n v="20000"/>
    <m/>
    <n v="0"/>
    <n v="244000"/>
    <n v="0"/>
    <n v="244000"/>
  </r>
  <r>
    <n v="496"/>
    <s v="Profit &amp; Loss A/c"/>
    <s v="_x0004_ Primary"/>
    <x v="0"/>
    <x v="0"/>
    <m/>
    <x v="0"/>
    <m/>
    <n v="88047692.739999995"/>
    <n v="0"/>
    <n v="0"/>
    <n v="88047692.739999995"/>
    <m/>
    <n v="76979905.640000001"/>
    <n v="0"/>
    <n v="0"/>
    <n v="76979905.640000001"/>
  </r>
  <r>
    <n v="497"/>
    <s v="Profit on Sale of Investment"/>
    <s v="Indirect Incomes"/>
    <x v="2"/>
    <x v="5"/>
    <s v="Profit on sale of Investment "/>
    <x v="6"/>
    <m/>
    <n v="0"/>
    <n v="0"/>
    <n v="0"/>
    <n v="0"/>
    <m/>
    <n v="0"/>
    <n v="0"/>
    <n v="23630.29"/>
    <n v="-23630.29"/>
  </r>
  <r>
    <n v="498"/>
    <s v="Provision For Audit Fees"/>
    <s v="Liabilities for Expenses"/>
    <x v="0"/>
    <x v="0"/>
    <m/>
    <x v="0"/>
    <m/>
    <n v="-54000"/>
    <n v="0"/>
    <n v="0"/>
    <n v="-54000"/>
    <m/>
    <n v="-54000"/>
    <n v="0"/>
    <n v="0"/>
    <n v="-54000"/>
  </r>
  <r>
    <n v="499"/>
    <s v="Provision for Income TAx (A.Y. 2010-11)"/>
    <s v="Provisions"/>
    <x v="0"/>
    <x v="0"/>
    <m/>
    <x v="0"/>
    <m/>
    <n v="-125000"/>
    <n v="0"/>
    <n v="0"/>
    <n v="-125000"/>
    <m/>
    <n v="-125000"/>
    <n v="0"/>
    <n v="0"/>
    <n v="-125000"/>
  </r>
  <r>
    <n v="500"/>
    <s v="Provision for Income Tax (A.Y. 2011-12)"/>
    <s v="Provisions"/>
    <x v="0"/>
    <x v="0"/>
    <m/>
    <x v="0"/>
    <m/>
    <n v="-450000"/>
    <n v="0"/>
    <n v="0"/>
    <n v="-450000"/>
    <m/>
    <n v="-450000"/>
    <n v="0"/>
    <n v="0"/>
    <n v="-450000"/>
  </r>
  <r>
    <n v="501"/>
    <s v="Provision for Income Tax (A.Y.2008-09)"/>
    <s v="Provisions"/>
    <x v="0"/>
    <x v="0"/>
    <m/>
    <x v="0"/>
    <m/>
    <n v="-200000"/>
    <n v="0"/>
    <n v="0"/>
    <n v="-200000"/>
    <m/>
    <n v="-200000"/>
    <n v="0"/>
    <n v="0"/>
    <n v="-200000"/>
  </r>
  <r>
    <n v="502"/>
    <s v="Purchase A/c (Blue Streak)"/>
    <s v="Purchase Accounts (Blue Streak)"/>
    <x v="2"/>
    <x v="7"/>
    <s v="Purchase"/>
    <x v="2"/>
    <m/>
    <n v="0"/>
    <n v="0"/>
    <n v="0"/>
    <n v="0"/>
    <m/>
    <n v="0"/>
    <n v="326142"/>
    <n v="0"/>
    <n v="326142"/>
  </r>
  <r>
    <n v="503"/>
    <s v="PURCHASE A/C (CLARUS)"/>
    <s v="PURCHASE A/C CLARUS"/>
    <x v="2"/>
    <x v="7"/>
    <s v="Purchase"/>
    <x v="5"/>
    <m/>
    <n v="0"/>
    <n v="28434.720000000001"/>
    <n v="0"/>
    <n v="28434.720000000001"/>
    <m/>
    <n v="0"/>
    <n v="248651.44"/>
    <n v="2153.92"/>
    <n v="246497.52"/>
  </r>
  <r>
    <n v="504"/>
    <s v="Purchase A/c (EXPORT)"/>
    <s v="Purchase A/c (EXPORT)"/>
    <x v="2"/>
    <x v="7"/>
    <s v="Purchase"/>
    <x v="3"/>
    <m/>
    <n v="0"/>
    <n v="0"/>
    <n v="0"/>
    <n v="0"/>
    <m/>
    <n v="0"/>
    <n v="0"/>
    <n v="0"/>
    <n v="0"/>
  </r>
  <r>
    <n v="505"/>
    <s v="Purchase A/c (Factory)"/>
    <s v="Purchase Accounts"/>
    <x v="2"/>
    <x v="7"/>
    <s v="Purchase"/>
    <x v="1"/>
    <m/>
    <n v="0"/>
    <n v="0"/>
    <n v="0"/>
    <n v="0"/>
    <m/>
    <n v="0"/>
    <n v="1030"/>
    <n v="0"/>
    <n v="1030"/>
  </r>
  <r>
    <n v="506"/>
    <s v="Purchase A/c (IT)"/>
    <s v="Purchase A/c (IT)"/>
    <x v="2"/>
    <x v="7"/>
    <s v="Purchase"/>
    <x v="3"/>
    <m/>
    <n v="0"/>
    <n v="0"/>
    <n v="0"/>
    <n v="0"/>
    <m/>
    <n v="0"/>
    <n v="93404194.349999994"/>
    <n v="5868644.0700000003"/>
    <n v="87535550.280000001"/>
  </r>
  <r>
    <n v="507"/>
    <s v="Purchase A/c (Office)"/>
    <s v="Purchase Accounts"/>
    <x v="2"/>
    <x v="7"/>
    <s v="Purchase"/>
    <x v="1"/>
    <m/>
    <n v="0"/>
    <n v="16540"/>
    <n v="0"/>
    <n v="16540"/>
    <m/>
    <n v="0"/>
    <n v="16540"/>
    <n v="0"/>
    <n v="16540"/>
  </r>
  <r>
    <n v="508"/>
    <s v="Purchase A/c (Spice)"/>
    <s v="Purchase Accounts (Spice)"/>
    <x v="2"/>
    <x v="7"/>
    <s v="Purchase"/>
    <x v="4"/>
    <m/>
    <n v="0"/>
    <n v="48357904.5"/>
    <n v="161460"/>
    <n v="48196444.5"/>
    <m/>
    <n v="0"/>
    <n v="117082059.33"/>
    <n v="162400"/>
    <n v="116919659.33"/>
  </r>
  <r>
    <n v="509"/>
    <s v="Quantumi Link Communication Pvt. Ltd."/>
    <s v="Sundry Creditors for (Expenses)"/>
    <x v="1"/>
    <x v="1"/>
    <m/>
    <x v="1"/>
    <m/>
    <n v="0"/>
    <n v="0"/>
    <n v="0"/>
    <n v="0"/>
    <m/>
    <n v="0"/>
    <n v="38232"/>
    <n v="38232"/>
    <n v="0"/>
  </r>
  <r>
    <n v="510"/>
    <s v="QUICK SALES"/>
    <s v="Sundry Creditors for (Expenses)"/>
    <x v="1"/>
    <x v="1"/>
    <m/>
    <x v="1"/>
    <m/>
    <n v="0"/>
    <n v="0"/>
    <n v="0"/>
    <n v="0"/>
    <m/>
    <n v="0"/>
    <n v="0"/>
    <n v="0"/>
    <n v="0"/>
  </r>
  <r>
    <n v="511"/>
    <s v="Qutbi Hardware Mart"/>
    <s v="Sundry Creditors for (Expenses)"/>
    <x v="1"/>
    <x v="1"/>
    <m/>
    <x v="1"/>
    <m/>
    <n v="0"/>
    <n v="0"/>
    <n v="0"/>
    <n v="0"/>
    <m/>
    <n v="0"/>
    <n v="0"/>
    <n v="0"/>
    <n v="0"/>
  </r>
  <r>
    <n v="512"/>
    <s v="R P Trading Corporation"/>
    <s v="Sundry Debtor Clarus"/>
    <x v="1"/>
    <x v="2"/>
    <m/>
    <x v="5"/>
    <m/>
    <n v="0"/>
    <n v="0"/>
    <n v="0"/>
    <n v="0"/>
    <m/>
    <n v="0"/>
    <n v="0"/>
    <n v="0"/>
    <n v="0"/>
  </r>
  <r>
    <n v="513"/>
    <s v="RAAG CONSULTANTS"/>
    <s v="Sundry Creditors for (OFFICE)"/>
    <x v="1"/>
    <x v="1"/>
    <m/>
    <x v="1"/>
    <m/>
    <n v="0"/>
    <n v="0"/>
    <n v="0"/>
    <n v="0"/>
    <m/>
    <n v="0"/>
    <n v="0"/>
    <n v="0"/>
    <n v="0"/>
  </r>
  <r>
    <n v="514"/>
    <s v="Rahul"/>
    <s v="SUNDRY DEBTORS (BLUE STREAK)"/>
    <x v="1"/>
    <x v="2"/>
    <m/>
    <x v="2"/>
    <m/>
    <n v="0"/>
    <n v="0"/>
    <n v="0"/>
    <n v="0"/>
    <m/>
    <n v="0"/>
    <n v="0"/>
    <n v="0"/>
    <n v="0"/>
  </r>
  <r>
    <n v="515"/>
    <s v="RAHUL GROVER"/>
    <s v="Sundry Creditors for (OFFICE)"/>
    <x v="1"/>
    <x v="1"/>
    <m/>
    <x v="1"/>
    <m/>
    <n v="0"/>
    <n v="0"/>
    <n v="0"/>
    <n v="0"/>
    <m/>
    <n v="0"/>
    <n v="0"/>
    <n v="0"/>
    <n v="0"/>
  </r>
  <r>
    <n v="516"/>
    <s v="Rakesh Singh - Loan A/c"/>
    <s v="STAFF LOAN - FACTORY"/>
    <x v="0"/>
    <x v="0"/>
    <m/>
    <x v="0"/>
    <m/>
    <n v="66000"/>
    <n v="0"/>
    <n v="0"/>
    <n v="66000"/>
    <m/>
    <n v="73000"/>
    <n v="0"/>
    <n v="7000"/>
    <n v="66000"/>
  </r>
  <r>
    <n v="517"/>
    <s v="Rams Computech"/>
    <s v="Tamil Nadu"/>
    <x v="1"/>
    <x v="2"/>
    <m/>
    <x v="2"/>
    <m/>
    <n v="0"/>
    <n v="0"/>
    <n v="0"/>
    <n v="0"/>
    <m/>
    <n v="0"/>
    <n v="24308"/>
    <n v="24308"/>
    <n v="0"/>
  </r>
  <r>
    <n v="518"/>
    <s v="Ranjan Marketing"/>
    <s v="Chhattishgarh"/>
    <x v="1"/>
    <x v="2"/>
    <m/>
    <x v="2"/>
    <m/>
    <n v="0"/>
    <n v="0"/>
    <n v="0"/>
    <n v="0"/>
    <m/>
    <n v="0"/>
    <n v="0"/>
    <n v="0"/>
    <n v="0"/>
  </r>
  <r>
    <n v="519"/>
    <s v="RAPID DIGITAL"/>
    <s v="Sundry Creditors for (Expenses)"/>
    <x v="1"/>
    <x v="1"/>
    <m/>
    <x v="1"/>
    <m/>
    <n v="-43120"/>
    <n v="43120"/>
    <n v="0"/>
    <n v="0"/>
    <m/>
    <n v="0"/>
    <n v="409644"/>
    <n v="409644"/>
    <n v="0"/>
  </r>
  <r>
    <n v="520"/>
    <s v="RBL Bank 5243 7319 3359 9421"/>
    <s v="Sundry Creditors for (Expenses)"/>
    <x v="1"/>
    <x v="1"/>
    <m/>
    <x v="1"/>
    <m/>
    <n v="0"/>
    <n v="0"/>
    <n v="0"/>
    <n v="0"/>
    <m/>
    <n v="0"/>
    <n v="18673"/>
    <n v="18673"/>
    <n v="0"/>
  </r>
  <r>
    <n v="521"/>
    <s v="Seal Charges - Spice"/>
    <s v="SPICE EXPENSE"/>
    <x v="2"/>
    <x v="4"/>
    <s v="Freight &amp; Shipping charges"/>
    <x v="4"/>
    <m/>
    <n v="0"/>
    <n v="7873.08"/>
    <n v="0"/>
    <n v="7873.08"/>
    <m/>
    <n v="0"/>
    <n v="17604.080000000002"/>
    <n v="0"/>
    <n v="17604.080000000002"/>
  </r>
  <r>
    <n v="521"/>
    <s v="Realm Marketing"/>
    <s v="Sundry Creditors for (Expenses)"/>
    <x v="1"/>
    <x v="1"/>
    <m/>
    <x v="1"/>
    <m/>
    <n v="0"/>
    <n v="115000"/>
    <n v="129999"/>
    <n v="-14999"/>
    <m/>
    <n v="0"/>
    <n v="175000"/>
    <n v="189999"/>
    <n v="-14999"/>
  </r>
  <r>
    <n v="522"/>
    <s v="Rediff.Com India Limited"/>
    <s v="Sundry Creditors for (Expenses)"/>
    <x v="1"/>
    <x v="1"/>
    <m/>
    <x v="1"/>
    <m/>
    <n v="0"/>
    <n v="0"/>
    <n v="0"/>
    <n v="0"/>
    <m/>
    <n v="0"/>
    <n v="12638"/>
    <n v="12638"/>
    <n v="0"/>
  </r>
  <r>
    <n v="523"/>
    <s v="Reliance Jio Digital Life ( Mobile Serv )"/>
    <s v="Sundry Creditors for (Expenses)"/>
    <x v="1"/>
    <x v="1"/>
    <m/>
    <x v="1"/>
    <m/>
    <n v="293.82"/>
    <n v="1491.94"/>
    <n v="1491.94"/>
    <n v="293.82"/>
    <m/>
    <n v="-2251.44"/>
    <n v="24882.21"/>
    <n v="22336.95"/>
    <n v="293.82"/>
  </r>
  <r>
    <n v="524"/>
    <s v="Reliance Jio Fiber (A to Z)"/>
    <s v="Sundry Creditors for (Expenses)"/>
    <x v="1"/>
    <x v="1"/>
    <m/>
    <x v="1"/>
    <m/>
    <n v="0"/>
    <n v="942.82"/>
    <n v="942.82"/>
    <n v="0"/>
    <m/>
    <n v="0"/>
    <n v="9411.6200000000008"/>
    <n v="9411.6200000000008"/>
    <n v="0"/>
  </r>
  <r>
    <n v="525"/>
    <s v="Reliance Jio Infocomm Limited"/>
    <s v="Sundry Creditors for (Expenses)"/>
    <x v="1"/>
    <x v="1"/>
    <m/>
    <x v="1"/>
    <m/>
    <n v="0"/>
    <n v="0"/>
    <n v="0"/>
    <n v="0"/>
    <m/>
    <n v="0"/>
    <n v="0"/>
    <n v="0"/>
    <n v="0"/>
  </r>
  <r>
    <n v="526"/>
    <s v="RENEWAL &amp; SUBSCRIPTION FEE (BLUESTREAK)"/>
    <s v="BLUESTREAK (EXPENSES)"/>
    <x v="2"/>
    <x v="3"/>
    <s v="Subscription fees"/>
    <x v="2"/>
    <m/>
    <n v="0"/>
    <n v="0"/>
    <n v="0"/>
    <n v="0"/>
    <m/>
    <n v="0"/>
    <n v="0"/>
    <n v="0"/>
    <n v="0"/>
  </r>
  <r>
    <n v="527"/>
    <s v="RENEWAL &amp; SUBSCRIPTION FEE (CLARUS)"/>
    <s v="CLARUS (EXPENSE)"/>
    <x v="2"/>
    <x v="3"/>
    <s v="Subscription fees"/>
    <x v="5"/>
    <m/>
    <n v="0"/>
    <n v="0"/>
    <n v="0"/>
    <n v="0"/>
    <m/>
    <n v="0"/>
    <n v="0"/>
    <n v="0"/>
    <n v="0"/>
  </r>
  <r>
    <n v="528"/>
    <s v="RENEWAL &amp; SUBSCRIPTION FEE (OFFICE)"/>
    <s v="OFFICE EXPENSE"/>
    <x v="2"/>
    <x v="3"/>
    <s v="Subscription fees"/>
    <x v="1"/>
    <m/>
    <n v="0"/>
    <n v="0"/>
    <n v="0"/>
    <n v="0"/>
    <m/>
    <n v="0"/>
    <n v="0"/>
    <n v="0"/>
    <n v="0"/>
  </r>
  <r>
    <n v="529"/>
    <s v="Rent, Rates &amp; Taxes (Fountainhead Exports)"/>
    <s v="OFFICE EXPENSE"/>
    <x v="2"/>
    <x v="3"/>
    <s v="Rent expenses"/>
    <x v="1"/>
    <m/>
    <n v="0"/>
    <n v="179550"/>
    <n v="0"/>
    <n v="179550"/>
    <m/>
    <n v="0"/>
    <n v="2078900"/>
    <n v="0"/>
    <n v="2078900"/>
  </r>
  <r>
    <n v="530"/>
    <s v="Rent, Rates &amp; Taxes (URD)(TAMBADMAL)"/>
    <s v="BLUESTREAK (EXPENSES)"/>
    <x v="2"/>
    <x v="3"/>
    <s v="Rent expenses"/>
    <x v="2"/>
    <m/>
    <n v="0"/>
    <n v="0"/>
    <n v="0"/>
    <n v="0"/>
    <m/>
    <n v="0"/>
    <n v="6000"/>
    <n v="0"/>
    <n v="6000"/>
  </r>
  <r>
    <n v="531"/>
    <s v="Reserve &amp; Surplus"/>
    <s v="Current Liablities"/>
    <x v="0"/>
    <x v="0"/>
    <m/>
    <x v="0"/>
    <m/>
    <n v="0"/>
    <n v="0"/>
    <n v="0"/>
    <n v="0"/>
    <m/>
    <n v="0"/>
    <n v="0"/>
    <n v="0"/>
    <n v="0"/>
  </r>
  <r>
    <n v="532"/>
    <s v="Retailez Private Limited"/>
    <s v="Sundry Creditors for (Expenses)"/>
    <x v="1"/>
    <x v="1"/>
    <m/>
    <x v="1"/>
    <m/>
    <n v="0"/>
    <n v="0"/>
    <n v="0"/>
    <n v="0"/>
    <m/>
    <n v="0"/>
    <n v="2469"/>
    <n v="2469"/>
    <n v="0"/>
  </r>
  <r>
    <n v="533"/>
    <s v="Roopang Infocare"/>
    <s v="Statewise"/>
    <x v="1"/>
    <x v="2"/>
    <m/>
    <x v="2"/>
    <m/>
    <n v="0"/>
    <n v="0"/>
    <n v="0"/>
    <n v="0"/>
    <m/>
    <n v="0"/>
    <n v="5989997"/>
    <n v="5989997"/>
    <n v="0"/>
  </r>
  <r>
    <n v="534"/>
    <s v="Rounding Off"/>
    <s v="COMMON EXPENSE"/>
    <x v="2"/>
    <x v="3"/>
    <s v="Misc Expenses"/>
    <x v="1"/>
    <m/>
    <n v="0"/>
    <n v="12.4"/>
    <n v="23.85"/>
    <n v="-11.45"/>
    <m/>
    <n v="0"/>
    <n v="203.62"/>
    <n v="241.1"/>
    <n v="-37.479999999999997"/>
  </r>
  <r>
    <n v="535"/>
    <s v="Royal Computer"/>
    <s v="Chhattishgarh"/>
    <x v="1"/>
    <x v="2"/>
    <m/>
    <x v="2"/>
    <m/>
    <n v="51094"/>
    <n v="0"/>
    <n v="0"/>
    <n v="51094"/>
    <m/>
    <n v="51094"/>
    <n v="0"/>
    <n v="0"/>
    <n v="51094"/>
  </r>
  <r>
    <n v="536"/>
    <s v="Ruchi Plast"/>
    <s v="Sundry Creditors ( Blue Streak )"/>
    <x v="1"/>
    <x v="1"/>
    <m/>
    <x v="2"/>
    <m/>
    <n v="0"/>
    <n v="0"/>
    <n v="0"/>
    <n v="0"/>
    <m/>
    <n v="-29394"/>
    <n v="29394"/>
    <n v="0"/>
    <n v="0"/>
  </r>
  <r>
    <n v="537"/>
    <s v="S R Computers"/>
    <s v="Telangana"/>
    <x v="1"/>
    <x v="2"/>
    <m/>
    <x v="2"/>
    <m/>
    <n v="-1180"/>
    <n v="0"/>
    <n v="0"/>
    <n v="-1180"/>
    <m/>
    <n v="47790"/>
    <n v="112100"/>
    <n v="161070"/>
    <n v="-1180"/>
  </r>
  <r>
    <n v="538"/>
    <s v="S. A. Tax (FBT) A.Y. 09-10"/>
    <s v="Tax Advances"/>
    <x v="0"/>
    <x v="0"/>
    <m/>
    <x v="0"/>
    <m/>
    <n v="1870"/>
    <n v="0"/>
    <n v="0"/>
    <n v="1870"/>
    <m/>
    <n v="1870"/>
    <n v="0"/>
    <n v="0"/>
    <n v="1870"/>
  </r>
  <r>
    <n v="539"/>
    <s v="S. S. Tank"/>
    <s v="Plant &amp; Machinery"/>
    <x v="0"/>
    <x v="0"/>
    <m/>
    <x v="0"/>
    <m/>
    <n v="8490.99"/>
    <n v="0"/>
    <n v="0"/>
    <n v="8490.99"/>
    <m/>
    <n v="8490.99"/>
    <n v="0"/>
    <n v="0"/>
    <n v="8490.99"/>
  </r>
  <r>
    <n v="540"/>
    <s v="S.A. Tax (I.T.) A.Y. 200-10"/>
    <s v="Tax Advances"/>
    <x v="0"/>
    <x v="0"/>
    <m/>
    <x v="0"/>
    <m/>
    <n v="6580"/>
    <n v="0"/>
    <n v="0"/>
    <n v="6580"/>
    <m/>
    <n v="6580"/>
    <n v="0"/>
    <n v="0"/>
    <n v="6580"/>
  </r>
  <r>
    <n v="541"/>
    <s v="S.B.AGENCIES"/>
    <s v="Rajasthan"/>
    <x v="1"/>
    <x v="2"/>
    <m/>
    <x v="2"/>
    <m/>
    <n v="0"/>
    <n v="0"/>
    <n v="0"/>
    <n v="0"/>
    <m/>
    <n v="0"/>
    <n v="0"/>
    <n v="0"/>
    <n v="0"/>
  </r>
  <r>
    <n v="542"/>
    <s v="S.K Enterprises ( U.P )"/>
    <s v="Uttar Pradesh"/>
    <x v="1"/>
    <x v="2"/>
    <m/>
    <x v="2"/>
    <m/>
    <n v="0"/>
    <n v="0"/>
    <n v="0"/>
    <n v="0"/>
    <m/>
    <n v="0"/>
    <n v="0"/>
    <n v="0"/>
    <n v="0"/>
  </r>
  <r>
    <n v="543"/>
    <s v="Sadguru Water Supplier"/>
    <s v="Sundry Creditors for (Expenses)"/>
    <x v="1"/>
    <x v="1"/>
    <m/>
    <x v="1"/>
    <m/>
    <n v="0"/>
    <n v="0"/>
    <n v="0"/>
    <n v="0"/>
    <m/>
    <n v="-3899.63"/>
    <n v="5125"/>
    <n v="1225.3699999999999"/>
    <n v="0"/>
  </r>
  <r>
    <n v="544"/>
    <s v="Sai Communication"/>
    <s v="SUNDRY CREDITORS (EXPORT)"/>
    <x v="1"/>
    <x v="1"/>
    <m/>
    <x v="3"/>
    <m/>
    <n v="279"/>
    <n v="0"/>
    <n v="304"/>
    <n v="-25"/>
    <m/>
    <n v="0"/>
    <n v="6229420"/>
    <n v="6229445"/>
    <n v="-25"/>
  </r>
  <r>
    <n v="545"/>
    <s v="Sai Siddhi Consultancy"/>
    <s v="Sundry Creditors for (Expenses)"/>
    <x v="1"/>
    <x v="1"/>
    <m/>
    <x v="1"/>
    <m/>
    <n v="-1000"/>
    <n v="2000"/>
    <n v="2000"/>
    <n v="-1000"/>
    <m/>
    <n v="-1000"/>
    <n v="12000"/>
    <n v="12000"/>
    <n v="-1000"/>
  </r>
  <r>
    <n v="546"/>
    <s v="Sai Systems &amp; Communications"/>
    <s v="Andhra Pradesh"/>
    <x v="1"/>
    <x v="2"/>
    <m/>
    <x v="2"/>
    <m/>
    <n v="0"/>
    <n v="0"/>
    <n v="0"/>
    <n v="0"/>
    <m/>
    <n v="-3029.36"/>
    <n v="60133"/>
    <n v="57103.64"/>
    <n v="0"/>
  </r>
  <r>
    <n v="547"/>
    <s v="Salary Payable"/>
    <s v="Current Liablities"/>
    <x v="0"/>
    <x v="0"/>
    <m/>
    <x v="0"/>
    <m/>
    <n v="-606233"/>
    <n v="610835"/>
    <n v="584007"/>
    <n v="-579405"/>
    <m/>
    <n v="-109824"/>
    <n v="2741112"/>
    <n v="3210693"/>
    <n v="-579405"/>
  </r>
  <r>
    <n v="548"/>
    <s v="SALES"/>
    <s v="SALES CLARUS"/>
    <x v="2"/>
    <x v="6"/>
    <s v="Sales"/>
    <x v="5"/>
    <m/>
    <n v="0"/>
    <n v="0"/>
    <n v="28434.720000000001"/>
    <n v="-28434.720000000001"/>
    <m/>
    <n v="0"/>
    <n v="0"/>
    <n v="887346.04"/>
    <n v="-887346.04"/>
  </r>
  <r>
    <n v="549"/>
    <s v="Sales - Zero Rated"/>
    <s v="Sales Accounts"/>
    <x v="2"/>
    <x v="6"/>
    <s v="Sales"/>
    <x v="1"/>
    <m/>
    <n v="0"/>
    <n v="0"/>
    <n v="0"/>
    <n v="0"/>
    <m/>
    <n v="0"/>
    <n v="0"/>
    <n v="0"/>
    <n v="0"/>
  </r>
  <r>
    <n v="550"/>
    <s v="SALES BLUE STREAK"/>
    <s v="SALES BLUESTREAK"/>
    <x v="2"/>
    <x v="6"/>
    <s v="Sales"/>
    <x v="2"/>
    <m/>
    <n v="0"/>
    <n v="0"/>
    <n v="0"/>
    <n v="0"/>
    <m/>
    <n v="0"/>
    <n v="3024"/>
    <n v="1771674.32"/>
    <n v="-1768650.32"/>
  </r>
  <r>
    <n v="551"/>
    <s v="SALES EXPORT"/>
    <s v="SALES EXPORT"/>
    <x v="2"/>
    <x v="6"/>
    <s v="Sales"/>
    <x v="3"/>
    <m/>
    <n v="0"/>
    <n v="0"/>
    <n v="0"/>
    <n v="0"/>
    <m/>
    <n v="0"/>
    <n v="0"/>
    <n v="0"/>
    <n v="0"/>
  </r>
  <r>
    <n v="552"/>
    <s v="SALES FREIGHT CHG - BLUE STREAK"/>
    <s v="SALES BLUESTREAK"/>
    <x v="2"/>
    <x v="6"/>
    <s v="Sales"/>
    <x v="2"/>
    <m/>
    <n v="0"/>
    <n v="0"/>
    <n v="0"/>
    <n v="0"/>
    <m/>
    <n v="0"/>
    <n v="0"/>
    <n v="2100"/>
    <n v="-2100"/>
  </r>
  <r>
    <n v="553"/>
    <s v="SALES FREIGHT CHG - BLUE STREAK 12%"/>
    <s v="SALES BLUESTREAK"/>
    <x v="2"/>
    <x v="6"/>
    <s v="Sales"/>
    <x v="2"/>
    <m/>
    <n v="0"/>
    <n v="0"/>
    <n v="0"/>
    <n v="0"/>
    <m/>
    <n v="0"/>
    <n v="0"/>
    <n v="0"/>
    <n v="0"/>
  </r>
  <r>
    <n v="554"/>
    <s v="SALES IT"/>
    <s v="SALES IT"/>
    <x v="2"/>
    <x v="6"/>
    <s v="Sales"/>
    <x v="3"/>
    <m/>
    <n v="0"/>
    <n v="0"/>
    <n v="0"/>
    <n v="0"/>
    <m/>
    <n v="0"/>
    <n v="0"/>
    <n v="105991629.29000001"/>
    <n v="-105991629.29000001"/>
  </r>
  <r>
    <n v="555"/>
    <s v="SALES SPICE"/>
    <s v="Sales Spice"/>
    <x v="2"/>
    <x v="6"/>
    <s v="Sales"/>
    <x v="4"/>
    <m/>
    <n v="0"/>
    <n v="6827434.4000000004"/>
    <n v="81857931.269999996"/>
    <n v="-75030496.870000005"/>
    <m/>
    <n v="0"/>
    <n v="6827434.4000000004"/>
    <n v="127951454.03"/>
    <n v="-121124019.63"/>
  </r>
  <r>
    <n v="556"/>
    <s v="Sandeep Enterprises"/>
    <s v="Sundry Debtor Clarus (Current)"/>
    <x v="1"/>
    <x v="2"/>
    <m/>
    <x v="5"/>
    <m/>
    <n v="0"/>
    <n v="0"/>
    <n v="0"/>
    <n v="0"/>
    <m/>
    <n v="0"/>
    <n v="0"/>
    <n v="0"/>
    <n v="0"/>
  </r>
  <r>
    <n v="557"/>
    <s v="Sandeep Forms Centre"/>
    <s v="West Bengal"/>
    <x v="1"/>
    <x v="0"/>
    <m/>
    <x v="2"/>
    <m/>
    <n v="0"/>
    <n v="0"/>
    <n v="0"/>
    <n v="0"/>
    <m/>
    <n v="0"/>
    <n v="0"/>
    <n v="0"/>
    <n v="0"/>
  </r>
  <r>
    <n v="558"/>
    <s v="Sanjay S. Mehta"/>
    <s v="Sundry Debtor Clarus (Current)"/>
    <x v="1"/>
    <x v="2"/>
    <m/>
    <x v="5"/>
    <m/>
    <n v="-2360"/>
    <n v="0"/>
    <n v="0"/>
    <n v="-2360"/>
    <m/>
    <n v="-2360"/>
    <n v="944"/>
    <n v="944"/>
    <n v="-2360"/>
  </r>
  <r>
    <n v="559"/>
    <s v="Saravana Systems"/>
    <s v="Tamil Nadu"/>
    <x v="1"/>
    <x v="2"/>
    <m/>
    <x v="2"/>
    <m/>
    <n v="31996"/>
    <n v="0"/>
    <n v="0"/>
    <n v="31996"/>
    <m/>
    <n v="31996"/>
    <n v="0"/>
    <n v="0"/>
    <n v="31996"/>
  </r>
  <r>
    <n v="560"/>
    <s v="SAUDI ARABIAN AIRLINES"/>
    <s v="SUNDRY CREDITORS (EXPORT)"/>
    <x v="1"/>
    <x v="1"/>
    <m/>
    <x v="3"/>
    <m/>
    <n v="0"/>
    <n v="0"/>
    <n v="0"/>
    <n v="0"/>
    <m/>
    <n v="0"/>
    <n v="0"/>
    <n v="0"/>
    <n v="0"/>
  </r>
  <r>
    <n v="561"/>
    <s v="Scan Barcode Solutions"/>
    <s v="Sundry Creditors ( Blue Streak )"/>
    <x v="1"/>
    <x v="1"/>
    <m/>
    <x v="2"/>
    <m/>
    <n v="0"/>
    <n v="0"/>
    <n v="0"/>
    <n v="0"/>
    <m/>
    <n v="0"/>
    <n v="4189"/>
    <n v="4189"/>
    <n v="0"/>
  </r>
  <r>
    <n v="562"/>
    <s v="SEA CHARGES"/>
    <s v="EXPORT (EXPENSE)"/>
    <x v="2"/>
    <x v="4"/>
    <s v="Freight &amp; Shipping charges"/>
    <x v="3"/>
    <m/>
    <n v="0"/>
    <n v="47503.63"/>
    <n v="0"/>
    <n v="47503.63"/>
    <m/>
    <n v="0"/>
    <n v="47503.63"/>
    <n v="0"/>
    <n v="47503.63"/>
  </r>
  <r>
    <n v="563"/>
    <s v="SEA FREIGHT CHARGES-FRT"/>
    <s v="EXPORT (EXPENSE)"/>
    <x v="2"/>
    <x v="4"/>
    <s v="Freight &amp; Shipping charges"/>
    <x v="3"/>
    <m/>
    <n v="0"/>
    <n v="0"/>
    <n v="0"/>
    <n v="0"/>
    <m/>
    <n v="0"/>
    <n v="19713"/>
    <n v="0"/>
    <n v="19713"/>
  </r>
  <r>
    <n v="564"/>
    <s v="SEAL CHARGES"/>
    <s v="Direct Expense"/>
    <x v="2"/>
    <x v="4"/>
    <s v="Port Expenses"/>
    <x v="3"/>
    <m/>
    <n v="0"/>
    <n v="0"/>
    <n v="0"/>
    <n v="0"/>
    <m/>
    <n v="0"/>
    <n v="4567.8999999999996"/>
    <n v="0"/>
    <n v="4567.8999999999996"/>
  </r>
  <r>
    <n v="565"/>
    <s v="Security Deposit (Jio Mobile Service)"/>
    <s v="Security Deposit (Jio Mobile Service)"/>
    <x v="1"/>
    <x v="0"/>
    <m/>
    <x v="0"/>
    <m/>
    <n v="4000"/>
    <n v="0"/>
    <n v="0"/>
    <n v="4000"/>
    <m/>
    <n v="0"/>
    <n v="4000"/>
    <n v="0"/>
    <n v="4000"/>
  </r>
  <r>
    <n v="566"/>
    <s v="Seema Agencies"/>
    <s v="Sundry Debtor Clarus"/>
    <x v="1"/>
    <x v="2"/>
    <m/>
    <x v="5"/>
    <m/>
    <n v="0"/>
    <n v="0"/>
    <n v="0"/>
    <n v="0"/>
    <m/>
    <n v="0"/>
    <n v="0"/>
    <n v="0"/>
    <n v="0"/>
  </r>
  <r>
    <n v="567"/>
    <s v="Seema Enterprises"/>
    <s v="Sundry Debtor Clarus"/>
    <x v="1"/>
    <x v="2"/>
    <m/>
    <x v="5"/>
    <m/>
    <n v="0"/>
    <n v="0"/>
    <n v="0"/>
    <n v="0"/>
    <m/>
    <n v="0"/>
    <n v="15644"/>
    <n v="15644"/>
    <n v="0"/>
  </r>
  <r>
    <n v="568"/>
    <s v="Self Assessment Tax (A.Y. 2010-11)"/>
    <s v="Tax Advances"/>
    <x v="0"/>
    <x v="0"/>
    <m/>
    <x v="0"/>
    <m/>
    <n v="1530"/>
    <n v="0"/>
    <n v="0"/>
    <n v="1530"/>
    <m/>
    <n v="1530"/>
    <n v="0"/>
    <n v="0"/>
    <n v="1530"/>
  </r>
  <r>
    <n v="569"/>
    <s v="Self Assessment Tax (A.Y. 2011-12)"/>
    <s v="Tax Advances"/>
    <x v="0"/>
    <x v="0"/>
    <m/>
    <x v="0"/>
    <m/>
    <n v="433850"/>
    <n v="0"/>
    <n v="0"/>
    <n v="433850"/>
    <m/>
    <n v="433850"/>
    <n v="0"/>
    <n v="0"/>
    <n v="433850"/>
  </r>
  <r>
    <n v="570"/>
    <s v="Self Assessment Tax (A.Y. 2021-22)"/>
    <s v="Tax Advances"/>
    <x v="0"/>
    <x v="0"/>
    <m/>
    <x v="0"/>
    <m/>
    <n v="653050"/>
    <n v="0"/>
    <n v="0"/>
    <n v="653050"/>
    <m/>
    <n v="653050"/>
    <n v="0"/>
    <n v="0"/>
    <n v="653050"/>
  </r>
  <r>
    <n v="571"/>
    <s v="Seraphic Products"/>
    <s v="Sundry Creditors ( Clarus )"/>
    <x v="1"/>
    <x v="1"/>
    <m/>
    <x v="5"/>
    <m/>
    <n v="0"/>
    <n v="0"/>
    <n v="0"/>
    <n v="0"/>
    <m/>
    <n v="0"/>
    <n v="0"/>
    <n v="0"/>
    <n v="0"/>
  </r>
  <r>
    <n v="572"/>
    <s v="Service Charges (Export)"/>
    <s v="EXPORT (EXPENSE)"/>
    <x v="2"/>
    <x v="4"/>
    <s v="Freight &amp; Shipping charges"/>
    <x v="3"/>
    <m/>
    <n v="0"/>
    <n v="0"/>
    <n v="0"/>
    <n v="0"/>
    <m/>
    <n v="0"/>
    <n v="73142"/>
    <n v="0"/>
    <n v="73142"/>
  </r>
  <r>
    <n v="573"/>
    <s v="SGST 14%"/>
    <s v="GST Payable"/>
    <x v="0"/>
    <x v="0"/>
    <m/>
    <x v="0"/>
    <m/>
    <n v="0"/>
    <n v="0"/>
    <n v="0"/>
    <n v="0"/>
    <m/>
    <n v="0"/>
    <n v="0"/>
    <n v="0"/>
    <n v="0"/>
  </r>
  <r>
    <n v="574"/>
    <s v="SGST 2.5%"/>
    <s v="GST Payable"/>
    <x v="0"/>
    <x v="0"/>
    <m/>
    <x v="0"/>
    <m/>
    <n v="348252.15999999997"/>
    <n v="324787.86"/>
    <n v="0"/>
    <n v="673040.02"/>
    <m/>
    <n v="0"/>
    <n v="673040.02"/>
    <n v="0"/>
    <n v="673040.02"/>
  </r>
  <r>
    <n v="575"/>
    <s v="SGST 6%"/>
    <s v="GST Payable"/>
    <x v="0"/>
    <x v="0"/>
    <m/>
    <x v="0"/>
    <m/>
    <n v="-1329.9"/>
    <n v="0"/>
    <n v="0"/>
    <n v="-1329.9"/>
    <m/>
    <n v="0"/>
    <n v="3250.5"/>
    <n v="4580.3999999999996"/>
    <n v="-1329.9"/>
  </r>
  <r>
    <n v="576"/>
    <s v="SGST 9%"/>
    <s v="GST Payable"/>
    <x v="0"/>
    <x v="0"/>
    <m/>
    <x v="0"/>
    <m/>
    <n v="367217.96"/>
    <n v="400078"/>
    <n v="1847559.12"/>
    <n v="-1080263.1599999999"/>
    <m/>
    <n v="-317245.48"/>
    <n v="1399794.99"/>
    <n v="2162812.67"/>
    <n v="-1080263.1599999999"/>
  </r>
  <r>
    <n v="577"/>
    <s v="SGST PAYABLE UNDER RCM"/>
    <s v="Reverse Charges Mechanisam"/>
    <x v="0"/>
    <x v="0"/>
    <m/>
    <x v="0"/>
    <m/>
    <n v="0"/>
    <n v="1500"/>
    <n v="0"/>
    <n v="1500"/>
    <m/>
    <n v="-540"/>
    <n v="3178"/>
    <n v="1138"/>
    <n v="1500"/>
  </r>
  <r>
    <n v="578"/>
    <s v="Sharad Suresh Bhavake - Loan A/c"/>
    <s v="STAFF LOAN - FACTORY"/>
    <x v="0"/>
    <x v="0"/>
    <m/>
    <x v="0"/>
    <m/>
    <n v="0"/>
    <n v="0"/>
    <n v="0"/>
    <n v="0"/>
    <m/>
    <n v="0"/>
    <n v="0"/>
    <n v="0"/>
    <n v="0"/>
  </r>
  <r>
    <n v="579"/>
    <s v="Share - Adani Wilmar Limited"/>
    <s v="Share Investment Anand Rathi"/>
    <x v="1"/>
    <x v="0"/>
    <m/>
    <x v="6"/>
    <m/>
    <n v="0"/>
    <n v="0"/>
    <n v="0"/>
    <n v="0"/>
    <m/>
    <n v="557976.01"/>
    <n v="450.56"/>
    <n v="558426.56999999995"/>
    <n v="0"/>
  </r>
  <r>
    <n v="580"/>
    <s v="Share - Aditya Birla Fashion"/>
    <s v="Share Investment Anand Rathi"/>
    <x v="0"/>
    <x v="0"/>
    <m/>
    <x v="0"/>
    <m/>
    <n v="0"/>
    <n v="0"/>
    <n v="0"/>
    <n v="0"/>
    <m/>
    <n v="208322.55"/>
    <n v="109111.21"/>
    <n v="317433.76"/>
    <n v="0"/>
  </r>
  <r>
    <n v="581"/>
    <s v="Share - Aditya Birla Lifestyle Brands"/>
    <s v="Share Investment Anand Rathi"/>
    <x v="0"/>
    <x v="0"/>
    <m/>
    <x v="0"/>
    <m/>
    <n v="0"/>
    <n v="0"/>
    <n v="0"/>
    <n v="0"/>
    <m/>
    <n v="0"/>
    <n v="0"/>
    <n v="0"/>
    <n v="0"/>
  </r>
  <r>
    <n v="582"/>
    <s v="Share - Bandhan Bank Limited"/>
    <s v="Share Investment Anand Rathi"/>
    <x v="0"/>
    <x v="0"/>
    <m/>
    <x v="0"/>
    <m/>
    <n v="0"/>
    <n v="0"/>
    <n v="0"/>
    <n v="0"/>
    <m/>
    <n v="180633.55"/>
    <n v="205.84"/>
    <n v="180839.39"/>
    <n v="0"/>
  </r>
  <r>
    <n v="583"/>
    <s v="Share - Bank of Maharastra"/>
    <s v="Share Investment Anand Rathi"/>
    <x v="0"/>
    <x v="0"/>
    <m/>
    <x v="0"/>
    <m/>
    <n v="0"/>
    <n v="0"/>
    <n v="0"/>
    <n v="0"/>
    <m/>
    <n v="0"/>
    <n v="0"/>
    <n v="0"/>
    <n v="0"/>
  </r>
  <r>
    <n v="584"/>
    <s v="Share - BHARAT ELECTRONICS LTD"/>
    <s v="Share Investment Anand Rathi"/>
    <x v="0"/>
    <x v="0"/>
    <m/>
    <x v="0"/>
    <m/>
    <n v="0"/>
    <n v="0"/>
    <n v="0"/>
    <n v="0"/>
    <m/>
    <n v="63825.78"/>
    <n v="32943.93"/>
    <n v="96769.71"/>
    <n v="0"/>
  </r>
  <r>
    <n v="585"/>
    <s v="Share - Bhel"/>
    <s v="Share Investment Anand Rathi"/>
    <x v="0"/>
    <x v="0"/>
    <m/>
    <x v="0"/>
    <m/>
    <n v="0"/>
    <n v="0"/>
    <n v="0"/>
    <n v="0"/>
    <m/>
    <n v="0"/>
    <n v="0"/>
    <n v="0"/>
    <n v="0"/>
  </r>
  <r>
    <n v="586"/>
    <s v="Share - Dalmia Bharat Sug In"/>
    <s v="Share Investment Anand Rathi"/>
    <x v="0"/>
    <x v="0"/>
    <m/>
    <x v="0"/>
    <m/>
    <n v="0"/>
    <n v="0"/>
    <n v="0"/>
    <n v="0"/>
    <m/>
    <n v="203581.74"/>
    <n v="17263.560000000001"/>
    <n v="220845.3"/>
    <n v="0"/>
  </r>
  <r>
    <n v="587"/>
    <s v="Share - Engineers India Ltd"/>
    <s v="Share Investment Anand Rathi"/>
    <x v="0"/>
    <x v="0"/>
    <m/>
    <x v="0"/>
    <m/>
    <n v="0"/>
    <n v="0"/>
    <n v="0"/>
    <n v="0"/>
    <m/>
    <n v="211301.5"/>
    <n v="19037.150000000001"/>
    <n v="230338.65"/>
    <n v="0"/>
  </r>
  <r>
    <n v="588"/>
    <s v="Share - HDFC Life Ins.Co Ltd"/>
    <s v="Share Investment Anand Rathi"/>
    <x v="0"/>
    <x v="0"/>
    <m/>
    <x v="0"/>
    <m/>
    <n v="0"/>
    <n v="0"/>
    <n v="0"/>
    <n v="0"/>
    <m/>
    <n v="0"/>
    <n v="0"/>
    <n v="0"/>
    <n v="0"/>
  </r>
  <r>
    <n v="589"/>
    <s v="Share - Hero Motocorp Limited"/>
    <s v="Share Investment Anand Rathi"/>
    <x v="0"/>
    <x v="0"/>
    <m/>
    <x v="0"/>
    <m/>
    <n v="0"/>
    <n v="0"/>
    <n v="0"/>
    <n v="0"/>
    <m/>
    <n v="5919.82"/>
    <n v="4.96"/>
    <n v="5924.78"/>
    <n v="0"/>
  </r>
  <r>
    <n v="590"/>
    <s v="Share - Hindustan Copper Ltd"/>
    <s v="Share Investment Anand Rathi"/>
    <x v="0"/>
    <x v="0"/>
    <m/>
    <x v="0"/>
    <m/>
    <n v="0"/>
    <n v="0"/>
    <n v="0"/>
    <n v="0"/>
    <m/>
    <n v="0"/>
    <n v="0"/>
    <n v="0"/>
    <n v="0"/>
  </r>
  <r>
    <n v="591"/>
    <s v="Share - Indiabulls HSG Finance Ltd"/>
    <s v="Share Investment Anand Rathi"/>
    <x v="0"/>
    <x v="0"/>
    <m/>
    <x v="0"/>
    <m/>
    <n v="0"/>
    <n v="0"/>
    <n v="0"/>
    <n v="0"/>
    <m/>
    <n v="0"/>
    <n v="0"/>
    <n v="0"/>
    <n v="0"/>
  </r>
  <r>
    <n v="592"/>
    <s v="Share - ITD Cementation India Ltd"/>
    <s v="Share Investment Anand Rathi"/>
    <x v="0"/>
    <x v="0"/>
    <m/>
    <x v="0"/>
    <m/>
    <n v="0"/>
    <n v="0"/>
    <n v="0"/>
    <n v="0"/>
    <m/>
    <n v="241601.48"/>
    <n v="143601.54"/>
    <n v="385203.02"/>
    <n v="0"/>
  </r>
  <r>
    <n v="593"/>
    <s v="Share - Jaiprakash Power Venture"/>
    <s v="Share Investment Anand Rathi"/>
    <x v="0"/>
    <x v="0"/>
    <m/>
    <x v="0"/>
    <m/>
    <n v="0"/>
    <n v="0"/>
    <n v="0"/>
    <n v="0"/>
    <m/>
    <n v="48557.5"/>
    <n v="51.81"/>
    <n v="48609.31"/>
    <n v="0"/>
  </r>
  <r>
    <n v="594"/>
    <s v="Share - Jindal Drilling Ind."/>
    <s v="Share Investment Anand Rathi"/>
    <x v="0"/>
    <x v="0"/>
    <m/>
    <x v="0"/>
    <m/>
    <n v="0"/>
    <n v="0"/>
    <n v="0"/>
    <n v="0"/>
    <m/>
    <n v="88021.66"/>
    <n v="9410.09"/>
    <n v="97431.75"/>
    <n v="0"/>
  </r>
  <r>
    <n v="595"/>
    <s v="Share - JSW Infra"/>
    <s v="Share Investment Anand Rathi"/>
    <x v="0"/>
    <x v="0"/>
    <m/>
    <x v="0"/>
    <m/>
    <n v="0"/>
    <n v="0"/>
    <n v="0"/>
    <n v="0"/>
    <m/>
    <n v="0"/>
    <n v="0"/>
    <n v="0"/>
    <n v="0"/>
  </r>
  <r>
    <n v="596"/>
    <s v="Share - Kajaria Ceramics Ltd"/>
    <s v="Share Investment Anand Rathi"/>
    <x v="0"/>
    <x v="0"/>
    <m/>
    <x v="0"/>
    <m/>
    <n v="0"/>
    <n v="0"/>
    <n v="0"/>
    <n v="0"/>
    <m/>
    <n v="122565.87"/>
    <n v="126.11"/>
    <n v="122691.98"/>
    <n v="0"/>
  </r>
  <r>
    <n v="597"/>
    <s v="Share - Kotak Mahindra Bank"/>
    <s v="Share Investment Anand Rathi"/>
    <x v="0"/>
    <x v="0"/>
    <m/>
    <x v="0"/>
    <m/>
    <n v="0"/>
    <n v="0"/>
    <n v="0"/>
    <n v="0"/>
    <m/>
    <n v="85704.07"/>
    <n v="17778.439999999999"/>
    <n v="103482.51"/>
    <n v="0"/>
  </r>
  <r>
    <n v="598"/>
    <s v="share - L&amp;T Finance Ltd_x000d__x000a_"/>
    <s v="Share Investment Anand Rathi"/>
    <x v="0"/>
    <x v="0"/>
    <m/>
    <x v="0"/>
    <m/>
    <n v="0"/>
    <n v="0"/>
    <n v="0"/>
    <n v="0"/>
    <m/>
    <n v="85602.3"/>
    <n v="8331.9"/>
    <n v="93934.2"/>
    <n v="0"/>
  </r>
  <r>
    <n v="599"/>
    <s v="Share - NHPC Ltd"/>
    <s v="Share Investment Anand Rathi"/>
    <x v="0"/>
    <x v="0"/>
    <m/>
    <x v="0"/>
    <m/>
    <n v="0"/>
    <n v="0"/>
    <n v="0"/>
    <n v="0"/>
    <m/>
    <n v="196233"/>
    <n v="199.61"/>
    <n v="196432.61"/>
    <n v="0"/>
  </r>
  <r>
    <n v="600"/>
    <s v="Share - Nippon Amc"/>
    <s v="Share Investment Anand Rathi"/>
    <x v="0"/>
    <x v="0"/>
    <m/>
    <x v="0"/>
    <m/>
    <n v="0"/>
    <n v="0"/>
    <n v="0"/>
    <n v="0"/>
    <m/>
    <n v="34766.35"/>
    <n v="16327.86"/>
    <n v="51094.21"/>
    <n v="0"/>
  </r>
  <r>
    <n v="601"/>
    <s v="Share - NTPC Ltd"/>
    <s v="Share Investment Anand Rathi"/>
    <x v="0"/>
    <x v="0"/>
    <m/>
    <x v="0"/>
    <m/>
    <n v="0"/>
    <n v="0"/>
    <n v="0"/>
    <n v="0"/>
    <m/>
    <n v="54499.41"/>
    <n v="93.05"/>
    <n v="54592.46"/>
    <n v="0"/>
  </r>
  <r>
    <n v="602"/>
    <s v="Share - PVRINOX"/>
    <s v="Share Investment Anand Rathi"/>
    <x v="0"/>
    <x v="0"/>
    <m/>
    <x v="0"/>
    <m/>
    <n v="0"/>
    <n v="0"/>
    <n v="0"/>
    <n v="0"/>
    <m/>
    <n v="101599.82"/>
    <n v="84.99"/>
    <n v="101684.81"/>
    <n v="0"/>
  </r>
  <r>
    <n v="603"/>
    <s v="Share - Sammaan Capital Limited"/>
    <s v="Share Investment Anand Rathi"/>
    <x v="0"/>
    <x v="0"/>
    <m/>
    <x v="0"/>
    <m/>
    <n v="0"/>
    <n v="0"/>
    <n v="0"/>
    <n v="0"/>
    <m/>
    <n v="173506.77"/>
    <n v="150.9"/>
    <n v="173657.67"/>
    <n v="0"/>
  </r>
  <r>
    <n v="604"/>
    <s v="Share - Spicejet Ltd"/>
    <s v="Share Investment Anand Rathi"/>
    <x v="0"/>
    <x v="0"/>
    <m/>
    <x v="0"/>
    <m/>
    <n v="0"/>
    <n v="0"/>
    <n v="0"/>
    <n v="0"/>
    <m/>
    <n v="0"/>
    <n v="0"/>
    <n v="0"/>
    <n v="0"/>
  </r>
  <r>
    <n v="605"/>
    <s v="Share - Steel Authority of India"/>
    <s v="Share Investment Anand Rathi"/>
    <x v="0"/>
    <x v="0"/>
    <m/>
    <x v="0"/>
    <m/>
    <n v="0"/>
    <n v="0"/>
    <n v="0"/>
    <n v="0"/>
    <m/>
    <n v="0"/>
    <n v="0"/>
    <n v="0"/>
    <n v="0"/>
  </r>
  <r>
    <n v="606"/>
    <s v="Share - Subex Ltd"/>
    <s v="Share Investment Anand Rathi"/>
    <x v="0"/>
    <x v="0"/>
    <m/>
    <x v="0"/>
    <m/>
    <n v="0"/>
    <n v="0"/>
    <n v="0"/>
    <n v="0"/>
    <m/>
    <n v="99368.25"/>
    <n v="41.39"/>
    <n v="99409.64"/>
    <n v="0"/>
  </r>
  <r>
    <n v="607"/>
    <s v="Share - Suraj Estate Develop"/>
    <s v="Share Investment Anand Rathi"/>
    <x v="0"/>
    <x v="0"/>
    <m/>
    <x v="0"/>
    <m/>
    <n v="0"/>
    <n v="0"/>
    <n v="0"/>
    <n v="0"/>
    <m/>
    <n v="0"/>
    <n v="0"/>
    <n v="0"/>
    <n v="0"/>
  </r>
  <r>
    <n v="608"/>
    <s v="Share - Tejas Network Limited"/>
    <s v="Share Investment Anand Rathi"/>
    <x v="0"/>
    <x v="0"/>
    <m/>
    <x v="0"/>
    <m/>
    <n v="0"/>
    <n v="0"/>
    <n v="0"/>
    <n v="0"/>
    <m/>
    <n v="189724.95"/>
    <n v="208.47"/>
    <n v="189933.42"/>
    <n v="0"/>
  </r>
  <r>
    <n v="609"/>
    <s v="Share - UPL Limited"/>
    <s v="Share Investment Anand Rathi"/>
    <x v="0"/>
    <x v="0"/>
    <m/>
    <x v="0"/>
    <m/>
    <n v="0"/>
    <n v="0"/>
    <n v="0"/>
    <n v="0"/>
    <m/>
    <n v="254298.72"/>
    <n v="67975.53"/>
    <n v="322274.25"/>
    <n v="0"/>
  </r>
  <r>
    <n v="610"/>
    <s v="Share - Vedant Fashions Limited"/>
    <s v="Share Investment Anand Rathi"/>
    <x v="0"/>
    <x v="0"/>
    <m/>
    <x v="0"/>
    <m/>
    <n v="0"/>
    <n v="0"/>
    <n v="0"/>
    <n v="0"/>
    <m/>
    <n v="95369.74"/>
    <n v="93.55"/>
    <n v="95463.29"/>
    <n v="0"/>
  </r>
  <r>
    <n v="611"/>
    <s v="Share - VIP Industries Limited"/>
    <s v="Share Investment Anand Rathi"/>
    <x v="0"/>
    <x v="0"/>
    <m/>
    <x v="0"/>
    <m/>
    <n v="0"/>
    <n v="0"/>
    <n v="0"/>
    <n v="0"/>
    <m/>
    <n v="658157.36"/>
    <n v="605.77"/>
    <n v="658763.13"/>
    <n v="0"/>
  </r>
  <r>
    <n v="612"/>
    <s v="Share - Yes Bank Ltd"/>
    <s v="Share Investment Anand Rathi"/>
    <x v="0"/>
    <x v="0"/>
    <m/>
    <x v="0"/>
    <m/>
    <n v="0"/>
    <n v="0"/>
    <n v="0"/>
    <n v="0"/>
    <m/>
    <n v="71184.2"/>
    <n v="70.09"/>
    <n v="71254.289999999994"/>
    <n v="0"/>
  </r>
  <r>
    <n v="613"/>
    <s v="share- Galaxy Surfactants Ltd"/>
    <s v="Share Investment Anand Rathi"/>
    <x v="0"/>
    <x v="0"/>
    <m/>
    <x v="0"/>
    <m/>
    <n v="0"/>
    <n v="0"/>
    <n v="0"/>
    <n v="0"/>
    <m/>
    <n v="178088.08"/>
    <n v="14604.14"/>
    <n v="192692.22"/>
    <n v="0"/>
  </r>
  <r>
    <n v="614"/>
    <s v="Share -Hindustan Construction"/>
    <s v="Share Investment Anand Rathi"/>
    <x v="0"/>
    <x v="0"/>
    <m/>
    <x v="0"/>
    <m/>
    <n v="0"/>
    <n v="0"/>
    <n v="0"/>
    <n v="0"/>
    <m/>
    <n v="0"/>
    <n v="0"/>
    <n v="0"/>
    <n v="0"/>
  </r>
  <r>
    <n v="615"/>
    <s v="Share -Thomas Cook ( India )"/>
    <s v="Share Investment Anand Rathi"/>
    <x v="0"/>
    <x v="0"/>
    <m/>
    <x v="0"/>
    <m/>
    <n v="0"/>
    <n v="0"/>
    <n v="0"/>
    <n v="0"/>
    <m/>
    <n v="0"/>
    <n v="0"/>
    <n v="0"/>
    <n v="0"/>
  </r>
  <r>
    <n v="616"/>
    <s v="SHIFTING/LOADING/UNLOADING CHARGES-CHA"/>
    <s v="EXPORT (EXPENSE)"/>
    <x v="2"/>
    <x v="4"/>
    <s v="Loading &amp; Unloading charges"/>
    <x v="3"/>
    <m/>
    <n v="0"/>
    <n v="0"/>
    <n v="0"/>
    <n v="0"/>
    <m/>
    <n v="0"/>
    <n v="4750"/>
    <n v="0"/>
    <n v="4750"/>
  </r>
  <r>
    <n v="617"/>
    <s v="Shiv Enterprise Pune"/>
    <s v="Sundry Creditors for (Expenses)"/>
    <x v="1"/>
    <x v="1"/>
    <m/>
    <x v="1"/>
    <m/>
    <n v="0"/>
    <n v="0"/>
    <n v="0"/>
    <n v="0"/>
    <m/>
    <n v="-618"/>
    <n v="618"/>
    <n v="0"/>
    <n v="0"/>
  </r>
  <r>
    <n v="618"/>
    <s v="Shiv Enterprises (Chandigarh)"/>
    <s v="Sundry Creditors for (Expenses)"/>
    <x v="1"/>
    <x v="1"/>
    <m/>
    <x v="1"/>
    <m/>
    <n v="0"/>
    <n v="0"/>
    <n v="0"/>
    <n v="0"/>
    <m/>
    <n v="-1235"/>
    <n v="1235"/>
    <n v="0"/>
    <n v="0"/>
  </r>
  <r>
    <n v="619"/>
    <s v="Shiva Agencies"/>
    <s v="Uttar Pradesh"/>
    <x v="1"/>
    <x v="2"/>
    <m/>
    <x v="2"/>
    <m/>
    <n v="0"/>
    <n v="0"/>
    <n v="0"/>
    <n v="0"/>
    <m/>
    <n v="42952"/>
    <n v="42952"/>
    <n v="85904"/>
    <n v="0"/>
  </r>
  <r>
    <n v="620"/>
    <s v="Shivaye Exim Pvt. Ltd."/>
    <s v="SUNDRY CREDITORS (EXPORT)"/>
    <x v="1"/>
    <x v="1"/>
    <m/>
    <x v="1"/>
    <m/>
    <n v="0"/>
    <n v="0"/>
    <n v="0"/>
    <n v="0"/>
    <m/>
    <n v="0"/>
    <n v="9440"/>
    <n v="9440"/>
    <n v="0"/>
  </r>
  <r>
    <n v="621"/>
    <s v="Short Term Capital Gain"/>
    <s v="Indirect Incomes"/>
    <x v="2"/>
    <x v="5"/>
    <s v="Short term Capital Gain "/>
    <x v="6"/>
    <m/>
    <n v="0"/>
    <n v="0"/>
    <n v="0"/>
    <n v="0"/>
    <m/>
    <n v="0"/>
    <n v="0"/>
    <n v="465583.48"/>
    <n v="-465583.48"/>
  </r>
  <r>
    <n v="622"/>
    <s v="Shree Balaji Infosolution"/>
    <s v="Chhattishgarh"/>
    <x v="1"/>
    <x v="2"/>
    <m/>
    <x v="2"/>
    <m/>
    <n v="0"/>
    <n v="0"/>
    <n v="0"/>
    <n v="0"/>
    <m/>
    <n v="0"/>
    <n v="0"/>
    <n v="0"/>
    <n v="0"/>
  </r>
  <r>
    <n v="623"/>
    <s v="Shree Enterprises"/>
    <s v="Sundry Creditors for (Expenses)"/>
    <x v="1"/>
    <x v="1"/>
    <m/>
    <x v="1"/>
    <m/>
    <n v="0"/>
    <n v="0"/>
    <n v="0"/>
    <n v="0"/>
    <m/>
    <n v="-587"/>
    <n v="587"/>
    <n v="0"/>
    <n v="0"/>
  </r>
  <r>
    <n v="624"/>
    <s v="Shree H"/>
    <s v="Statewise"/>
    <x v="1"/>
    <x v="2"/>
    <m/>
    <x v="2"/>
    <m/>
    <n v="0"/>
    <n v="0"/>
    <n v="0"/>
    <n v="0"/>
    <m/>
    <n v="0"/>
    <n v="0"/>
    <n v="0"/>
    <n v="0"/>
  </r>
  <r>
    <n v="625"/>
    <s v="Shree Harsh Peripherals Pvt. Ltd."/>
    <s v="Statewise"/>
    <x v="1"/>
    <x v="2"/>
    <m/>
    <x v="2"/>
    <m/>
    <n v="0"/>
    <n v="0"/>
    <n v="0"/>
    <n v="0"/>
    <m/>
    <n v="0"/>
    <n v="2755000"/>
    <n v="2755000"/>
    <n v="0"/>
  </r>
  <r>
    <n v="626"/>
    <s v="Shree Paper Mart"/>
    <s v="Legal Case"/>
    <x v="1"/>
    <x v="2"/>
    <m/>
    <x v="2"/>
    <m/>
    <n v="0"/>
    <n v="0"/>
    <n v="0"/>
    <n v="0"/>
    <m/>
    <n v="0"/>
    <n v="0"/>
    <n v="0"/>
    <n v="0"/>
  </r>
  <r>
    <n v="627"/>
    <s v="Shree Samarth Enterprises"/>
    <s v="Sundry Debtor Clarus (Current)"/>
    <x v="1"/>
    <x v="2"/>
    <m/>
    <x v="5"/>
    <m/>
    <n v="0"/>
    <n v="0"/>
    <n v="0"/>
    <n v="0"/>
    <m/>
    <n v="0"/>
    <n v="0"/>
    <n v="0"/>
    <n v="0"/>
  </r>
  <r>
    <n v="628"/>
    <s v="Shree Shantadurga Medical Agencies"/>
    <s v="Sundry Debtor Clarus (Current)"/>
    <x v="1"/>
    <x v="2"/>
    <m/>
    <x v="5"/>
    <m/>
    <n v="-464"/>
    <n v="0"/>
    <n v="0"/>
    <n v="-464"/>
    <m/>
    <n v="-464"/>
    <n v="46933"/>
    <n v="46933"/>
    <n v="-464"/>
  </r>
  <r>
    <n v="629"/>
    <s v="SHREE SHEMKARI INFOSYS"/>
    <s v="Sundry Creditors for (OFFICE)"/>
    <x v="1"/>
    <x v="1"/>
    <m/>
    <x v="1"/>
    <m/>
    <n v="-226"/>
    <n v="0"/>
    <n v="0"/>
    <n v="-226"/>
    <m/>
    <n v="-5359"/>
    <n v="16284"/>
    <n v="11151"/>
    <n v="-226"/>
  </r>
  <r>
    <n v="630"/>
    <s v="SHREE SHYAM EXPRESS GOODS CARRIER"/>
    <s v="SUNDRY CREDITORS (EXPORT)"/>
    <x v="1"/>
    <x v="1"/>
    <m/>
    <x v="3"/>
    <m/>
    <n v="0"/>
    <n v="0"/>
    <n v="0"/>
    <n v="0"/>
    <m/>
    <n v="0"/>
    <n v="91833"/>
    <n v="91833"/>
    <n v="0"/>
  </r>
  <r>
    <n v="631"/>
    <s v="Shree Vinayak Sales"/>
    <s v="Sundry Debtor Clarus (Current)"/>
    <x v="1"/>
    <x v="2"/>
    <m/>
    <x v="5"/>
    <m/>
    <n v="0"/>
    <n v="0"/>
    <n v="0"/>
    <n v="0"/>
    <m/>
    <n v="0"/>
    <n v="13767"/>
    <n v="13767"/>
    <n v="0"/>
  </r>
  <r>
    <n v="632"/>
    <s v="Shreya Vyass"/>
    <s v="SUNDRY CREDITORS (EXPORT)"/>
    <x v="1"/>
    <x v="1"/>
    <m/>
    <x v="3"/>
    <m/>
    <n v="-10000"/>
    <n v="10000"/>
    <n v="0"/>
    <n v="0"/>
    <m/>
    <n v="-10000"/>
    <n v="120000"/>
    <n v="110000"/>
    <n v="0"/>
  </r>
  <r>
    <n v="633"/>
    <s v="Siddharth Shah Loan A/c"/>
    <s v="STAFF LOAN - OFFICE"/>
    <x v="0"/>
    <x v="0"/>
    <m/>
    <x v="0"/>
    <m/>
    <n v="0"/>
    <n v="0"/>
    <n v="0"/>
    <n v="0"/>
    <m/>
    <n v="0"/>
    <n v="0"/>
    <n v="0"/>
    <n v="0"/>
  </r>
  <r>
    <n v="634"/>
    <s v="Bill Of Lading - Spice"/>
    <s v="SPICE EXPENSE"/>
    <x v="2"/>
    <x v="4"/>
    <s v="Freight &amp; Shipping charges"/>
    <x v="4"/>
    <m/>
    <n v="0"/>
    <n v="46800"/>
    <n v="0"/>
    <n v="46800"/>
    <m/>
    <n v="0"/>
    <n v="86650"/>
    <n v="0"/>
    <n v="86650"/>
  </r>
  <r>
    <n v="634"/>
    <s v="Singapore Airlines Ltd."/>
    <s v="SUNDRY CREDITORS (EXPORT)"/>
    <x v="1"/>
    <x v="1"/>
    <m/>
    <x v="3"/>
    <m/>
    <n v="0"/>
    <n v="0"/>
    <n v="0"/>
    <n v="0"/>
    <m/>
    <n v="0"/>
    <n v="0"/>
    <n v="0"/>
    <n v="0"/>
  </r>
  <r>
    <n v="635"/>
    <s v="BL Surrender / Seaway Charges - Spice"/>
    <s v="SPICE EXPENSE"/>
    <x v="2"/>
    <x v="4"/>
    <s v="Port Expenses"/>
    <x v="4"/>
    <m/>
    <n v="0"/>
    <n v="5768.65"/>
    <n v="0"/>
    <n v="5768.65"/>
    <m/>
    <n v="0"/>
    <n v="26537.85"/>
    <n v="0"/>
    <n v="26537.85"/>
  </r>
  <r>
    <n v="635"/>
    <s v="Siri Enterprises - Vijaywada"/>
    <s v="Andhra Pradesh"/>
    <x v="1"/>
    <x v="2"/>
    <m/>
    <x v="2"/>
    <m/>
    <n v="78824"/>
    <n v="0"/>
    <n v="0"/>
    <n v="78824"/>
    <m/>
    <n v="78824"/>
    <n v="0"/>
    <n v="0"/>
    <n v="78824"/>
  </r>
  <r>
    <n v="636"/>
    <s v="Bombay Mercantile Co.Op Bank-002110100081335"/>
    <s v="Bank Accounts"/>
    <x v="0"/>
    <x v="0"/>
    <m/>
    <x v="0"/>
    <m/>
    <n v="9166.5499999999993"/>
    <n v="0"/>
    <n v="0.18"/>
    <n v="9166.3700000000008"/>
    <m/>
    <n v="0"/>
    <n v="10000"/>
    <n v="833.63"/>
    <n v="9166.3700000000008"/>
  </r>
  <r>
    <n v="636"/>
    <s v="Sitima Engineers Ltd."/>
    <s v="Export"/>
    <x v="1"/>
    <x v="2"/>
    <m/>
    <x v="3"/>
    <m/>
    <n v="0"/>
    <n v="0"/>
    <n v="0"/>
    <n v="0"/>
    <m/>
    <n v="0"/>
    <n v="147986.76"/>
    <n v="147986.76"/>
    <n v="0"/>
  </r>
  <r>
    <n v="637"/>
    <s v="Brokerage-Spice"/>
    <s v="SPICE EXPENSE"/>
    <x v="2"/>
    <x v="3"/>
    <s v="Brokerage and commission"/>
    <x v="4"/>
    <m/>
    <n v="0"/>
    <n v="0"/>
    <n v="0"/>
    <n v="0"/>
    <m/>
    <n v="0"/>
    <n v="24600"/>
    <n v="0"/>
    <n v="24600"/>
  </r>
  <r>
    <n v="637"/>
    <s v="Sky Limit Foodtek"/>
    <s v="SUNDRY CREDITORS (EXPORT)"/>
    <x v="1"/>
    <x v="1"/>
    <m/>
    <x v="3"/>
    <m/>
    <n v="0"/>
    <n v="0"/>
    <n v="0"/>
    <n v="0"/>
    <m/>
    <n v="0"/>
    <n v="111628"/>
    <n v="111628"/>
    <n v="0"/>
  </r>
  <r>
    <n v="638"/>
    <s v="Canon ICMF 272DW Laser Printer"/>
    <s v="Office Equipment"/>
    <x v="0"/>
    <x v="0"/>
    <m/>
    <x v="0"/>
    <m/>
    <n v="31932.2"/>
    <n v="0"/>
    <n v="0"/>
    <n v="31932.2"/>
    <m/>
    <n v="0"/>
    <n v="31932.2"/>
    <n v="0"/>
    <n v="31932.2"/>
  </r>
  <r>
    <n v="638"/>
    <s v="Skyland International Pvt Ltd"/>
    <s v="Sundry Creditors ( Clarus )"/>
    <x v="1"/>
    <x v="1"/>
    <m/>
    <x v="5"/>
    <m/>
    <n v="0"/>
    <n v="0"/>
    <n v="0"/>
    <n v="0"/>
    <m/>
    <n v="0"/>
    <n v="0"/>
    <n v="0"/>
    <n v="0"/>
  </r>
  <r>
    <n v="639"/>
    <s v="Cargo Data Declaration - Spice"/>
    <s v="SPICE EXPENSE"/>
    <x v="2"/>
    <x v="4"/>
    <s v="Freight &amp; Shipping charges"/>
    <x v="4"/>
    <m/>
    <n v="0"/>
    <n v="15332"/>
    <n v="0"/>
    <n v="15332"/>
    <m/>
    <n v="0"/>
    <n v="27000.6"/>
    <n v="0"/>
    <n v="27000.6"/>
  </r>
  <r>
    <n v="639"/>
    <s v="Smart Imaging Technology"/>
    <s v="Sundry Creditors ( Blue Streak )"/>
    <x v="1"/>
    <x v="1"/>
    <m/>
    <x v="2"/>
    <m/>
    <n v="0"/>
    <n v="0"/>
    <n v="0"/>
    <n v="0"/>
    <m/>
    <n v="0"/>
    <n v="0"/>
    <n v="0"/>
    <n v="0"/>
  </r>
  <r>
    <n v="640"/>
    <s v="Container Desiccant"/>
    <s v="SPICE EXPENSE"/>
    <x v="2"/>
    <x v="3"/>
    <s v="Port Expenses"/>
    <x v="4"/>
    <m/>
    <n v="0"/>
    <n v="0"/>
    <n v="0"/>
    <n v="0"/>
    <m/>
    <n v="0"/>
    <n v="10297"/>
    <n v="0"/>
    <n v="10297"/>
  </r>
  <r>
    <n v="640"/>
    <s v="Softech"/>
    <s v="Karnataka"/>
    <x v="1"/>
    <x v="2"/>
    <m/>
    <x v="2"/>
    <m/>
    <n v="0"/>
    <n v="0"/>
    <n v="0"/>
    <n v="0"/>
    <m/>
    <n v="0"/>
    <n v="0"/>
    <n v="0"/>
    <n v="0"/>
  </r>
  <r>
    <n v="641"/>
    <s v="Document Charges - Spice"/>
    <s v="SPICE EXPENSE"/>
    <x v="2"/>
    <x v="4"/>
    <s v="Port Expenses"/>
    <x v="4"/>
    <m/>
    <n v="0"/>
    <n v="3500"/>
    <n v="0"/>
    <n v="3500"/>
    <m/>
    <n v="0"/>
    <n v="24650"/>
    <n v="0"/>
    <n v="24650"/>
  </r>
  <r>
    <n v="641"/>
    <s v="Softech Solution"/>
    <s v="Sundry Creditors for (Expenses)"/>
    <x v="1"/>
    <x v="1"/>
    <m/>
    <x v="1"/>
    <m/>
    <n v="0"/>
    <n v="0"/>
    <n v="0"/>
    <n v="0"/>
    <m/>
    <n v="0"/>
    <n v="0"/>
    <n v="0"/>
    <n v="0"/>
  </r>
  <r>
    <n v="642"/>
    <s v="Electricity Charges - Vashi Turbhe (Spice)"/>
    <s v="SPICE EXPENSE"/>
    <x v="2"/>
    <x v="3"/>
    <s v="Electricity charges"/>
    <x v="4"/>
    <m/>
    <n v="0"/>
    <n v="1160"/>
    <n v="0"/>
    <n v="1160"/>
    <m/>
    <n v="0"/>
    <n v="2210"/>
    <n v="0"/>
    <n v="2210"/>
  </r>
  <r>
    <n v="642"/>
    <s v="Software Installation/Upgradation - Clarus"/>
    <s v="Computers"/>
    <x v="0"/>
    <x v="0"/>
    <m/>
    <x v="0"/>
    <m/>
    <n v="13800"/>
    <n v="0"/>
    <n v="0"/>
    <n v="13800"/>
    <m/>
    <n v="13800"/>
    <n v="0"/>
    <n v="0"/>
    <n v="13800"/>
  </r>
  <r>
    <n v="643"/>
    <s v="ENG SHENG SDN BHD"/>
    <s v="Sundry Debtors Spice"/>
    <x v="1"/>
    <x v="2"/>
    <m/>
    <x v="4"/>
    <m/>
    <n v="5781725.4299999997"/>
    <n v="11053138"/>
    <n v="10672477.939999999"/>
    <n v="6162385.4900000002"/>
    <m/>
    <n v="0"/>
    <n v="20793538.84"/>
    <n v="14631153.35"/>
    <n v="6162385.4900000002"/>
  </r>
  <r>
    <n v="643"/>
    <s v="SOMAIYA CARRIERS"/>
    <s v="SUNDRY CREDITORS (EXPORT)"/>
    <x v="1"/>
    <x v="1"/>
    <m/>
    <x v="3"/>
    <m/>
    <n v="0"/>
    <n v="0"/>
    <n v="0"/>
    <n v="0"/>
    <m/>
    <n v="0"/>
    <n v="45500"/>
    <n v="45500"/>
    <n v="0"/>
  </r>
  <r>
    <n v="644"/>
    <s v="Equipment Surcharge - Spice"/>
    <s v="SPICE EXPENSE"/>
    <x v="2"/>
    <x v="4"/>
    <s v="Freight &amp; Shipping charges"/>
    <x v="4"/>
    <m/>
    <n v="0"/>
    <n v="2800"/>
    <n v="0"/>
    <n v="2800"/>
    <m/>
    <n v="0"/>
    <n v="22400"/>
    <n v="0"/>
    <n v="22400"/>
  </r>
  <r>
    <n v="644"/>
    <s v="Special Allowance A"/>
    <s v="Salary &amp; Wages"/>
    <x v="2"/>
    <x v="3"/>
    <s v="Salary &amp; wages"/>
    <x v="1"/>
    <m/>
    <n v="0"/>
    <n v="0"/>
    <n v="0"/>
    <n v="0"/>
    <m/>
    <n v="0"/>
    <n v="0"/>
    <n v="0"/>
    <n v="0"/>
  </r>
  <r>
    <n v="645"/>
    <s v="Exhibition"/>
    <s v="SPICE EXPENSE"/>
    <x v="2"/>
    <x v="3"/>
    <s v="Exhibitions costs"/>
    <x v="4"/>
    <m/>
    <n v="0"/>
    <n v="0"/>
    <n v="0"/>
    <n v="0"/>
    <m/>
    <n v="0"/>
    <n v="130800"/>
    <n v="0"/>
    <n v="130800"/>
  </r>
  <r>
    <n v="645"/>
    <s v="Special Allowance A - Bluestreak"/>
    <s v="Salary &amp; Wages - Bluestreak"/>
    <x v="2"/>
    <x v="3"/>
    <s v="Salary &amp; wages"/>
    <x v="2"/>
    <m/>
    <n v="0"/>
    <n v="0"/>
    <n v="0"/>
    <n v="0"/>
    <m/>
    <n v="0"/>
    <n v="0"/>
    <n v="0"/>
    <n v="0"/>
  </r>
  <r>
    <n v="646"/>
    <s v="FD WITH ICICI BANK FD NO.034813016530"/>
    <s v="FDR WITH ICICI BANK"/>
    <x v="0"/>
    <x v="0"/>
    <m/>
    <x v="0"/>
    <m/>
    <n v="4289384.88"/>
    <n v="0"/>
    <n v="0"/>
    <n v="4289384.88"/>
    <m/>
    <n v="0"/>
    <n v="5000000"/>
    <n v="710615.12"/>
    <n v="4289384.88"/>
  </r>
  <r>
    <n v="646"/>
    <s v="Special Allowance A - Clarus"/>
    <s v="Salary &amp; Wages - Clarus"/>
    <x v="2"/>
    <x v="3"/>
    <s v="Salary &amp; wages"/>
    <x v="5"/>
    <m/>
    <n v="0"/>
    <n v="0"/>
    <n v="0"/>
    <n v="0"/>
    <m/>
    <n v="0"/>
    <n v="900"/>
    <n v="0"/>
    <n v="900"/>
  </r>
  <r>
    <n v="647"/>
    <s v="FD WITH ICICI BANK FD NO.034813016531"/>
    <s v="FDR WITH ICICI BANK"/>
    <x v="0"/>
    <x v="0"/>
    <m/>
    <x v="0"/>
    <m/>
    <n v="-4716"/>
    <n v="0"/>
    <n v="0"/>
    <n v="-4716"/>
    <m/>
    <n v="0"/>
    <n v="5000000"/>
    <n v="5004716"/>
    <n v="-4716"/>
  </r>
  <r>
    <n v="647"/>
    <s v="Special Allowance A  -Factory"/>
    <s v="Salary &amp; Wages - Factory"/>
    <x v="2"/>
    <x v="3"/>
    <s v="Salary &amp; wages"/>
    <x v="1"/>
    <m/>
    <n v="0"/>
    <n v="0"/>
    <n v="0"/>
    <n v="0"/>
    <m/>
    <n v="0"/>
    <n v="4688"/>
    <n v="0"/>
    <n v="4688"/>
  </r>
  <r>
    <n v="648"/>
    <s v="FD WITH ICICI BANK FD NO.034813016532"/>
    <s v="FDR WITH ICICI BANK"/>
    <x v="0"/>
    <x v="0"/>
    <m/>
    <x v="0"/>
    <m/>
    <n v="-4716"/>
    <n v="0"/>
    <n v="0"/>
    <n v="-4716"/>
    <m/>
    <n v="0"/>
    <n v="5000000"/>
    <n v="5004716"/>
    <n v="-4716"/>
  </r>
  <r>
    <n v="648"/>
    <s v="SPICE EXPENSE"/>
    <s v="SPICE EXPENSE"/>
    <x v="0"/>
    <x v="0"/>
    <m/>
    <x v="0"/>
    <m/>
    <n v="0"/>
    <n v="0"/>
    <n v="0"/>
    <n v="0"/>
    <m/>
    <n v="0"/>
    <n v="0"/>
    <n v="0"/>
    <n v="0"/>
  </r>
  <r>
    <n v="649"/>
    <s v="FD WITH ICICI BANK FD NO.034813016533"/>
    <s v="FDR WITH ICICI BANK"/>
    <x v="0"/>
    <x v="0"/>
    <m/>
    <x v="0"/>
    <m/>
    <n v="-4298"/>
    <n v="0"/>
    <n v="0"/>
    <n v="-4298"/>
    <m/>
    <n v="0"/>
    <n v="5000000"/>
    <n v="5004298"/>
    <n v="-4298"/>
  </r>
  <r>
    <n v="649"/>
    <s v="Spices Boa Exhibitions"/>
    <s v="SUNDRY CREDITORS (EXPORT)"/>
    <x v="1"/>
    <x v="1"/>
    <m/>
    <x v="3"/>
    <m/>
    <n v="0"/>
    <n v="0"/>
    <n v="0"/>
    <n v="0"/>
    <m/>
    <n v="0"/>
    <n v="0"/>
    <n v="0"/>
    <n v="0"/>
  </r>
  <r>
    <n v="650"/>
    <s v="FD WITH ICICI BANK FD NO.034813016534"/>
    <s v="FDR WITH ICICI BANK"/>
    <x v="0"/>
    <x v="0"/>
    <m/>
    <x v="0"/>
    <m/>
    <n v="-3401"/>
    <n v="0"/>
    <n v="0"/>
    <n v="-3401"/>
    <m/>
    <n v="0"/>
    <n v="5000000"/>
    <n v="5003401"/>
    <n v="-3401"/>
  </r>
  <r>
    <n v="650"/>
    <s v="SPICES BOARD"/>
    <s v="SUNDRY CREDITORS (EXPORT)"/>
    <x v="1"/>
    <x v="1"/>
    <m/>
    <x v="3"/>
    <m/>
    <n v="0"/>
    <n v="211575.85"/>
    <n v="211575.85"/>
    <n v="0"/>
    <m/>
    <n v="0"/>
    <n v="1812500.73"/>
    <n v="1812500.73"/>
    <n v="0"/>
  </r>
  <r>
    <n v="651"/>
    <s v="FD WITH ICICI BANK FD NO-34813016283"/>
    <s v="FDR WITH ICICI BANK"/>
    <x v="0"/>
    <x v="0"/>
    <m/>
    <x v="0"/>
    <m/>
    <n v="275304.76"/>
    <n v="0"/>
    <n v="197992.8"/>
    <n v="77311.960000000006"/>
    <m/>
    <n v="0"/>
    <n v="1000000"/>
    <n v="922688.04"/>
    <n v="77311.960000000006"/>
  </r>
  <r>
    <n v="651"/>
    <s v="Sri Ganesh Systems"/>
    <s v="SUNDRY CREDITORS (EXPORT)"/>
    <x v="1"/>
    <x v="1"/>
    <m/>
    <x v="3"/>
    <m/>
    <n v="0"/>
    <n v="0"/>
    <n v="0"/>
    <n v="0"/>
    <m/>
    <n v="0"/>
    <n v="1780000"/>
    <n v="1780000"/>
    <n v="0"/>
  </r>
  <r>
    <n v="652"/>
    <s v="FD WITH ICICI BANK FD NO-34813016284"/>
    <s v="FDR WITH ICICI BANK"/>
    <x v="0"/>
    <x v="0"/>
    <m/>
    <x v="0"/>
    <m/>
    <n v="-5955"/>
    <n v="0"/>
    <n v="0"/>
    <n v="-5955"/>
    <m/>
    <n v="0"/>
    <n v="1000000"/>
    <n v="1005955"/>
    <n v="-5955"/>
  </r>
  <r>
    <n v="652"/>
    <s v="SRI Technologies"/>
    <s v="Haryana"/>
    <x v="1"/>
    <x v="2"/>
    <m/>
    <x v="2"/>
    <m/>
    <n v="-1387"/>
    <n v="0"/>
    <n v="0"/>
    <n v="-1387"/>
    <m/>
    <n v="-1387"/>
    <n v="0"/>
    <n v="0"/>
    <n v="-1387"/>
  </r>
  <r>
    <n v="653"/>
    <s v="FD WITH ICICI BANK FD NO-34813016285"/>
    <s v="FDR WITH ICICI BANK"/>
    <x v="0"/>
    <x v="0"/>
    <m/>
    <x v="0"/>
    <m/>
    <n v="-5954"/>
    <n v="0"/>
    <n v="0"/>
    <n v="-5954"/>
    <m/>
    <n v="0"/>
    <n v="1000000"/>
    <n v="1005954"/>
    <n v="-5954"/>
  </r>
  <r>
    <n v="653"/>
    <s v="SRK Enterprises"/>
    <s v="Tamil Nadu"/>
    <x v="1"/>
    <x v="2"/>
    <m/>
    <x v="2"/>
    <m/>
    <n v="0"/>
    <n v="0"/>
    <n v="0"/>
    <n v="0"/>
    <m/>
    <n v="0"/>
    <n v="0"/>
    <n v="0"/>
    <n v="0"/>
  </r>
  <r>
    <n v="654"/>
    <s v="FD WITH ICICI BANK FD NO-34813016286"/>
    <s v="FDR WITH ICICI BANK"/>
    <x v="0"/>
    <x v="0"/>
    <m/>
    <x v="0"/>
    <m/>
    <n v="-5955"/>
    <n v="0"/>
    <n v="0"/>
    <n v="-5955"/>
    <m/>
    <n v="0"/>
    <n v="1000000"/>
    <n v="1005955"/>
    <n v="-5955"/>
  </r>
  <r>
    <n v="654"/>
    <s v="Stabilizer"/>
    <s v="Plant &amp; Machinery"/>
    <x v="0"/>
    <x v="0"/>
    <m/>
    <x v="0"/>
    <m/>
    <n v="830"/>
    <n v="0"/>
    <n v="0"/>
    <n v="830"/>
    <m/>
    <n v="830"/>
    <n v="0"/>
    <n v="0"/>
    <n v="830"/>
  </r>
  <r>
    <n v="655"/>
    <s v="FD WITH ICICI BANK FD NO-34813016287"/>
    <s v="FDR WITH ICICI BANK"/>
    <x v="0"/>
    <x v="0"/>
    <m/>
    <x v="0"/>
    <m/>
    <n v="-5899"/>
    <n v="0"/>
    <n v="0"/>
    <n v="-5899"/>
    <m/>
    <n v="0"/>
    <n v="1000000"/>
    <n v="1005899"/>
    <n v="-5899"/>
  </r>
  <r>
    <n v="655"/>
    <s v="Staff Welfare - Factory"/>
    <s v="FACTORY EXPENSE"/>
    <x v="2"/>
    <x v="3"/>
    <s v="Staff welfare expenses"/>
    <x v="1"/>
    <m/>
    <n v="0"/>
    <n v="9850"/>
    <n v="0"/>
    <n v="9850"/>
    <m/>
    <n v="0"/>
    <n v="33490.370000000003"/>
    <n v="0"/>
    <n v="33490.370000000003"/>
  </r>
  <r>
    <n v="656"/>
    <s v="FD WITH ICICI BANK FD NO-34813016288"/>
    <s v="FDR WITH ICICI BANK"/>
    <x v="0"/>
    <x v="0"/>
    <m/>
    <x v="0"/>
    <m/>
    <n v="-3557"/>
    <n v="0"/>
    <n v="0"/>
    <n v="-3557"/>
    <m/>
    <n v="0"/>
    <n v="1000000"/>
    <n v="1003557"/>
    <n v="-3557"/>
  </r>
  <r>
    <n v="656"/>
    <s v="Staff Welfare - Office"/>
    <s v="OFFICE EXPENSE"/>
    <x v="2"/>
    <x v="3"/>
    <s v="Staff welfare expenses"/>
    <x v="1"/>
    <m/>
    <n v="0"/>
    <n v="5192"/>
    <n v="0"/>
    <n v="5192"/>
    <m/>
    <n v="0"/>
    <n v="71332"/>
    <n v="0"/>
    <n v="71332"/>
  </r>
  <r>
    <n v="657"/>
    <s v="FD WITH ICICI BANK FD NO-34813016289"/>
    <s v="FDR WITH ICICI BANK"/>
    <x v="0"/>
    <x v="0"/>
    <m/>
    <x v="0"/>
    <m/>
    <n v="-2226"/>
    <n v="0"/>
    <n v="0"/>
    <n v="-2226"/>
    <m/>
    <n v="0"/>
    <n v="1000000"/>
    <n v="1002226"/>
    <n v="-2226"/>
  </r>
  <r>
    <n v="657"/>
    <s v="Star World Computers"/>
    <s v="Delhi"/>
    <x v="1"/>
    <x v="2"/>
    <m/>
    <x v="2"/>
    <m/>
    <n v="0"/>
    <n v="0"/>
    <n v="0"/>
    <n v="0"/>
    <m/>
    <n v="0"/>
    <n v="0"/>
    <n v="0"/>
    <n v="0"/>
  </r>
  <r>
    <n v="658"/>
    <s v="FD WITH ICICI BANK FD NO-34813016290"/>
    <s v="FDR WITH ICICI BANK"/>
    <x v="0"/>
    <x v="0"/>
    <m/>
    <x v="0"/>
    <m/>
    <n v="-2108"/>
    <n v="0"/>
    <n v="0"/>
    <n v="-2108"/>
    <m/>
    <n v="0"/>
    <n v="1000000"/>
    <n v="1002108"/>
    <n v="-2108"/>
  </r>
  <r>
    <n v="658"/>
    <s v="State Bank Of India"/>
    <s v="Bank Accounts"/>
    <x v="0"/>
    <x v="0"/>
    <m/>
    <x v="0"/>
    <m/>
    <n v="0"/>
    <n v="0"/>
    <n v="0"/>
    <n v="0"/>
    <m/>
    <n v="9500.0400000000009"/>
    <n v="0"/>
    <n v="9500.0400000000009"/>
    <n v="0"/>
  </r>
  <r>
    <n v="659"/>
    <s v="FD WITH ICICI BANK FD NO-34813016291"/>
    <s v="FDR WITH ICICI BANK"/>
    <x v="0"/>
    <x v="0"/>
    <m/>
    <x v="0"/>
    <m/>
    <n v="-2113"/>
    <n v="0"/>
    <n v="0"/>
    <n v="-2113"/>
    <m/>
    <n v="0"/>
    <n v="1000000"/>
    <n v="1002113"/>
    <n v="-2113"/>
  </r>
  <r>
    <n v="659"/>
    <s v="Sundry Debit Balance Write Off (BS)"/>
    <s v="BLUESTREAK (EXPENSES)"/>
    <x v="2"/>
    <x v="3"/>
    <s v="Misc Expenses"/>
    <x v="2"/>
    <m/>
    <n v="0"/>
    <n v="0"/>
    <n v="0"/>
    <n v="0"/>
    <m/>
    <n v="0"/>
    <n v="0"/>
    <n v="0"/>
    <n v="0"/>
  </r>
  <r>
    <n v="660"/>
    <s v="FD WITH ICICI BANK FD NO-34813016292"/>
    <s v="FDR WITH ICICI BANK"/>
    <x v="0"/>
    <x v="0"/>
    <m/>
    <x v="0"/>
    <m/>
    <n v="-2139"/>
    <n v="0"/>
    <n v="0"/>
    <n v="-2139"/>
    <m/>
    <n v="0"/>
    <n v="1000000"/>
    <n v="1002139"/>
    <n v="-2139"/>
  </r>
  <r>
    <n v="660"/>
    <s v="Sundry Expenses - Factory"/>
    <s v="FACTORY EXPENSE"/>
    <x v="2"/>
    <x v="3"/>
    <s v="Misc Expenses"/>
    <x v="1"/>
    <m/>
    <n v="0"/>
    <n v="0"/>
    <n v="0"/>
    <n v="0"/>
    <m/>
    <n v="0"/>
    <n v="90295.38"/>
    <n v="0"/>
    <n v="90295.38"/>
  </r>
  <r>
    <n v="661"/>
    <s v="FD WITH ICICI BANK FD NO-34813016293"/>
    <s v="FDR WITH ICICI BANK"/>
    <x v="0"/>
    <x v="0"/>
    <m/>
    <x v="0"/>
    <m/>
    <n v="-1814"/>
    <n v="0"/>
    <n v="0"/>
    <n v="-1814"/>
    <m/>
    <n v="0"/>
    <n v="1000000"/>
    <n v="1001814"/>
    <n v="-1814"/>
  </r>
  <r>
    <n v="661"/>
    <s v="Sundry Expense-Office"/>
    <s v="OFFICE EXPENSE"/>
    <x v="2"/>
    <x v="3"/>
    <s v="Misc Expenses"/>
    <x v="1"/>
    <m/>
    <n v="0"/>
    <n v="4452"/>
    <n v="0"/>
    <n v="4452"/>
    <m/>
    <n v="0"/>
    <n v="75146.289999999994"/>
    <n v="0"/>
    <n v="75146.289999999994"/>
  </r>
  <r>
    <n v="662"/>
    <s v="FD WITH ICICI BANK FD NO-34813016294"/>
    <s v="FDR WITH ICICI BANK"/>
    <x v="0"/>
    <x v="0"/>
    <m/>
    <x v="0"/>
    <m/>
    <n v="-1687"/>
    <n v="0"/>
    <n v="0"/>
    <n v="-1687"/>
    <m/>
    <n v="0"/>
    <n v="1000000"/>
    <n v="1001687"/>
    <n v="-1687"/>
  </r>
  <r>
    <n v="662"/>
    <s v="Sunrise Systems"/>
    <s v="Rajasthan"/>
    <x v="1"/>
    <x v="2"/>
    <m/>
    <x v="2"/>
    <m/>
    <n v="0"/>
    <n v="0"/>
    <n v="0"/>
    <n v="0"/>
    <m/>
    <n v="0"/>
    <n v="0"/>
    <n v="0"/>
    <n v="0"/>
  </r>
  <r>
    <n v="663"/>
    <s v="FD WITH ICICI BANK FD NO-34813016295"/>
    <s v="FDR WITH ICICI BANK"/>
    <x v="0"/>
    <x v="0"/>
    <m/>
    <x v="0"/>
    <m/>
    <n v="-1388"/>
    <n v="0"/>
    <n v="0"/>
    <n v="-1388"/>
    <m/>
    <n v="0"/>
    <n v="1000000"/>
    <n v="1001388"/>
    <n v="-1388"/>
  </r>
  <r>
    <n v="663"/>
    <s v="Suspense Account"/>
    <s v="Suspense A/c"/>
    <x v="0"/>
    <x v="0"/>
    <m/>
    <x v="0"/>
    <m/>
    <n v="0"/>
    <n v="0"/>
    <n v="5000"/>
    <n v="-5000"/>
    <m/>
    <n v="0"/>
    <n v="0"/>
    <n v="5000"/>
    <n v="-5000"/>
  </r>
  <r>
    <n v="664"/>
    <s v="FD WITH ICICI BANK FD NO-34813016296"/>
    <s v="FDR WITH ICICI BANK"/>
    <x v="0"/>
    <x v="0"/>
    <m/>
    <x v="0"/>
    <m/>
    <n v="-1295"/>
    <n v="0"/>
    <n v="0"/>
    <n v="-1295"/>
    <m/>
    <n v="0"/>
    <n v="1000000"/>
    <n v="1001295"/>
    <n v="-1295"/>
  </r>
  <r>
    <n v="664"/>
    <s v="SUZLON ENERGY LTD"/>
    <s v="Share Investment Anand Rathi"/>
    <x v="0"/>
    <x v="0"/>
    <m/>
    <x v="0"/>
    <m/>
    <n v="0"/>
    <n v="0"/>
    <n v="0"/>
    <n v="0"/>
    <m/>
    <n v="75539.91"/>
    <n v="78.260000000000005"/>
    <n v="75618.17"/>
    <n v="0"/>
  </r>
  <r>
    <n v="665"/>
    <s v="FD WITH ICICI BANK FD NO-34813016297"/>
    <s v="FDR WITH ICICI BANK"/>
    <x v="0"/>
    <x v="0"/>
    <m/>
    <x v="0"/>
    <m/>
    <n v="-1197"/>
    <n v="0"/>
    <n v="0"/>
    <n v="-1197"/>
    <m/>
    <n v="0"/>
    <n v="1000000"/>
    <n v="1001197"/>
    <n v="-1197"/>
  </r>
  <r>
    <n v="665"/>
    <s v="Swiggy Ltd (Shares)"/>
    <s v="Share Investment Swiggy Ltd"/>
    <x v="0"/>
    <x v="0"/>
    <m/>
    <x v="0"/>
    <m/>
    <n v="-15713.54"/>
    <n v="0"/>
    <n v="0"/>
    <n v="-15713.54"/>
    <m/>
    <n v="553395"/>
    <n v="0"/>
    <n v="569108.54"/>
    <n v="-15713.54"/>
  </r>
  <r>
    <n v="666"/>
    <s v="T D S ON BANK FDR INTEREST A/Y 2015 16"/>
    <s v="Tax Advances"/>
    <x v="0"/>
    <x v="0"/>
    <m/>
    <x v="0"/>
    <m/>
    <n v="8567"/>
    <n v="0"/>
    <n v="0"/>
    <n v="8567"/>
    <m/>
    <n v="8567"/>
    <n v="0"/>
    <n v="0"/>
    <n v="8567"/>
  </r>
  <r>
    <n v="667"/>
    <s v="T K Transport Company"/>
    <s v="Sundry Creditors (Transports/Logistics)"/>
    <x v="1"/>
    <x v="1"/>
    <m/>
    <x v="1"/>
    <m/>
    <n v="0"/>
    <n v="0"/>
    <n v="0"/>
    <n v="0"/>
    <m/>
    <n v="0"/>
    <n v="0"/>
    <n v="0"/>
    <n v="0"/>
  </r>
  <r>
    <n v="668"/>
    <s v="Tax Paid Ag Reverse Charge"/>
    <s v="GST Payable"/>
    <x v="0"/>
    <x v="0"/>
    <m/>
    <x v="0"/>
    <m/>
    <n v="0"/>
    <n v="0"/>
    <n v="0"/>
    <n v="0"/>
    <m/>
    <n v="0"/>
    <n v="0"/>
    <n v="0"/>
    <n v="0"/>
  </r>
  <r>
    <n v="669"/>
    <s v="TCS RECEIVABLE F.Y 20-21 @ 0.075%"/>
    <s v="Tax Advances"/>
    <x v="0"/>
    <x v="0"/>
    <m/>
    <x v="0"/>
    <m/>
    <n v="11041.2"/>
    <n v="0"/>
    <n v="0"/>
    <n v="11041.2"/>
    <m/>
    <n v="11041.2"/>
    <n v="0"/>
    <n v="0"/>
    <n v="11041.2"/>
  </r>
  <r>
    <n v="670"/>
    <s v="TCS RECEIVABLE F.Y 2022-23 @ 0.075%"/>
    <s v="TDS RECIEVABLE AY 2023-24"/>
    <x v="0"/>
    <x v="0"/>
    <m/>
    <x v="0"/>
    <m/>
    <n v="5744"/>
    <n v="0"/>
    <n v="0"/>
    <n v="5744"/>
    <m/>
    <n v="5744"/>
    <n v="0"/>
    <n v="0"/>
    <n v="5744"/>
  </r>
  <r>
    <n v="671"/>
    <s v="TCS RECEIVABLE F.Y 21-22 @ 0.075%"/>
    <s v="Tax Advances"/>
    <x v="0"/>
    <x v="0"/>
    <m/>
    <x v="0"/>
    <m/>
    <n v="-916"/>
    <n v="0"/>
    <n v="0"/>
    <n v="-916"/>
    <m/>
    <n v="-916"/>
    <n v="0"/>
    <n v="0"/>
    <n v="-916"/>
  </r>
  <r>
    <n v="672"/>
    <s v="TDR NO-318803020015038"/>
    <s v="NEW FDR WITH UBI BANK AGST BANK GURANTEE"/>
    <x v="0"/>
    <x v="0"/>
    <m/>
    <x v="0"/>
    <m/>
    <n v="288246"/>
    <n v="0"/>
    <n v="0"/>
    <n v="288246"/>
    <m/>
    <n v="288246"/>
    <n v="0"/>
    <n v="0"/>
    <n v="288246"/>
  </r>
  <r>
    <n v="673"/>
    <s v="TDR NO-318803020015039"/>
    <s v="NEW FDR WITH UBI BANK AGST BANK GURANTEE"/>
    <x v="0"/>
    <x v="0"/>
    <m/>
    <x v="0"/>
    <m/>
    <n v="162000"/>
    <n v="0"/>
    <n v="0"/>
    <n v="162000"/>
    <m/>
    <n v="162000"/>
    <n v="0"/>
    <n v="0"/>
    <n v="162000"/>
  </r>
  <r>
    <n v="674"/>
    <s v="TDR NO-318803020015040"/>
    <s v="NEW FDR WITH UBI BANK AGST BANK GURANTEE"/>
    <x v="0"/>
    <x v="0"/>
    <m/>
    <x v="0"/>
    <m/>
    <n v="41707"/>
    <n v="0"/>
    <n v="0"/>
    <n v="41707"/>
    <m/>
    <n v="41707"/>
    <n v="0"/>
    <n v="0"/>
    <n v="41707"/>
  </r>
  <r>
    <n v="675"/>
    <s v="TDR NO-318803020015041"/>
    <s v="NEW FDR WITH UBI BANK AGST BANK GURANTEE"/>
    <x v="0"/>
    <x v="0"/>
    <m/>
    <x v="0"/>
    <m/>
    <n v="162000"/>
    <n v="0"/>
    <n v="0"/>
    <n v="162000"/>
    <m/>
    <n v="162000"/>
    <n v="0"/>
    <n v="0"/>
    <n v="162000"/>
  </r>
  <r>
    <n v="676"/>
    <s v="TDR NO-318803020015042"/>
    <s v="NEW FDR WITH UBI BANK AGST BANK GURANTEE"/>
    <x v="0"/>
    <x v="0"/>
    <m/>
    <x v="0"/>
    <m/>
    <n v="20000"/>
    <n v="0"/>
    <n v="0"/>
    <n v="20000"/>
    <m/>
    <n v="20000"/>
    <n v="0"/>
    <n v="0"/>
    <n v="20000"/>
  </r>
  <r>
    <n v="677"/>
    <s v="TDR NO-318803020015043"/>
    <s v="NEW FDR WITH UBI BANK AGST BANK GURANTEE"/>
    <x v="0"/>
    <x v="0"/>
    <m/>
    <x v="0"/>
    <m/>
    <n v="400000"/>
    <n v="0"/>
    <n v="0"/>
    <n v="400000"/>
    <m/>
    <n v="400000"/>
    <n v="0"/>
    <n v="0"/>
    <n v="400000"/>
  </r>
  <r>
    <n v="678"/>
    <s v="TDS on Contractor Payment - Company-194C"/>
    <s v="TDS &amp; TCS PAYABLE"/>
    <x v="0"/>
    <x v="0"/>
    <m/>
    <x v="0"/>
    <m/>
    <n v="-2687"/>
    <n v="0"/>
    <n v="2900"/>
    <n v="-5587"/>
    <m/>
    <n v="-747"/>
    <n v="19018"/>
    <n v="23858"/>
    <n v="-5587"/>
  </r>
  <r>
    <n v="679"/>
    <s v="TDS on Contractor Payment - Non Company-194C"/>
    <s v="TDS &amp; TCS PAYABLE"/>
    <x v="0"/>
    <x v="0"/>
    <m/>
    <x v="0"/>
    <m/>
    <n v="-1241"/>
    <n v="2140"/>
    <n v="0"/>
    <n v="899"/>
    <m/>
    <n v="-74"/>
    <n v="2347"/>
    <n v="1374"/>
    <n v="899"/>
  </r>
  <r>
    <n v="680"/>
    <s v="TDS ON DIVIDEND-194"/>
    <s v="TDS RECIEVABLE AY 2024-25"/>
    <x v="0"/>
    <x v="0"/>
    <m/>
    <x v="0"/>
    <m/>
    <n v="40"/>
    <n v="0"/>
    <n v="0"/>
    <n v="40"/>
    <m/>
    <n v="40"/>
    <n v="0"/>
    <n v="0"/>
    <n v="40"/>
  </r>
  <r>
    <n v="681"/>
    <s v="TDS ON INTEREST A.Y.2016-17"/>
    <s v="Tax Advances"/>
    <x v="0"/>
    <x v="0"/>
    <m/>
    <x v="0"/>
    <m/>
    <n v="9046"/>
    <n v="0"/>
    <n v="0"/>
    <n v="9046"/>
    <m/>
    <n v="9046"/>
    <n v="0"/>
    <n v="0"/>
    <n v="9046"/>
  </r>
  <r>
    <n v="682"/>
    <s v="TDS ON INTEREST A.Y.2018-19"/>
    <s v="Tax Advances"/>
    <x v="0"/>
    <x v="0"/>
    <m/>
    <x v="0"/>
    <m/>
    <n v="12311"/>
    <n v="0"/>
    <n v="0"/>
    <n v="12311"/>
    <m/>
    <n v="12311"/>
    <n v="0"/>
    <n v="0"/>
    <n v="12311"/>
  </r>
  <r>
    <n v="683"/>
    <s v="TDS ON INTEREST A.Y.2019-20"/>
    <s v="Tax Advances"/>
    <x v="0"/>
    <x v="0"/>
    <m/>
    <x v="0"/>
    <m/>
    <n v="12543"/>
    <n v="0"/>
    <n v="0"/>
    <n v="12543"/>
    <m/>
    <n v="12543"/>
    <n v="0"/>
    <n v="0"/>
    <n v="12543"/>
  </r>
  <r>
    <n v="684"/>
    <s v="TDS ON INTEREST A.Y.2020-21"/>
    <s v="Tax Advances"/>
    <x v="0"/>
    <x v="0"/>
    <m/>
    <x v="0"/>
    <m/>
    <n v="9190"/>
    <n v="0"/>
    <n v="0"/>
    <n v="9190"/>
    <m/>
    <n v="9190"/>
    <n v="0"/>
    <n v="0"/>
    <n v="9190"/>
  </r>
  <r>
    <n v="685"/>
    <s v="TDS ON INTEREST A.Y.2021-22"/>
    <s v="Tax Advances"/>
    <x v="0"/>
    <x v="0"/>
    <m/>
    <x v="0"/>
    <m/>
    <n v="6800"/>
    <n v="0"/>
    <n v="0"/>
    <n v="6800"/>
    <m/>
    <n v="6800"/>
    <n v="0"/>
    <n v="0"/>
    <n v="6800"/>
  </r>
  <r>
    <n v="686"/>
    <s v="TDS ON INTEREST A.Y.2022-23"/>
    <s v="Tax Advances"/>
    <x v="0"/>
    <x v="0"/>
    <m/>
    <x v="0"/>
    <m/>
    <n v="9136"/>
    <n v="0"/>
    <n v="0"/>
    <n v="9136"/>
    <m/>
    <n v="9136"/>
    <n v="0"/>
    <n v="0"/>
    <n v="9136"/>
  </r>
  <r>
    <n v="687"/>
    <s v="TDS ON INTEREST A.Y.2023-24"/>
    <s v="TDS RECIEVABLE AY 2023-24"/>
    <x v="0"/>
    <x v="0"/>
    <m/>
    <x v="0"/>
    <m/>
    <n v="7537"/>
    <n v="0"/>
    <n v="0"/>
    <n v="7537"/>
    <m/>
    <n v="7537"/>
    <n v="0"/>
    <n v="0"/>
    <n v="7537"/>
  </r>
  <r>
    <n v="688"/>
    <s v="TDS ON INTEREST A.Y.2024-25"/>
    <s v="TDS RECIEVABLE AY 2024-25"/>
    <x v="0"/>
    <x v="0"/>
    <m/>
    <x v="0"/>
    <m/>
    <n v="6887"/>
    <n v="0"/>
    <n v="0"/>
    <n v="6887"/>
    <m/>
    <n v="6887"/>
    <n v="0"/>
    <n v="0"/>
    <n v="6887"/>
  </r>
  <r>
    <n v="689"/>
    <s v="TDS on Interest on FD (A Y 2014-15)"/>
    <s v="Tax Advances"/>
    <x v="0"/>
    <x v="0"/>
    <m/>
    <x v="0"/>
    <m/>
    <n v="7437"/>
    <n v="0"/>
    <n v="0"/>
    <n v="7437"/>
    <m/>
    <n v="7437"/>
    <n v="0"/>
    <n v="0"/>
    <n v="7437"/>
  </r>
  <r>
    <n v="690"/>
    <s v="TDS on Interest on FD (A.Y. 2008-09)"/>
    <s v="Tax Advances"/>
    <x v="0"/>
    <x v="0"/>
    <m/>
    <x v="0"/>
    <m/>
    <n v="31077"/>
    <n v="0"/>
    <n v="0"/>
    <n v="31077"/>
    <m/>
    <n v="31077"/>
    <n v="0"/>
    <n v="0"/>
    <n v="31077"/>
  </r>
  <r>
    <n v="691"/>
    <s v="TDS on Interest on FD (A.Y. 2009-10)"/>
    <s v="Tax Advances"/>
    <x v="0"/>
    <x v="0"/>
    <m/>
    <x v="0"/>
    <m/>
    <n v="21584"/>
    <n v="0"/>
    <n v="0"/>
    <n v="21584"/>
    <m/>
    <n v="21584"/>
    <n v="0"/>
    <n v="0"/>
    <n v="21584"/>
  </r>
  <r>
    <n v="692"/>
    <s v="TDS on Interest on FD (A.Y. 2010-11)"/>
    <s v="Tax Advances"/>
    <x v="0"/>
    <x v="0"/>
    <m/>
    <x v="0"/>
    <m/>
    <n v="7122"/>
    <n v="0"/>
    <n v="0"/>
    <n v="7122"/>
    <m/>
    <n v="7122"/>
    <n v="0"/>
    <n v="0"/>
    <n v="7122"/>
  </r>
  <r>
    <n v="693"/>
    <s v="TDS on Interest on FD (A.Y. 2011-12)"/>
    <s v="Tax Advances"/>
    <x v="0"/>
    <x v="0"/>
    <m/>
    <x v="0"/>
    <m/>
    <n v="4428"/>
    <n v="0"/>
    <n v="0"/>
    <n v="4428"/>
    <m/>
    <n v="4428"/>
    <n v="0"/>
    <n v="0"/>
    <n v="4428"/>
  </r>
  <r>
    <n v="694"/>
    <s v="TDS on Interest on FD (A.Y. 2012-13)"/>
    <s v="Tax Advances"/>
    <x v="0"/>
    <x v="0"/>
    <m/>
    <x v="0"/>
    <m/>
    <n v="5130"/>
    <n v="0"/>
    <n v="0"/>
    <n v="5130"/>
    <m/>
    <n v="5130"/>
    <n v="0"/>
    <n v="0"/>
    <n v="5130"/>
  </r>
  <r>
    <n v="695"/>
    <s v="TDS on Interest on FD (A.Y. 2013-14)"/>
    <s v="Tax Advances"/>
    <x v="0"/>
    <x v="0"/>
    <m/>
    <x v="0"/>
    <m/>
    <n v="5963"/>
    <n v="0"/>
    <n v="0"/>
    <n v="5963"/>
    <m/>
    <n v="5963"/>
    <n v="0"/>
    <n v="0"/>
    <n v="5963"/>
  </r>
  <r>
    <n v="696"/>
    <s v="TDS on Interest on Loan Received (A.Y . 2012-13)"/>
    <s v="Tax Advances"/>
    <x v="0"/>
    <x v="0"/>
    <m/>
    <x v="0"/>
    <m/>
    <n v="43414"/>
    <n v="0"/>
    <n v="0"/>
    <n v="43414"/>
    <m/>
    <n v="43414"/>
    <n v="0"/>
    <n v="0"/>
    <n v="43414"/>
  </r>
  <r>
    <n v="697"/>
    <s v="TDS on Interest on Loan Received (A.Y. 2008-09)"/>
    <s v="Tax Advances"/>
    <x v="0"/>
    <x v="0"/>
    <m/>
    <x v="0"/>
    <m/>
    <n v="23704"/>
    <n v="0"/>
    <n v="0"/>
    <n v="23704"/>
    <m/>
    <n v="23704"/>
    <n v="0"/>
    <n v="0"/>
    <n v="23704"/>
  </r>
  <r>
    <n v="698"/>
    <s v="TDS on Interest on Loan Received (A.Y. 2011-12)"/>
    <s v="Tax Advances"/>
    <x v="0"/>
    <x v="0"/>
    <m/>
    <x v="0"/>
    <m/>
    <n v="9567"/>
    <n v="0"/>
    <n v="0"/>
    <n v="9567"/>
    <m/>
    <n v="9567"/>
    <n v="0"/>
    <n v="0"/>
    <n v="9567"/>
  </r>
  <r>
    <n v="699"/>
    <s v="TDS on Payments (A.Y. 2009-10)"/>
    <s v="Tax Advances"/>
    <x v="0"/>
    <x v="0"/>
    <m/>
    <x v="0"/>
    <m/>
    <n v="943"/>
    <n v="0"/>
    <n v="0"/>
    <n v="943"/>
    <m/>
    <n v="943"/>
    <n v="0"/>
    <n v="0"/>
    <n v="943"/>
  </r>
  <r>
    <n v="700"/>
    <s v="TDS on Professional Charges"/>
    <s v="TDS &amp; TCS PAYABLE"/>
    <x v="0"/>
    <x v="0"/>
    <m/>
    <x v="0"/>
    <m/>
    <n v="0"/>
    <n v="0"/>
    <n v="0"/>
    <n v="0"/>
    <m/>
    <n v="0"/>
    <n v="0"/>
    <n v="0"/>
    <n v="0"/>
  </r>
  <r>
    <n v="701"/>
    <s v="Tds on Professional Fees U/s 194J"/>
    <s v="TDS &amp; TCS PAYABLE"/>
    <x v="0"/>
    <x v="0"/>
    <m/>
    <x v="0"/>
    <m/>
    <n v="-2000"/>
    <n v="2000"/>
    <n v="2000"/>
    <n v="-2000"/>
    <m/>
    <n v="-4000"/>
    <n v="48000"/>
    <n v="46000"/>
    <n v="-2000"/>
  </r>
  <r>
    <n v="702"/>
    <s v="TDS ON PROPERTY SALE"/>
    <s v="TDS RECIEVABLE AY 2023-24"/>
    <x v="0"/>
    <x v="0"/>
    <m/>
    <x v="0"/>
    <m/>
    <n v="135000"/>
    <n v="0"/>
    <n v="0"/>
    <n v="135000"/>
    <m/>
    <n v="135000"/>
    <n v="0"/>
    <n v="0"/>
    <n v="135000"/>
  </r>
  <r>
    <n v="703"/>
    <s v="TDS ON PURCHASE 0.10% (194Q)"/>
    <s v="TDS &amp; TCS PAYABLE"/>
    <x v="0"/>
    <x v="0"/>
    <m/>
    <x v="0"/>
    <m/>
    <n v="-76840"/>
    <n v="76840"/>
    <n v="11684"/>
    <n v="-11684"/>
    <m/>
    <n v="0"/>
    <n v="76840"/>
    <n v="88524"/>
    <n v="-11684"/>
  </r>
  <r>
    <n v="704"/>
    <s v="TDS on Rent (A.Y. 2013-14)"/>
    <s v="Tax Advances"/>
    <x v="0"/>
    <x v="0"/>
    <m/>
    <x v="0"/>
    <m/>
    <n v="49500"/>
    <n v="0"/>
    <n v="0"/>
    <n v="49500"/>
    <m/>
    <n v="49500"/>
    <n v="0"/>
    <n v="0"/>
    <n v="49500"/>
  </r>
  <r>
    <n v="705"/>
    <s v="TDS on Rent (A.Y. 2015-16)"/>
    <s v="Tax Advances"/>
    <x v="0"/>
    <x v="0"/>
    <m/>
    <x v="0"/>
    <m/>
    <n v="54000"/>
    <n v="0"/>
    <n v="0"/>
    <n v="54000"/>
    <m/>
    <n v="54000"/>
    <n v="0"/>
    <n v="0"/>
    <n v="54000"/>
  </r>
  <r>
    <n v="706"/>
    <s v="TDS on Rent (A.Y.2014-15)"/>
    <s v="Tax Advances"/>
    <x v="0"/>
    <x v="0"/>
    <m/>
    <x v="0"/>
    <m/>
    <n v="45000"/>
    <n v="0"/>
    <n v="0"/>
    <n v="45000"/>
    <m/>
    <n v="45000"/>
    <n v="0"/>
    <n v="0"/>
    <n v="45000"/>
  </r>
  <r>
    <n v="707"/>
    <s v="TDS on Rent (A.Y.2016 -17)"/>
    <s v="Tax Advances"/>
    <x v="0"/>
    <x v="0"/>
    <m/>
    <x v="0"/>
    <m/>
    <n v="63000"/>
    <n v="0"/>
    <n v="0"/>
    <n v="63000"/>
    <m/>
    <n v="63000"/>
    <n v="0"/>
    <n v="0"/>
    <n v="63000"/>
  </r>
  <r>
    <n v="708"/>
    <s v="Tds on Rent on Car-194I"/>
    <s v="TDS &amp; TCS PAYABLE"/>
    <x v="1"/>
    <x v="0"/>
    <m/>
    <x v="1"/>
    <m/>
    <n v="0"/>
    <n v="0"/>
    <n v="0"/>
    <n v="0"/>
    <m/>
    <n v="0"/>
    <n v="0"/>
    <n v="0"/>
    <n v="0"/>
  </r>
  <r>
    <n v="709"/>
    <s v="TDS on Rent-194I"/>
    <s v="TDS &amp; TCS PAYABLE"/>
    <x v="0"/>
    <x v="0"/>
    <m/>
    <x v="0"/>
    <m/>
    <n v="-25386"/>
    <n v="25386"/>
    <n v="25386"/>
    <n v="-25386"/>
    <m/>
    <n v="-21720"/>
    <n v="268683"/>
    <n v="272349"/>
    <n v="-25386"/>
  </r>
  <r>
    <n v="710"/>
    <s v="Tds Receivable A.Y 2020-21"/>
    <s v="Tax Advances"/>
    <x v="0"/>
    <x v="0"/>
    <m/>
    <x v="0"/>
    <m/>
    <n v="54000"/>
    <n v="0"/>
    <n v="0"/>
    <n v="54000"/>
    <m/>
    <n v="54000"/>
    <n v="0"/>
    <n v="0"/>
    <n v="54000"/>
  </r>
  <r>
    <n v="711"/>
    <s v="Tds Receivable A.Y 2021-22"/>
    <s v="Tax Advances"/>
    <x v="0"/>
    <x v="0"/>
    <m/>
    <x v="0"/>
    <m/>
    <n v="63942"/>
    <n v="0"/>
    <n v="0"/>
    <n v="63942"/>
    <m/>
    <n v="63942"/>
    <n v="0"/>
    <n v="0"/>
    <n v="63942"/>
  </r>
  <r>
    <n v="712"/>
    <s v="Tds Receivable A.Y 2025-26"/>
    <s v="TDS RECIEVABLE AY 2025-26"/>
    <x v="0"/>
    <x v="0"/>
    <m/>
    <x v="0"/>
    <m/>
    <n v="157052.5"/>
    <n v="0"/>
    <n v="0"/>
    <n v="157052.5"/>
    <m/>
    <n v="157052.5"/>
    <n v="0"/>
    <n v="0"/>
    <n v="157052.5"/>
  </r>
  <r>
    <n v="713"/>
    <s v="Tds Receivable A.Y 2026-27"/>
    <s v="Tax Advances"/>
    <x v="0"/>
    <x v="0"/>
    <m/>
    <x v="0"/>
    <m/>
    <n v="14020.62"/>
    <n v="340000"/>
    <n v="0"/>
    <n v="354020.62"/>
    <m/>
    <n v="0"/>
    <n v="354020.62"/>
    <n v="0"/>
    <n v="354020.62"/>
  </r>
  <r>
    <n v="714"/>
    <s v="TDS Receivable A.Y. 2022-2023"/>
    <s v="Tax Advances"/>
    <x v="0"/>
    <x v="0"/>
    <m/>
    <x v="0"/>
    <m/>
    <n v="93296"/>
    <n v="0"/>
    <n v="0"/>
    <n v="93296"/>
    <m/>
    <n v="93296"/>
    <n v="0"/>
    <n v="0"/>
    <n v="93296"/>
  </r>
  <r>
    <n v="715"/>
    <s v="TDS Receivable A.Y. 2023-24"/>
    <s v="TDS RECIEVABLE AY 2023-24"/>
    <x v="0"/>
    <x v="0"/>
    <m/>
    <x v="0"/>
    <m/>
    <n v="3864"/>
    <n v="0"/>
    <n v="0"/>
    <n v="3864"/>
    <m/>
    <n v="3864"/>
    <n v="0"/>
    <n v="0"/>
    <n v="3864"/>
  </r>
  <r>
    <n v="716"/>
    <s v="Tech Plus"/>
    <s v="SUNDRY CREDITORS (EXPORT)"/>
    <x v="1"/>
    <x v="1"/>
    <m/>
    <x v="3"/>
    <m/>
    <n v="0"/>
    <n v="0"/>
    <n v="0"/>
    <n v="0"/>
    <m/>
    <n v="0"/>
    <n v="9173175"/>
    <n v="9173175"/>
    <n v="0"/>
  </r>
  <r>
    <n v="717"/>
    <s v="Tele, Fax &amp; E-Mail"/>
    <s v="Telephone Charges A/c Office"/>
    <x v="2"/>
    <x v="3"/>
    <s v="Telephone &amp; Internet charges"/>
    <x v="1"/>
    <m/>
    <n v="0"/>
    <n v="0"/>
    <n v="0"/>
    <n v="0"/>
    <m/>
    <n v="0"/>
    <n v="0"/>
    <n v="0"/>
    <n v="0"/>
  </r>
  <r>
    <n v="718"/>
    <s v="Tele, Fax &amp; E-Mail (GST 18%)(OFFICE)"/>
    <s v="OFFICE EXPENSE"/>
    <x v="2"/>
    <x v="3"/>
    <s v="Telephone &amp; Internet charges"/>
    <x v="1"/>
    <m/>
    <n v="0"/>
    <n v="1264.3599999999999"/>
    <n v="0"/>
    <n v="1264.3599999999999"/>
    <m/>
    <n v="0"/>
    <n v="25749.1"/>
    <n v="32400"/>
    <n v="-6650.9"/>
  </r>
  <r>
    <n v="719"/>
    <s v="Tele, Fax &amp; E-Mail -OFFICE (URD)"/>
    <s v="OFFICE EXPENSE"/>
    <x v="2"/>
    <x v="3"/>
    <s v="Telephone &amp; Internet charges"/>
    <x v="1"/>
    <m/>
    <n v="0"/>
    <n v="0"/>
    <n v="0"/>
    <n v="0"/>
    <m/>
    <n v="0"/>
    <n v="1472.64"/>
    <n v="0"/>
    <n v="1472.64"/>
  </r>
  <r>
    <n v="720"/>
    <s v="Telephone Deposit"/>
    <s v="Deposits (Asset)"/>
    <x v="0"/>
    <x v="0"/>
    <m/>
    <x v="0"/>
    <m/>
    <n v="5534"/>
    <n v="0"/>
    <n v="0"/>
    <n v="5534"/>
    <m/>
    <n v="5534"/>
    <n v="0"/>
    <n v="0"/>
    <n v="5534"/>
  </r>
  <r>
    <n v="721"/>
    <s v="TERMINAL HANDLING CHARGES-FRT"/>
    <s v="EXPORT (EXPENSE)"/>
    <x v="2"/>
    <x v="4"/>
    <s v="Port Expenses"/>
    <x v="3"/>
    <m/>
    <n v="0"/>
    <n v="0"/>
    <n v="0"/>
    <n v="0"/>
    <m/>
    <n v="0"/>
    <n v="93900"/>
    <n v="0"/>
    <n v="93900"/>
  </r>
  <r>
    <n v="722"/>
    <s v="Thai Airways International Public Company Limited"/>
    <s v="SUNDRY CREDITORS (EXPORT)"/>
    <x v="1"/>
    <x v="1"/>
    <m/>
    <x v="3"/>
    <m/>
    <n v="0"/>
    <n v="0"/>
    <n v="0"/>
    <n v="0"/>
    <m/>
    <n v="0"/>
    <n v="94293"/>
    <n v="94293"/>
    <n v="0"/>
  </r>
  <r>
    <n v="723"/>
    <s v="Tissue Box Packing Machine"/>
    <s v="Plant &amp; Machinery"/>
    <x v="0"/>
    <x v="0"/>
    <m/>
    <x v="0"/>
    <m/>
    <n v="14083.35"/>
    <n v="0"/>
    <n v="0"/>
    <n v="14083.35"/>
    <m/>
    <n v="14083.35"/>
    <n v="0"/>
    <n v="0"/>
    <n v="14083.35"/>
  </r>
  <r>
    <n v="724"/>
    <s v="Toilet Rolls Converting Machine"/>
    <s v="Plant &amp; Machinery"/>
    <x v="0"/>
    <x v="0"/>
    <m/>
    <x v="0"/>
    <m/>
    <n v="83269.97"/>
    <n v="0"/>
    <n v="0"/>
    <n v="83269.97"/>
    <m/>
    <n v="83269.97"/>
    <n v="0"/>
    <n v="0"/>
    <n v="83269.97"/>
  </r>
  <r>
    <n v="725"/>
    <s v="TOLL FREE CHARGES"/>
    <s v="Indirect Expenses"/>
    <x v="2"/>
    <x v="4"/>
    <s v="Port Expenses"/>
    <x v="3"/>
    <m/>
    <n v="0"/>
    <n v="0"/>
    <n v="0"/>
    <n v="0"/>
    <m/>
    <n v="0"/>
    <n v="5400"/>
    <n v="0"/>
    <n v="5400"/>
  </r>
  <r>
    <n v="726"/>
    <s v="Toner Filling Machine"/>
    <s v="Plant &amp; Machinery"/>
    <x v="0"/>
    <x v="0"/>
    <m/>
    <x v="0"/>
    <m/>
    <n v="115300"/>
    <n v="0"/>
    <n v="0"/>
    <n v="115300"/>
    <m/>
    <n v="115300"/>
    <n v="0"/>
    <n v="0"/>
    <n v="115300"/>
  </r>
  <r>
    <n v="727"/>
    <s v="Tools &amp; Equipment"/>
    <s v="Plant &amp; Machinery"/>
    <x v="0"/>
    <x v="0"/>
    <m/>
    <x v="0"/>
    <m/>
    <n v="55087.64"/>
    <n v="0"/>
    <n v="0"/>
    <n v="55087.64"/>
    <m/>
    <n v="55087.64"/>
    <n v="0"/>
    <n v="0"/>
    <n v="55087.64"/>
  </r>
  <r>
    <n v="728"/>
    <s v="Top Print Cartridge (Delhi)"/>
    <s v="Delhi"/>
    <x v="1"/>
    <x v="2"/>
    <m/>
    <x v="2"/>
    <m/>
    <n v="-50000"/>
    <n v="0"/>
    <n v="0"/>
    <n v="-50000"/>
    <m/>
    <n v="-50000"/>
    <n v="0"/>
    <n v="0"/>
    <n v="-50000"/>
  </r>
  <r>
    <n v="729"/>
    <s v="Tours &amp; Travals Air Ticket &amp; Visa Expense (EXPORT)"/>
    <s v="EXPORT (EXPENSE)"/>
    <x v="2"/>
    <x v="3"/>
    <s v="Travelling expenses"/>
    <x v="3"/>
    <m/>
    <n v="0"/>
    <n v="0"/>
    <n v="0"/>
    <n v="0"/>
    <m/>
    <n v="0"/>
    <n v="0"/>
    <n v="0"/>
    <n v="0"/>
  </r>
  <r>
    <n v="730"/>
    <s v="Tours &amp; Travals Air Ticket &amp; Visa Expense (MD EXP)"/>
    <s v="OFFICE EXPENSE"/>
    <x v="2"/>
    <x v="3"/>
    <s v="Travelling expenses"/>
    <x v="1"/>
    <m/>
    <n v="0"/>
    <n v="0"/>
    <n v="0"/>
    <n v="0"/>
    <m/>
    <n v="0"/>
    <n v="0"/>
    <n v="0"/>
    <n v="0"/>
  </r>
  <r>
    <n v="731"/>
    <s v="Tours &amp; Travals Air Ticket Expense @18%(Exports)"/>
    <s v="EXPORT (EXPENSE)"/>
    <x v="2"/>
    <x v="3"/>
    <s v="Travelling expenses"/>
    <x v="3"/>
    <m/>
    <n v="0"/>
    <n v="0"/>
    <n v="0"/>
    <n v="0"/>
    <m/>
    <n v="0"/>
    <n v="11675"/>
    <n v="0"/>
    <n v="11675"/>
  </r>
  <r>
    <n v="732"/>
    <s v="Tours &amp; Travals Air Ticket Expense @5%(Exports)"/>
    <s v="EXPORT (EXPENSE)"/>
    <x v="2"/>
    <x v="3"/>
    <s v="Travelling expenses"/>
    <x v="3"/>
    <m/>
    <n v="0"/>
    <n v="0"/>
    <n v="0"/>
    <n v="0"/>
    <m/>
    <n v="0"/>
    <n v="156866"/>
    <n v="0"/>
    <n v="156866"/>
  </r>
  <r>
    <n v="733"/>
    <s v="TRADE MARK"/>
    <s v="Fixed Assets"/>
    <x v="0"/>
    <x v="0"/>
    <m/>
    <x v="0"/>
    <m/>
    <n v="20736.8"/>
    <n v="0"/>
    <n v="0"/>
    <n v="20736.8"/>
    <m/>
    <n v="20736.8"/>
    <n v="0"/>
    <n v="0"/>
    <n v="20736.8"/>
  </r>
  <r>
    <n v="734"/>
    <s v="Trade Promotion Council Of India"/>
    <s v="SUNDRY CREDITORS (EXPORT)"/>
    <x v="1"/>
    <x v="1"/>
    <m/>
    <x v="3"/>
    <m/>
    <n v="0"/>
    <n v="0"/>
    <n v="0"/>
    <n v="0"/>
    <m/>
    <n v="0"/>
    <n v="1048430"/>
    <n v="1048430"/>
    <n v="0"/>
  </r>
  <r>
    <n v="735"/>
    <s v="Transcorp Enterprises Limited"/>
    <s v="SUNDRY CREDITORS (EXPORT)"/>
    <x v="1"/>
    <x v="1"/>
    <m/>
    <x v="3"/>
    <m/>
    <n v="0"/>
    <n v="0"/>
    <n v="0"/>
    <n v="0"/>
    <m/>
    <n v="-180"/>
    <n v="45624"/>
    <n v="45444"/>
    <n v="0"/>
  </r>
  <r>
    <n v="736"/>
    <s v="Transport Allowance"/>
    <s v="Salary &amp; Wages - Office"/>
    <x v="2"/>
    <x v="3"/>
    <s v="Salary &amp; wages"/>
    <x v="1"/>
    <m/>
    <n v="0"/>
    <n v="1200"/>
    <n v="0"/>
    <n v="1200"/>
    <m/>
    <n v="0"/>
    <n v="29590"/>
    <n v="0"/>
    <n v="29590"/>
  </r>
  <r>
    <n v="737"/>
    <s v="Transport Allowance - Bluestreak"/>
    <s v="Salary &amp; Wages - Bluestreak"/>
    <x v="2"/>
    <x v="3"/>
    <s v="Salary &amp; wages"/>
    <x v="2"/>
    <m/>
    <n v="0"/>
    <n v="0"/>
    <n v="0"/>
    <n v="0"/>
    <m/>
    <n v="0"/>
    <n v="0"/>
    <n v="0"/>
    <n v="0"/>
  </r>
  <r>
    <n v="738"/>
    <s v="Transport Allowance - Clarus"/>
    <s v="Salary &amp; Wages - Clarus"/>
    <x v="2"/>
    <x v="3"/>
    <s v="Salary &amp; wages"/>
    <x v="5"/>
    <m/>
    <n v="0"/>
    <n v="0"/>
    <n v="0"/>
    <n v="0"/>
    <m/>
    <n v="0"/>
    <n v="2900"/>
    <n v="0"/>
    <n v="2900"/>
  </r>
  <r>
    <n v="739"/>
    <s v="Transport Allowance - Factory"/>
    <s v="Salary &amp; Wages - Factory"/>
    <x v="2"/>
    <x v="3"/>
    <s v="Salary &amp; wages"/>
    <x v="1"/>
    <m/>
    <n v="0"/>
    <n v="0"/>
    <n v="0"/>
    <n v="0"/>
    <m/>
    <n v="0"/>
    <n v="0"/>
    <n v="0"/>
    <n v="0"/>
  </r>
  <r>
    <n v="740"/>
    <s v="TRANSPORT CHARGES EXPORT"/>
    <s v="EXPORT (EXPENSE)"/>
    <x v="2"/>
    <x v="3"/>
    <s v="Transportation"/>
    <x v="3"/>
    <m/>
    <n v="0"/>
    <n v="0"/>
    <n v="0"/>
    <n v="0"/>
    <m/>
    <n v="0"/>
    <n v="0"/>
    <n v="0"/>
    <n v="0"/>
  </r>
  <r>
    <n v="741"/>
    <s v="TRANSPORTATION CHARGE (EXPORT) RCM"/>
    <s v="EXPORT (EXPENSE)"/>
    <x v="2"/>
    <x v="3"/>
    <s v="Transportation"/>
    <x v="3"/>
    <m/>
    <n v="0"/>
    <n v="0"/>
    <n v="0"/>
    <n v="0"/>
    <m/>
    <n v="0"/>
    <n v="537502"/>
    <n v="0"/>
    <n v="537502"/>
  </r>
  <r>
    <n v="742"/>
    <s v="TRAVELING EXPENSES ( OFFICE )"/>
    <s v="OFFICE EXPENSE"/>
    <x v="2"/>
    <x v="3"/>
    <s v="Travelling expenses"/>
    <x v="1"/>
    <m/>
    <n v="0"/>
    <n v="42651"/>
    <n v="0"/>
    <n v="42651"/>
    <m/>
    <n v="0"/>
    <n v="740679.9"/>
    <n v="0"/>
    <n v="740679.9"/>
  </r>
  <r>
    <n v="743"/>
    <s v="TRAVELING INSURANCE (EXPORT)"/>
    <s v="EXPORT (EXPENSE)"/>
    <x v="2"/>
    <x v="3"/>
    <s v="Insurance expenses"/>
    <x v="3"/>
    <m/>
    <n v="0"/>
    <n v="7012"/>
    <n v="0"/>
    <n v="7012"/>
    <m/>
    <n v="0"/>
    <n v="191038"/>
    <n v="0"/>
    <n v="191038"/>
  </r>
  <r>
    <n v="744"/>
    <s v="Trillizo Holding Limited (Loan A/c)"/>
    <s v="Unsecured Loans"/>
    <x v="0"/>
    <x v="0"/>
    <m/>
    <x v="0"/>
    <m/>
    <n v="-508890"/>
    <n v="0"/>
    <n v="0"/>
    <n v="-508890"/>
    <m/>
    <n v="-508890"/>
    <n v="0"/>
    <n v="0"/>
    <n v="-508890"/>
  </r>
  <r>
    <n v="745"/>
    <s v="Triveni Copy Systems"/>
    <s v="Rest of Maharashtra"/>
    <x v="1"/>
    <x v="2"/>
    <m/>
    <x v="2"/>
    <m/>
    <n v="0"/>
    <n v="0"/>
    <n v="0"/>
    <n v="0"/>
    <m/>
    <n v="0"/>
    <n v="0"/>
    <n v="0"/>
    <n v="0"/>
  </r>
  <r>
    <n v="746"/>
    <s v="Tstar Aerosol"/>
    <s v="Sundry Creditors ( Clarus )"/>
    <x v="1"/>
    <x v="1"/>
    <m/>
    <x v="5"/>
    <m/>
    <n v="113723"/>
    <n v="0"/>
    <n v="0"/>
    <n v="113723"/>
    <m/>
    <n v="113723"/>
    <n v="0"/>
    <n v="0"/>
    <n v="113723"/>
  </r>
  <r>
    <n v="747"/>
    <s v="Tulip Sales"/>
    <s v="Sundry Creditors for (Expenses)"/>
    <x v="1"/>
    <x v="1"/>
    <m/>
    <x v="1"/>
    <m/>
    <n v="0"/>
    <n v="0"/>
    <n v="0"/>
    <n v="0"/>
    <m/>
    <n v="0"/>
    <n v="0"/>
    <n v="0"/>
    <n v="0"/>
  </r>
  <r>
    <n v="748"/>
    <s v="U.K.SALES"/>
    <s v="Sundry Debtor Clarus (Current)"/>
    <x v="1"/>
    <x v="2"/>
    <m/>
    <x v="5"/>
    <m/>
    <n v="0"/>
    <n v="0"/>
    <n v="0"/>
    <n v="0"/>
    <m/>
    <n v="200"/>
    <n v="133084"/>
    <n v="133284"/>
    <n v="0"/>
  </r>
  <r>
    <n v="749"/>
    <s v="Ultra International Ltd"/>
    <s v="Sundry Creditors ( Clarus )"/>
    <x v="1"/>
    <x v="1"/>
    <m/>
    <x v="5"/>
    <m/>
    <n v="0"/>
    <n v="0"/>
    <n v="0"/>
    <n v="0"/>
    <m/>
    <n v="0"/>
    <n v="0"/>
    <n v="0"/>
    <n v="0"/>
  </r>
  <r>
    <n v="750"/>
    <s v="UNI TRAANS LOG PRIVATE LIMITED"/>
    <s v="SUNDRY CREDITORS (EXPORT)"/>
    <x v="1"/>
    <x v="1"/>
    <m/>
    <x v="3"/>
    <m/>
    <n v="-220301"/>
    <n v="0"/>
    <n v="0"/>
    <n v="-220301"/>
    <m/>
    <n v="0"/>
    <n v="432011"/>
    <n v="652312"/>
    <n v="-220301"/>
  </r>
  <r>
    <n v="751"/>
    <s v="Union Bank of India"/>
    <s v="Bank Accounts"/>
    <x v="0"/>
    <x v="0"/>
    <m/>
    <x v="0"/>
    <m/>
    <n v="87510.79"/>
    <n v="5000"/>
    <n v="0"/>
    <n v="92510.79"/>
    <m/>
    <n v="28148.79"/>
    <n v="64362"/>
    <n v="0"/>
    <n v="92510.79"/>
  </r>
  <r>
    <n v="752"/>
    <s v="Vandana Electronics"/>
    <s v="Andhra Pradesh"/>
    <x v="1"/>
    <x v="2"/>
    <m/>
    <x v="2"/>
    <m/>
    <n v="0"/>
    <n v="0"/>
    <n v="0"/>
    <n v="0"/>
    <m/>
    <n v="0"/>
    <n v="0"/>
    <n v="0"/>
    <n v="0"/>
  </r>
  <r>
    <n v="753"/>
    <s v="Vandana Greeting &amp; Gift"/>
    <s v="Sundry Debtor Clarus (Old)"/>
    <x v="1"/>
    <x v="2"/>
    <m/>
    <x v="5"/>
    <m/>
    <n v="0"/>
    <n v="0"/>
    <n v="0"/>
    <n v="0"/>
    <m/>
    <n v="0"/>
    <n v="0"/>
    <n v="0"/>
    <n v="0"/>
  </r>
  <r>
    <n v="754"/>
    <s v="Vanita Mehta (Loan A/c)"/>
    <s v="Unsecured Loans"/>
    <x v="0"/>
    <x v="0"/>
    <m/>
    <x v="0"/>
    <m/>
    <n v="0"/>
    <n v="0"/>
    <n v="0"/>
    <n v="0"/>
    <m/>
    <n v="0"/>
    <n v="0"/>
    <n v="0"/>
    <n v="0"/>
  </r>
  <r>
    <n v="755"/>
    <s v="Varsha Agencies"/>
    <s v="Sundry Debtor Clarus (Current)"/>
    <x v="1"/>
    <x v="2"/>
    <m/>
    <x v="5"/>
    <m/>
    <n v="0"/>
    <n v="0"/>
    <n v="0"/>
    <n v="0"/>
    <m/>
    <n v="0"/>
    <n v="43804"/>
    <n v="43804"/>
    <n v="0"/>
  </r>
  <r>
    <n v="756"/>
    <s v="Vasai Virar City Municipal Corporation"/>
    <s v="Sundry Creditors for (Expenses)"/>
    <x v="1"/>
    <x v="1"/>
    <m/>
    <x v="1"/>
    <m/>
    <n v="0"/>
    <n v="0"/>
    <n v="0"/>
    <n v="0"/>
    <m/>
    <n v="0"/>
    <n v="93223"/>
    <n v="93223"/>
    <n v="0"/>
  </r>
  <r>
    <n v="757"/>
    <s v="Vat Refund Claimed (F.Y. 2008-09)"/>
    <s v="Tax Advances"/>
    <x v="0"/>
    <x v="0"/>
    <m/>
    <x v="0"/>
    <m/>
    <n v="2555.34"/>
    <n v="0"/>
    <n v="0"/>
    <n v="2555.34"/>
    <m/>
    <n v="2555.34"/>
    <n v="0"/>
    <n v="0"/>
    <n v="2555.34"/>
  </r>
  <r>
    <n v="758"/>
    <s v="Vat Refund Claimed (F.Y. 2009-10)"/>
    <s v="Tax Advances"/>
    <x v="0"/>
    <x v="0"/>
    <m/>
    <x v="0"/>
    <m/>
    <n v="1251"/>
    <n v="0"/>
    <n v="0"/>
    <n v="1251"/>
    <m/>
    <n v="1251"/>
    <n v="0"/>
    <n v="0"/>
    <n v="1251"/>
  </r>
  <r>
    <n v="759"/>
    <s v="VEER BHAVANI HARDWARE"/>
    <s v="Sundry Creditors for Factory"/>
    <x v="1"/>
    <x v="1"/>
    <m/>
    <x v="1"/>
    <m/>
    <n v="0"/>
    <n v="0"/>
    <n v="0"/>
    <n v="0"/>
    <m/>
    <n v="0"/>
    <n v="0"/>
    <n v="0"/>
    <n v="0"/>
  </r>
  <r>
    <n v="760"/>
    <s v="VGM CHARGES-FRT"/>
    <s v="EXPORT (EXPENSE)"/>
    <x v="2"/>
    <x v="4"/>
    <s v="Port Expenses"/>
    <x v="3"/>
    <m/>
    <n v="0"/>
    <n v="0"/>
    <n v="0"/>
    <n v="0"/>
    <m/>
    <n v="0"/>
    <n v="8850"/>
    <n v="0"/>
    <n v="8850"/>
  </r>
  <r>
    <n v="761"/>
    <s v="Vijeta Marketing"/>
    <s v="Madhya Pradesh"/>
    <x v="1"/>
    <x v="2"/>
    <m/>
    <x v="2"/>
    <m/>
    <n v="0"/>
    <n v="0"/>
    <n v="0"/>
    <n v="0"/>
    <m/>
    <n v="0"/>
    <n v="0"/>
    <n v="0"/>
    <n v="0"/>
  </r>
  <r>
    <n v="762"/>
    <s v="Vijex &amp; Company"/>
    <s v="Tamil Nadu"/>
    <x v="1"/>
    <x v="2"/>
    <m/>
    <x v="2"/>
    <m/>
    <n v="-507408"/>
    <n v="0"/>
    <n v="0"/>
    <n v="-507408"/>
    <m/>
    <n v="-30000"/>
    <n v="0"/>
    <n v="477408"/>
    <n v="-507408"/>
  </r>
  <r>
    <n v="763"/>
    <s v="Vinay Construction"/>
    <s v="SUNDRY DEBTORS BLUESTREAK - AJAYSIR"/>
    <x v="1"/>
    <x v="2"/>
    <m/>
    <x v="2"/>
    <m/>
    <n v="0"/>
    <n v="0"/>
    <n v="0"/>
    <n v="0"/>
    <m/>
    <n v="5192"/>
    <n v="5192"/>
    <n v="10384"/>
    <n v="0"/>
  </r>
  <r>
    <n v="764"/>
    <s v="Vinay Rajkant Jha - Loan A/c"/>
    <s v="STAFF LOAN - CLARUS"/>
    <x v="0"/>
    <x v="0"/>
    <m/>
    <x v="0"/>
    <m/>
    <n v="0"/>
    <n v="0"/>
    <n v="0"/>
    <n v="0"/>
    <m/>
    <n v="10000"/>
    <n v="0"/>
    <n v="10000"/>
    <n v="0"/>
  </r>
  <r>
    <n v="765"/>
    <s v="Vinayak sales Corporation"/>
    <s v="Madhya Pradesh"/>
    <x v="1"/>
    <x v="2"/>
    <m/>
    <x v="2"/>
    <m/>
    <n v="0"/>
    <n v="0"/>
    <n v="0"/>
    <n v="0"/>
    <m/>
    <n v="0"/>
    <n v="0"/>
    <n v="0"/>
    <n v="0"/>
  </r>
  <r>
    <n v="766"/>
    <s v="Vinayaka Computer Consumables"/>
    <s v="Tamil Nadu"/>
    <x v="1"/>
    <x v="2"/>
    <m/>
    <x v="2"/>
    <m/>
    <n v="64900"/>
    <n v="0"/>
    <n v="0"/>
    <n v="64900"/>
    <m/>
    <n v="64900"/>
    <n v="0"/>
    <n v="0"/>
    <n v="64900"/>
  </r>
  <r>
    <n v="767"/>
    <s v="VINTRON INFOTECH"/>
    <s v="Tamil Nadu"/>
    <x v="1"/>
    <x v="2"/>
    <m/>
    <x v="2"/>
    <m/>
    <n v="0"/>
    <n v="0"/>
    <n v="0"/>
    <n v="0"/>
    <m/>
    <n v="0"/>
    <n v="0"/>
    <n v="0"/>
    <n v="0"/>
  </r>
  <r>
    <n v="768"/>
    <s v="Water Purifier"/>
    <s v="Office Equipment"/>
    <x v="0"/>
    <x v="0"/>
    <m/>
    <x v="0"/>
    <m/>
    <n v="24377.53"/>
    <n v="0"/>
    <n v="0"/>
    <n v="24377.53"/>
    <m/>
    <n v="24377.53"/>
    <n v="0"/>
    <n v="0"/>
    <n v="24377.53"/>
  </r>
  <r>
    <n v="769"/>
    <s v="We Recommend"/>
    <s v="SUNDRY CREDITORS (EXPORT)"/>
    <x v="1"/>
    <x v="1"/>
    <m/>
    <x v="3"/>
    <m/>
    <n v="0"/>
    <n v="0"/>
    <n v="0"/>
    <n v="0"/>
    <m/>
    <n v="0"/>
    <n v="356603"/>
    <n v="356603"/>
    <n v="0"/>
  </r>
  <r>
    <n v="770"/>
    <s v="Weight Measuring Machine"/>
    <s v="Office Equipment"/>
    <x v="0"/>
    <x v="0"/>
    <m/>
    <x v="0"/>
    <m/>
    <n v="1185.5899999999999"/>
    <n v="0"/>
    <n v="0"/>
    <n v="1185.5899999999999"/>
    <m/>
    <n v="1185.5899999999999"/>
    <n v="0"/>
    <n v="0"/>
    <n v="1185.5899999999999"/>
  </r>
  <r>
    <n v="771"/>
    <s v="Wet Napkin Paper Packing Machine"/>
    <s v="Plant &amp; Machinery"/>
    <x v="0"/>
    <x v="0"/>
    <m/>
    <x v="0"/>
    <m/>
    <n v="226431.53"/>
    <n v="0"/>
    <n v="0"/>
    <n v="226431.53"/>
    <m/>
    <n v="226431.53"/>
    <n v="0"/>
    <n v="0"/>
    <n v="226431.53"/>
  </r>
  <r>
    <n v="772"/>
    <s v="Wide Infotech India Ltd."/>
    <s v="Sundry Creditors for (Expenses)"/>
    <x v="1"/>
    <x v="1"/>
    <m/>
    <x v="1"/>
    <m/>
    <n v="0"/>
    <n v="0"/>
    <n v="0"/>
    <n v="0"/>
    <m/>
    <n v="0"/>
    <n v="42620"/>
    <n v="42620"/>
    <n v="0"/>
  </r>
  <r>
    <n v="773"/>
    <s v="Winman Software India LLP"/>
    <s v="Sundry Creditors for (Expenses)"/>
    <x v="1"/>
    <x v="1"/>
    <m/>
    <x v="1"/>
    <m/>
    <n v="0"/>
    <n v="0"/>
    <n v="0"/>
    <n v="0"/>
    <m/>
    <n v="0"/>
    <n v="0"/>
    <n v="0"/>
    <n v="0"/>
  </r>
  <r>
    <n v="774"/>
    <s v="Workindia"/>
    <s v="Sundry Creditors for (Expenses)"/>
    <x v="1"/>
    <x v="1"/>
    <m/>
    <x v="1"/>
    <m/>
    <n v="0"/>
    <n v="0"/>
    <n v="0"/>
    <n v="0"/>
    <m/>
    <n v="-12744"/>
    <n v="27134"/>
    <n v="14390"/>
    <n v="0"/>
  </r>
  <r>
    <n v="775"/>
    <s v="Write Off"/>
    <s v="COMMON EXPENSE"/>
    <x v="2"/>
    <x v="3"/>
    <s v="Bad debt"/>
    <x v="1"/>
    <m/>
    <n v="0"/>
    <n v="0"/>
    <n v="0"/>
    <n v="0"/>
    <m/>
    <n v="0"/>
    <n v="0"/>
    <n v="0"/>
    <n v="0"/>
  </r>
  <r>
    <n v="776"/>
    <s v="Yogesh Acholkar"/>
    <s v="Sundry Creditors ( Blue Streak )"/>
    <x v="1"/>
    <x v="1"/>
    <m/>
    <x v="2"/>
    <m/>
    <n v="0"/>
    <n v="0"/>
    <n v="0"/>
    <n v="0"/>
    <m/>
    <n v="0"/>
    <n v="13127"/>
    <n v="13127"/>
    <n v="0"/>
  </r>
  <r>
    <n v="777"/>
    <s v="Yunay Enterprises"/>
    <s v="Sundry Debtor Clarus (Current)"/>
    <x v="1"/>
    <x v="2"/>
    <m/>
    <x v="5"/>
    <m/>
    <n v="566"/>
    <n v="0"/>
    <n v="0"/>
    <n v="566"/>
    <m/>
    <n v="566"/>
    <n v="75096"/>
    <n v="75096"/>
    <n v="566"/>
  </r>
  <r>
    <n v="778"/>
    <s v="Zain Traders and Co."/>
    <s v="Sundry Debtor Clarus (Current)"/>
    <x v="1"/>
    <x v="2"/>
    <m/>
    <x v="5"/>
    <m/>
    <n v="107429.98"/>
    <n v="33553"/>
    <n v="26235"/>
    <n v="114747.98"/>
    <m/>
    <n v="133679"/>
    <n v="333013"/>
    <n v="351944.02"/>
    <n v="114747.98"/>
  </r>
  <r>
    <n v="779"/>
    <s v="ZEE ENTERTAINMENT"/>
    <s v="Share Investment Anand Rathi"/>
    <x v="0"/>
    <x v="0"/>
    <m/>
    <x v="0"/>
    <m/>
    <n v="0"/>
    <n v="0"/>
    <n v="0"/>
    <n v="0"/>
    <m/>
    <n v="135410.95000000001"/>
    <n v="11586.08"/>
    <n v="146997.03"/>
    <n v="0"/>
  </r>
  <r>
    <n v="780"/>
    <s v="ZOHO CORPORATION PRIVATE LIMITED"/>
    <s v="Sundry Creditors for (OFFICE)"/>
    <x v="1"/>
    <x v="1"/>
    <m/>
    <x v="1"/>
    <m/>
    <n v="0"/>
    <n v="0"/>
    <n v="0"/>
    <n v="0"/>
    <m/>
    <n v="0"/>
    <n v="0"/>
    <n v="0"/>
    <n v="0"/>
  </r>
  <r>
    <n v="781"/>
    <s v="ZYJ-B-400 Printed/Embossed Napkin Foldiing Machine"/>
    <s v="Plant &amp; Machinery"/>
    <x v="0"/>
    <x v="0"/>
    <m/>
    <x v="0"/>
    <m/>
    <n v="59822.59"/>
    <n v="0"/>
    <n v="0"/>
    <n v="59822.59"/>
    <m/>
    <n v="59822.59"/>
    <n v="0"/>
    <n v="0"/>
    <n v="59822.59"/>
  </r>
  <r>
    <n v="782"/>
    <s v="ZYJ-B-500 Printed/Embossed Napking Folding Machine"/>
    <s v="Plant &amp; Machinery"/>
    <x v="1"/>
    <x v="0"/>
    <m/>
    <x v="0"/>
    <m/>
    <n v="64806.68"/>
    <n v="0"/>
    <n v="0"/>
    <n v="64806.68"/>
    <m/>
    <n v="64806.68"/>
    <n v="0"/>
    <n v="0"/>
    <n v="64806.68"/>
  </r>
  <r>
    <n v="783"/>
    <s v="CAR INSURANCE (CRETA)"/>
    <s v="Indirect Expenses"/>
    <x v="2"/>
    <x v="3"/>
    <s v="Insurance expenses"/>
    <x v="1"/>
    <m/>
    <n v="0"/>
    <n v="0"/>
    <n v="0"/>
    <n v="0"/>
    <m/>
    <n v="0"/>
    <n v="27894"/>
    <n v="0"/>
    <n v="27894"/>
  </r>
  <r>
    <n v="784"/>
    <s v="SSR CHARGES"/>
    <s v="EXPORT (EXPENSE)"/>
    <x v="2"/>
    <x v="4"/>
    <s v="Freight &amp; Shipping charges"/>
    <x v="3"/>
    <m/>
    <n v="0"/>
    <n v="29277.29"/>
    <n v="0"/>
    <n v="29277.29"/>
    <m/>
    <n v="0"/>
    <n v="37167.29"/>
    <n v="0"/>
    <n v="37167.29"/>
  </r>
  <r>
    <n v="785"/>
    <s v="STAFFWALFARE"/>
    <s v="Indirect Incomes"/>
    <x v="2"/>
    <x v="5"/>
    <s v="Indirect Income"/>
    <x v="1"/>
    <m/>
    <n v="0"/>
    <n v="0"/>
    <n v="0"/>
    <n v="0"/>
    <m/>
    <n v="0"/>
    <n v="0"/>
    <n v="0"/>
    <n v="0"/>
  </r>
  <r>
    <n v="786"/>
    <s v="Metal ORE"/>
    <s v="Sundry Creditors for (OFFICE)"/>
    <x v="1"/>
    <x v="1"/>
    <m/>
    <x v="1"/>
    <m/>
    <n v="0"/>
    <n v="0"/>
    <n v="0"/>
    <n v="0"/>
    <m/>
    <n v="0"/>
    <n v="5014424"/>
    <n v="5014424"/>
    <n v="0"/>
  </r>
  <r>
    <n v="787"/>
    <s v="Membership Subscription 18% (Spices)"/>
    <s v="SPICE EXPENSE"/>
    <x v="2"/>
    <x v="3"/>
    <s v="Membership Expenses"/>
    <x v="8"/>
    <m/>
    <n v="0"/>
    <n v="9810"/>
    <n v="0"/>
    <n v="9810"/>
    <m/>
    <n v="0"/>
    <n v="2043284.5"/>
    <n v="0"/>
    <n v="2043284.5"/>
  </r>
  <r>
    <n v="788"/>
    <s v="Membership Subscription 18% (IT)"/>
    <s v="IT EXPENSE"/>
    <x v="2"/>
    <x v="3"/>
    <s v="Membership Expenses"/>
    <x v="3"/>
    <m/>
    <n v="0"/>
    <n v="0"/>
    <n v="0"/>
    <n v="0"/>
    <m/>
    <n v="0"/>
    <n v="0"/>
    <n v="0"/>
    <n v="0"/>
  </r>
  <r>
    <n v="789"/>
    <s v="Domain Expenses &amp; Support Service 18% (Ofiice)"/>
    <s v="OFFICE EXPENSE"/>
    <x v="2"/>
    <x v="3"/>
    <s v="Website charges"/>
    <x v="1"/>
    <m/>
    <n v="0"/>
    <n v="0"/>
    <n v="0"/>
    <n v="0"/>
    <m/>
    <n v="0"/>
    <n v="10711"/>
    <n v="0"/>
    <n v="10711"/>
  </r>
  <r>
    <n v="790"/>
    <s v="ADVERTISEMENT 18% (SPICE)"/>
    <s v="SPICE EXPENSE"/>
    <x v="2"/>
    <x v="3"/>
    <s v="Advertisements costs"/>
    <x v="8"/>
    <m/>
    <n v="0"/>
    <n v="4000"/>
    <n v="0"/>
    <n v="4000"/>
    <m/>
    <n v="0"/>
    <n v="273050"/>
    <n v="0"/>
    <n v="273050"/>
  </r>
  <r>
    <n v="791"/>
    <s v="BUSINESS DEVELOPMENT (SPICE)"/>
    <s v="SPICE EXPENSE"/>
    <x v="2"/>
    <x v="3"/>
    <s v="Bussiness Development costs"/>
    <x v="4"/>
    <m/>
    <n v="0"/>
    <n v="0"/>
    <n v="0"/>
    <n v="0"/>
    <m/>
    <n v="0"/>
    <n v="421904"/>
    <n v="0"/>
    <n v="421904"/>
  </r>
  <r>
    <n v="792"/>
    <s v="MARKETING EXPENSE (SPICE)"/>
    <s v="SPICE EXPENSE"/>
    <x v="2"/>
    <x v="3"/>
    <s v="Advertisements costs"/>
    <x v="8"/>
    <m/>
    <n v="0"/>
    <n v="0"/>
    <n v="0"/>
    <n v="0"/>
    <m/>
    <n v="0"/>
    <n v="0"/>
    <n v="0"/>
    <n v="0"/>
  </r>
  <r>
    <n v="793"/>
    <s v="Abacus Infotech"/>
    <s v="Sundry Creditors for (Expenses)"/>
    <x v="1"/>
    <x v="1"/>
    <m/>
    <x v="1"/>
    <m/>
    <n v="0"/>
    <n v="0"/>
    <n v="0"/>
    <n v="0"/>
    <m/>
    <n v="0"/>
    <n v="21240"/>
    <n v="21240"/>
    <n v="0"/>
  </r>
  <r>
    <n v="794"/>
    <s v="AMI  Food Products"/>
    <s v="SUNDRY CREDITORS (Spice)"/>
    <x v="1"/>
    <x v="1"/>
    <m/>
    <x v="4"/>
    <m/>
    <n v="0"/>
    <n v="2572500"/>
    <n v="2572500"/>
    <n v="0"/>
    <m/>
    <n v="0"/>
    <n v="5255775"/>
    <n v="5255775"/>
    <n v="0"/>
  </r>
  <r>
    <n v="795"/>
    <s v="Basic Pay -  Vashi Office"/>
    <s v="Salary &amp; Wages - Vashi Office"/>
    <x v="2"/>
    <x v="3"/>
    <s v="Salary &amp; wages"/>
    <x v="4"/>
    <m/>
    <n v="0"/>
    <n v="328467"/>
    <n v="0"/>
    <n v="328467"/>
    <m/>
    <n v="0"/>
    <n v="1202500"/>
    <n v="0"/>
    <n v="1202500"/>
  </r>
  <r>
    <n v="796"/>
    <s v="SRI JAYA IMPEX SDN. BHD"/>
    <s v="Sundry Debtors Spice"/>
    <x v="1"/>
    <x v="2"/>
    <m/>
    <x v="4"/>
    <m/>
    <n v="818194"/>
    <n v="10949086"/>
    <n v="0"/>
    <n v="11767280"/>
    <m/>
    <n v="0"/>
    <n v="28373141.050000001"/>
    <n v="16605861.050000001"/>
    <n v="11767280"/>
  </r>
  <r>
    <n v="796"/>
    <s v="Conveyance - Spice"/>
    <s v="SPICE EXPENSE"/>
    <x v="2"/>
    <x v="3"/>
    <s v="Conveyance expenses"/>
    <x v="4"/>
    <m/>
    <n v="0"/>
    <n v="7582.09"/>
    <n v="0"/>
    <n v="7582.09"/>
    <m/>
    <n v="0"/>
    <n v="44500.639999999999"/>
    <n v="0"/>
    <n v="44500.639999999999"/>
  </r>
  <r>
    <n v="797"/>
    <s v="Staff Welfare - Vashi (Spice)"/>
    <s v="Vashi Expense"/>
    <x v="2"/>
    <x v="3"/>
    <s v="Staff welfare expenses"/>
    <x v="4"/>
    <m/>
    <n v="0"/>
    <n v="2290"/>
    <n v="0"/>
    <n v="2290"/>
    <m/>
    <n v="0"/>
    <n v="9671"/>
    <n v="0"/>
    <n v="9671"/>
  </r>
  <r>
    <n v="798"/>
    <s v="Stamp Duty Fees"/>
    <s v="OFFICE EXPENSE"/>
    <x v="2"/>
    <x v="3"/>
    <s v="Professional charges"/>
    <x v="1"/>
    <m/>
    <n v="0"/>
    <n v="0"/>
    <n v="0"/>
    <n v="0"/>
    <m/>
    <n v="0"/>
    <n v="1723"/>
    <n v="0"/>
    <n v="1723"/>
  </r>
  <r>
    <n v="798"/>
    <s v="Diamond Trading Company"/>
    <s v="SUNDRY CREDITORS (Spice)"/>
    <x v="1"/>
    <x v="1"/>
    <m/>
    <x v="4"/>
    <m/>
    <n v="0"/>
    <n v="0"/>
    <n v="0"/>
    <n v="0"/>
    <m/>
    <n v="0"/>
    <n v="651000"/>
    <n v="651000"/>
    <n v="0"/>
  </r>
  <r>
    <n v="799"/>
    <s v="A.T.N. Enterprise"/>
    <s v="SUNDRY CREDITORS (Spice)"/>
    <x v="1"/>
    <x v="1"/>
    <m/>
    <x v="4"/>
    <m/>
    <n v="0"/>
    <n v="3627173"/>
    <n v="3627173"/>
    <n v="0"/>
    <m/>
    <n v="0"/>
    <n v="6390774"/>
    <n v="6390774"/>
    <n v="0"/>
  </r>
  <r>
    <n v="799"/>
    <s v="Discount On Pur Spice"/>
    <s v="Purchase Accounts (Spice)"/>
    <x v="2"/>
    <x v="7"/>
    <s v="Purchase"/>
    <x v="4"/>
    <m/>
    <n v="0"/>
    <n v="0"/>
    <n v="286217"/>
    <n v="-286217"/>
    <m/>
    <n v="0"/>
    <n v="0"/>
    <n v="676011"/>
    <n v="-676011"/>
  </r>
  <r>
    <n v="800"/>
    <s v="SUNFOOD STAR GENERAL TRADING LLC"/>
    <s v="Sundry Debtors Spice"/>
    <x v="1"/>
    <x v="2"/>
    <m/>
    <x v="4"/>
    <m/>
    <n v="-53418.33"/>
    <n v="4670837"/>
    <n v="0"/>
    <n v="4617418.67"/>
    <m/>
    <n v="0"/>
    <n v="7503678"/>
    <n v="2886259.33"/>
    <n v="4617418.67"/>
  </r>
  <r>
    <n v="800"/>
    <s v="FD WITH ICICI BANK FD NO-034813016440"/>
    <s v="FDR WITH ICICI BANK"/>
    <x v="0"/>
    <x v="0"/>
    <m/>
    <x v="0"/>
    <m/>
    <n v="-3329"/>
    <n v="0"/>
    <n v="0"/>
    <n v="-3329"/>
    <m/>
    <n v="0"/>
    <n v="5000000"/>
    <n v="5003329"/>
    <n v="-3329"/>
  </r>
  <r>
    <n v="801"/>
    <s v="FD WITH ICICI BANK FD NO-034813016441"/>
    <s v="FDR WITH ICICI BANK"/>
    <x v="0"/>
    <x v="0"/>
    <m/>
    <x v="0"/>
    <m/>
    <n v="-3329"/>
    <n v="0"/>
    <n v="0"/>
    <n v="-3329"/>
    <m/>
    <n v="0"/>
    <n v="5000000"/>
    <n v="5003329"/>
    <n v="-3329"/>
  </r>
  <r>
    <n v="802"/>
    <s v="FD WITH ICICI BANK FD NO-034813016442"/>
    <s v="FDR WITH ICICI BANK"/>
    <x v="0"/>
    <x v="0"/>
    <m/>
    <x v="0"/>
    <m/>
    <n v="-2663"/>
    <n v="0"/>
    <n v="0"/>
    <n v="-2663"/>
    <m/>
    <n v="0"/>
    <n v="4000000"/>
    <n v="4002663"/>
    <n v="-2663"/>
  </r>
  <r>
    <n v="803"/>
    <s v="FD WITH ICICI BANK FD NO-34813016338"/>
    <s v="FDR WITH ICICI BANK"/>
    <x v="0"/>
    <x v="0"/>
    <m/>
    <x v="0"/>
    <m/>
    <n v="-56"/>
    <n v="0"/>
    <n v="0"/>
    <n v="-56"/>
    <m/>
    <n v="0"/>
    <n v="1000000"/>
    <n v="1000056"/>
    <n v="-56"/>
  </r>
  <r>
    <n v="804"/>
    <s v="FD WITH ICICI BANK FD NO-34813016339"/>
    <s v="FDR WITH ICICI BANK"/>
    <x v="0"/>
    <x v="0"/>
    <m/>
    <x v="0"/>
    <m/>
    <n v="0"/>
    <n v="0"/>
    <n v="0"/>
    <n v="0"/>
    <m/>
    <n v="0"/>
    <n v="1000000"/>
    <n v="1000000"/>
    <n v="0"/>
  </r>
  <r>
    <n v="805"/>
    <s v="FD WITH ICICI BANK FD NO-34813016340"/>
    <s v="FDR WITH ICICI BANK"/>
    <x v="0"/>
    <x v="0"/>
    <m/>
    <x v="0"/>
    <m/>
    <n v="0"/>
    <n v="0"/>
    <n v="0"/>
    <n v="0"/>
    <m/>
    <n v="0"/>
    <n v="1000000"/>
    <n v="1000000"/>
    <n v="0"/>
  </r>
  <r>
    <n v="806"/>
    <s v="FD WITH ICICI BANK FD NO-34813016341"/>
    <s v="FDR WITH ICICI BANK"/>
    <x v="0"/>
    <x v="0"/>
    <m/>
    <x v="0"/>
    <m/>
    <n v="0"/>
    <n v="0"/>
    <n v="0"/>
    <n v="0"/>
    <m/>
    <n v="0"/>
    <n v="1000000"/>
    <n v="1000000"/>
    <n v="0"/>
  </r>
  <r>
    <n v="807"/>
    <s v="FD WITH ICICI BANK FD NO-34813016342"/>
    <s v="FDR WITH ICICI BANK"/>
    <x v="0"/>
    <x v="0"/>
    <m/>
    <x v="0"/>
    <m/>
    <n v="0"/>
    <n v="0"/>
    <n v="0"/>
    <n v="0"/>
    <m/>
    <n v="0"/>
    <n v="1000000"/>
    <n v="1000000"/>
    <n v="0"/>
  </r>
  <r>
    <n v="808"/>
    <s v="FD WITH ICICI BANK FD NO-34813016343"/>
    <s v="FDR WITH ICICI BANK"/>
    <x v="0"/>
    <x v="0"/>
    <m/>
    <x v="0"/>
    <m/>
    <n v="0"/>
    <n v="0"/>
    <n v="0"/>
    <n v="0"/>
    <m/>
    <n v="0"/>
    <n v="1000000"/>
    <n v="1000000"/>
    <n v="0"/>
  </r>
  <r>
    <n v="809"/>
    <s v="FD WITH ICICI BANK FD NO-34813016344"/>
    <s v="FDR WITH ICICI BANK"/>
    <x v="0"/>
    <x v="0"/>
    <m/>
    <x v="0"/>
    <m/>
    <n v="0"/>
    <n v="0"/>
    <n v="0"/>
    <n v="0"/>
    <m/>
    <n v="0"/>
    <n v="1000000"/>
    <n v="1000000"/>
    <n v="0"/>
  </r>
  <r>
    <n v="810"/>
    <s v="FD WITH ICICI BANK FD NO-34813016345"/>
    <s v="FDR WITH ICICI BANK"/>
    <x v="0"/>
    <x v="0"/>
    <m/>
    <x v="0"/>
    <m/>
    <n v="0"/>
    <n v="0"/>
    <n v="0"/>
    <n v="0"/>
    <m/>
    <n v="0"/>
    <n v="1000000"/>
    <n v="1000000"/>
    <n v="0"/>
  </r>
  <r>
    <n v="811"/>
    <s v="FD WITH ICICI BANK FD NO-34813016346"/>
    <s v="FDR WITH ICICI BANK"/>
    <x v="0"/>
    <x v="0"/>
    <m/>
    <x v="0"/>
    <m/>
    <n v="0"/>
    <n v="0"/>
    <n v="0"/>
    <n v="0"/>
    <m/>
    <n v="0"/>
    <n v="1000000"/>
    <n v="1000000"/>
    <n v="0"/>
  </r>
  <r>
    <n v="812"/>
    <s v="Framebazaar India Pvt Ltd"/>
    <s v="Sundry Creditors for (Expenses)"/>
    <x v="1"/>
    <x v="1"/>
    <m/>
    <x v="1"/>
    <m/>
    <n v="0"/>
    <n v="0"/>
    <n v="0"/>
    <n v="0"/>
    <m/>
    <n v="0"/>
    <n v="8364"/>
    <n v="8364"/>
    <n v="0"/>
  </r>
  <r>
    <n v="813"/>
    <s v="Future Tech"/>
    <s v="SUNDRY CREDITORS (IT)"/>
    <x v="1"/>
    <x v="1"/>
    <m/>
    <x v="3"/>
    <m/>
    <n v="19798"/>
    <n v="790001"/>
    <n v="809799"/>
    <n v="0"/>
    <m/>
    <n v="0"/>
    <n v="30071711"/>
    <n v="30071711"/>
    <n v="0"/>
  </r>
  <r>
    <n v="814"/>
    <s v="Futuretech-Chhenai"/>
    <s v="SUNDRY CREDITORS (IT)"/>
    <x v="1"/>
    <x v="1"/>
    <m/>
    <x v="3"/>
    <m/>
    <n v="0"/>
    <n v="0"/>
    <n v="0"/>
    <n v="0"/>
    <m/>
    <n v="0"/>
    <n v="0"/>
    <n v="0"/>
    <n v="0"/>
  </r>
  <r>
    <n v="815"/>
    <s v="Govindraj Spices"/>
    <s v="SUNDRY CREDITORS (Spice)"/>
    <x v="1"/>
    <x v="1"/>
    <m/>
    <x v="4"/>
    <m/>
    <n v="0"/>
    <n v="609000"/>
    <n v="609000"/>
    <n v="0"/>
    <m/>
    <n v="0"/>
    <n v="2416050"/>
    <n v="2416050"/>
    <n v="0"/>
  </r>
  <r>
    <n v="816"/>
    <s v="House Rent Allowance - Vashi Office"/>
    <s v="Salary &amp; Wages - Vashi Office"/>
    <x v="2"/>
    <x v="3"/>
    <s v="Salary &amp; wages"/>
    <x v="4"/>
    <m/>
    <n v="0"/>
    <n v="83517"/>
    <n v="0"/>
    <n v="83517"/>
    <m/>
    <n v="0"/>
    <n v="318967"/>
    <n v="0"/>
    <n v="318967"/>
  </r>
  <r>
    <n v="817"/>
    <s v="Inter State IT"/>
    <s v="Purchase A/c (IT)"/>
    <x v="2"/>
    <x v="7"/>
    <s v="Purchase"/>
    <x v="3"/>
    <m/>
    <n v="0"/>
    <n v="0"/>
    <n v="0"/>
    <n v="0"/>
    <m/>
    <n v="0"/>
    <n v="0"/>
    <n v="0"/>
    <n v="0"/>
  </r>
  <r>
    <n v="818"/>
    <s v="Internet Charges Vashi"/>
    <s v="Vashi Expense"/>
    <x v="2"/>
    <x v="3"/>
    <s v="Telephone &amp; Internet charges"/>
    <x v="4"/>
    <m/>
    <n v="0"/>
    <n v="0"/>
    <n v="0"/>
    <n v="0"/>
    <m/>
    <n v="0"/>
    <n v="0"/>
    <n v="0"/>
    <n v="0"/>
  </r>
  <r>
    <n v="819"/>
    <s v="LIV Pure"/>
    <s v="Sundry Creditors for (Expenses)"/>
    <x v="1"/>
    <x v="1"/>
    <m/>
    <x v="1"/>
    <m/>
    <n v="0"/>
    <n v="0"/>
    <n v="0"/>
    <n v="0"/>
    <m/>
    <n v="0"/>
    <n v="6799"/>
    <n v="6799"/>
    <n v="0"/>
  </r>
  <r>
    <n v="820"/>
    <s v="New Jaora Spices"/>
    <s v="SUNDRY CREDITORS (Spice)"/>
    <x v="1"/>
    <x v="1"/>
    <m/>
    <x v="4"/>
    <m/>
    <n v="0"/>
    <n v="1128897"/>
    <n v="1128897"/>
    <n v="0"/>
    <m/>
    <n v="0"/>
    <n v="1635653"/>
    <n v="1635653"/>
    <n v="0"/>
  </r>
  <r>
    <n v="821"/>
    <s v="RADIANT SOLUTION"/>
    <s v="SUNDRY CREDITORS (Spice)"/>
    <x v="1"/>
    <x v="1"/>
    <m/>
    <x v="4"/>
    <m/>
    <n v="0"/>
    <n v="0"/>
    <n v="0"/>
    <n v="0"/>
    <m/>
    <n v="0"/>
    <n v="24600"/>
    <n v="24600"/>
    <n v="0"/>
  </r>
  <r>
    <n v="820"/>
    <s v="Maa Enterprise"/>
    <s v="SUNDRY CREDITORS (Spice)"/>
    <x v="1"/>
    <x v="1"/>
    <m/>
    <x v="4"/>
    <m/>
    <n v="-2069"/>
    <n v="2069"/>
    <n v="0"/>
    <n v="0"/>
    <m/>
    <n v="0"/>
    <n v="4749362"/>
    <n v="4749362"/>
    <n v="0"/>
  </r>
  <r>
    <n v="821"/>
    <s v="Maintenance -VASHI (URD)"/>
    <s v="SPICE EXPENSE"/>
    <x v="2"/>
    <x v="3"/>
    <s v="Repairs &amp; maintenance expenses"/>
    <x v="4"/>
    <m/>
    <n v="0"/>
    <n v="500"/>
    <n v="0"/>
    <n v="500"/>
    <m/>
    <n v="0"/>
    <n v="4180"/>
    <n v="0"/>
    <n v="4180"/>
  </r>
  <r>
    <n v="822"/>
    <s v="Petty Cash - Vashi (Turbhe)"/>
    <s v="Cash-in-Hand"/>
    <x v="0"/>
    <x v="0"/>
    <m/>
    <x v="0"/>
    <m/>
    <n v="9800"/>
    <n v="11938"/>
    <n v="13958"/>
    <n v="7780"/>
    <m/>
    <n v="0"/>
    <n v="83399.55"/>
    <n v="75619.55"/>
    <n v="7780"/>
  </r>
  <r>
    <n v="823"/>
    <s v="Printing &amp; Stationery Vashi"/>
    <s v="Vashi Expense"/>
    <x v="2"/>
    <x v="3"/>
    <s v="Printing &amp; Stationery"/>
    <x v="4"/>
    <m/>
    <n v="0"/>
    <n v="0"/>
    <n v="0"/>
    <n v="0"/>
    <m/>
    <n v="0"/>
    <n v="0"/>
    <n v="0"/>
    <n v="0"/>
  </r>
  <r>
    <n v="824"/>
    <s v="Profession Tax - Employees - Vashi Office"/>
    <s v="Duties &amp; Taxes"/>
    <x v="0"/>
    <x v="0"/>
    <m/>
    <x v="0"/>
    <m/>
    <n v="-2500"/>
    <n v="2300"/>
    <n v="600"/>
    <n v="-800"/>
    <m/>
    <n v="0"/>
    <n v="2300"/>
    <n v="3100"/>
    <n v="-800"/>
  </r>
  <r>
    <n v="825"/>
    <s v="Raigad Chamber Of Commerce &amp; Industry"/>
    <s v="SUNDRY CREDITORS (Spice)"/>
    <x v="1"/>
    <x v="1"/>
    <m/>
    <x v="4"/>
    <m/>
    <n v="0"/>
    <n v="0"/>
    <n v="0"/>
    <n v="0"/>
    <m/>
    <n v="0"/>
    <n v="4736"/>
    <n v="4736"/>
    <n v="0"/>
  </r>
  <r>
    <n v="826"/>
    <s v="Sarju Transport"/>
    <s v="SUNDRY CREDITORS (Spice)"/>
    <x v="1"/>
    <x v="1"/>
    <m/>
    <x v="4"/>
    <m/>
    <n v="0"/>
    <n v="0"/>
    <n v="0"/>
    <n v="0"/>
    <m/>
    <n v="0"/>
    <n v="6500"/>
    <n v="6500"/>
    <n v="0"/>
  </r>
  <r>
    <n v="826"/>
    <s v="Rajau Agro -Security Deposit Vashi"/>
    <s v="Security Deposit"/>
    <x v="0"/>
    <x v="0"/>
    <m/>
    <x v="0"/>
    <m/>
    <n v="0"/>
    <n v="0"/>
    <n v="0"/>
    <n v="0"/>
    <m/>
    <n v="0"/>
    <n v="0"/>
    <n v="0"/>
    <n v="0"/>
  </r>
  <r>
    <n v="827"/>
    <s v="Rivera  Hotel  Pvt. Ltd."/>
    <s v="SUNDRY CREDITORS (Spice)"/>
    <x v="1"/>
    <x v="1"/>
    <m/>
    <x v="4"/>
    <m/>
    <n v="0"/>
    <n v="0"/>
    <n v="0"/>
    <n v="0"/>
    <m/>
    <n v="0"/>
    <n v="6342"/>
    <n v="6342"/>
    <n v="0"/>
  </r>
  <r>
    <n v="828"/>
    <s v="Sar Transport Systems Private Limited"/>
    <s v="SUNDRY CREDITORS (Spice)"/>
    <x v="1"/>
    <x v="1"/>
    <m/>
    <x v="4"/>
    <m/>
    <n v="0"/>
    <n v="21660"/>
    <n v="21660"/>
    <n v="0"/>
    <m/>
    <n v="0"/>
    <n v="104585"/>
    <n v="104585"/>
    <n v="0"/>
  </r>
  <r>
    <n v="828"/>
    <s v="S R Packaging Ind."/>
    <s v="SUNDRY CREDITORS (Spice)"/>
    <x v="1"/>
    <x v="1"/>
    <m/>
    <x v="4"/>
    <m/>
    <n v="0"/>
    <n v="33205"/>
    <n v="33205"/>
    <n v="0"/>
    <m/>
    <n v="0"/>
    <n v="95601"/>
    <n v="95601"/>
    <n v="0"/>
  </r>
  <r>
    <n v="829"/>
    <s v="Spized Organics"/>
    <s v="SUNDRY CREDITORS (Spice)"/>
    <x v="1"/>
    <x v="1"/>
    <m/>
    <x v="4"/>
    <m/>
    <n v="8785"/>
    <n v="9987215"/>
    <n v="9996000"/>
    <n v="0"/>
    <m/>
    <n v="0"/>
    <n v="24470460"/>
    <n v="24470460"/>
    <n v="0"/>
  </r>
  <r>
    <n v="830"/>
    <s v="ST. FRANCIS CAR AIR"/>
    <s v="Sundry Creditors"/>
    <x v="1"/>
    <x v="1"/>
    <m/>
    <x v="1"/>
    <m/>
    <n v="0"/>
    <n v="0"/>
    <n v="0"/>
    <n v="0"/>
    <m/>
    <n v="0"/>
    <n v="34810"/>
    <n v="34810"/>
    <n v="0"/>
  </r>
  <r>
    <n v="829"/>
    <s v="Sasman Overseas Export Import Private Limited"/>
    <s v="SUNDRY CREDITORS (Spice)"/>
    <x v="1"/>
    <x v="1"/>
    <m/>
    <x v="4"/>
    <m/>
    <n v="-4843178"/>
    <n v="2349878"/>
    <n v="0"/>
    <n v="-2493300"/>
    <m/>
    <n v="0"/>
    <n v="4628400"/>
    <n v="7121700"/>
    <n v="-2493300"/>
  </r>
  <r>
    <n v="830"/>
    <s v="Shree Jaliyan Agri"/>
    <s v="SUNDRY CREDITORS (Spice)"/>
    <x v="1"/>
    <x v="1"/>
    <m/>
    <x v="4"/>
    <m/>
    <n v="0"/>
    <n v="551250"/>
    <n v="551250"/>
    <n v="0"/>
    <m/>
    <n v="0"/>
    <n v="1030050"/>
    <n v="1030050"/>
    <n v="0"/>
  </r>
  <r>
    <n v="831"/>
    <s v="Swakul Agro Producer Company Limited"/>
    <s v="SUNDRY CREDITORS (Spice)"/>
    <x v="1"/>
    <x v="1"/>
    <m/>
    <x v="4"/>
    <m/>
    <n v="0"/>
    <n v="0"/>
    <n v="0"/>
    <n v="0"/>
    <m/>
    <n v="0"/>
    <n v="148000"/>
    <n v="148000"/>
    <n v="0"/>
  </r>
  <r>
    <n v="832"/>
    <s v="TDS on 94H"/>
    <s v="TDS &amp; TCS PAYABLE"/>
    <x v="0"/>
    <x v="0"/>
    <m/>
    <x v="0"/>
    <m/>
    <n v="0"/>
    <n v="0"/>
    <n v="0"/>
    <n v="0"/>
    <m/>
    <n v="0"/>
    <n v="0"/>
    <n v="0"/>
    <n v="0"/>
  </r>
  <r>
    <n v="831"/>
    <s v="Siddhi Enterprises"/>
    <s v="SUNDRY CREDITORS (Spice)"/>
    <x v="1"/>
    <x v="1"/>
    <m/>
    <x v="4"/>
    <m/>
    <n v="0"/>
    <n v="44972"/>
    <n v="44972"/>
    <n v="0"/>
    <m/>
    <n v="0"/>
    <n v="84823"/>
    <n v="84823"/>
    <n v="0"/>
  </r>
  <r>
    <n v="832"/>
    <s v="TDS On Salary"/>
    <s v="TDS &amp; TCS PAYABLE"/>
    <x v="0"/>
    <x v="0"/>
    <m/>
    <x v="0"/>
    <m/>
    <n v="-40000"/>
    <n v="40000"/>
    <n v="40667"/>
    <n v="-40667"/>
    <m/>
    <n v="0"/>
    <n v="104666"/>
    <n v="145333"/>
    <n v="-40667"/>
  </r>
  <r>
    <n v="832"/>
    <s v="Sky international"/>
    <s v="SUNDRY CREDITORS (Spice)"/>
    <x v="1"/>
    <x v="1"/>
    <m/>
    <x v="4"/>
    <m/>
    <n v="0"/>
    <n v="2734200"/>
    <n v="2734200"/>
    <n v="0"/>
    <m/>
    <n v="0"/>
    <n v="5666183"/>
    <n v="5666183"/>
    <n v="0"/>
  </r>
  <r>
    <n v="833"/>
    <s v="TDS on Salary 192B"/>
    <s v="TDS &amp; TCS PAYABLE"/>
    <x v="0"/>
    <x v="0"/>
    <m/>
    <x v="0"/>
    <m/>
    <n v="0"/>
    <n v="0"/>
    <n v="0"/>
    <n v="0"/>
    <m/>
    <n v="0"/>
    <n v="0"/>
    <n v="0"/>
    <n v="0"/>
  </r>
  <r>
    <n v="833"/>
    <s v="Special Allowance-Vashi Office"/>
    <s v="Salary &amp; Wages - Vashi Office"/>
    <x v="2"/>
    <x v="3"/>
    <s v="Salary &amp; wages"/>
    <x v="4"/>
    <m/>
    <n v="0"/>
    <n v="87433"/>
    <n v="0"/>
    <n v="87433"/>
    <m/>
    <n v="0"/>
    <n v="314033"/>
    <n v="0"/>
    <n v="314033"/>
  </r>
  <r>
    <n v="834"/>
    <s v="Tele, Fax &amp; E-Mail (GST 18%) Spice"/>
    <s v="SPICE EXPENSE"/>
    <x v="2"/>
    <x v="3"/>
    <s v="Telephone &amp; Internet charges"/>
    <x v="4"/>
    <m/>
    <n v="0"/>
    <n v="499"/>
    <n v="0"/>
    <n v="499"/>
    <m/>
    <n v="0"/>
    <n v="1384.32"/>
    <n v="0"/>
    <n v="1384.32"/>
  </r>
  <r>
    <n v="834"/>
    <s v="Sundry Expense-Vashi"/>
    <s v="Vashi Expense"/>
    <x v="2"/>
    <x v="3"/>
    <s v="Misc Expenses"/>
    <x v="4"/>
    <m/>
    <n v="0"/>
    <n v="5300"/>
    <n v="0"/>
    <n v="5300"/>
    <m/>
    <n v="0"/>
    <n v="9729"/>
    <n v="0"/>
    <n v="9729"/>
  </r>
  <r>
    <n v="835"/>
    <s v="Terminal Handling-INC - Spice"/>
    <s v="SPICE EXPENSE"/>
    <x v="2"/>
    <x v="4"/>
    <s v="Freight &amp; Shipping charges"/>
    <x v="4"/>
    <m/>
    <n v="0"/>
    <n v="174575"/>
    <n v="0"/>
    <n v="174575"/>
    <m/>
    <n v="0"/>
    <n v="348885"/>
    <n v="0"/>
    <n v="348885"/>
  </r>
  <r>
    <n v="835"/>
    <s v="TDS On Salary 10% - 194J"/>
    <s v="TDS &amp; TCS PAYABLE"/>
    <x v="0"/>
    <x v="0"/>
    <m/>
    <x v="0"/>
    <m/>
    <n v="0"/>
    <n v="0"/>
    <n v="0"/>
    <n v="0"/>
    <m/>
    <n v="0"/>
    <n v="0"/>
    <n v="0"/>
    <n v="0"/>
  </r>
  <r>
    <n v="836"/>
    <s v="Toll Fee - Spice"/>
    <s v="SPICE EXPENSE"/>
    <x v="2"/>
    <x v="3"/>
    <s v="Travelling expenses"/>
    <x v="4"/>
    <m/>
    <n v="0"/>
    <n v="5395.95"/>
    <n v="0"/>
    <n v="5395.95"/>
    <m/>
    <n v="0"/>
    <n v="14636.95"/>
    <n v="0"/>
    <n v="14636.95"/>
  </r>
  <r>
    <n v="836"/>
    <s v="The Indian Soil Mart Co. Ltd"/>
    <s v="Sundry Debtors"/>
    <x v="1"/>
    <x v="2"/>
    <m/>
    <x v="4"/>
    <m/>
    <n v="2489532"/>
    <n v="2631747"/>
    <n v="2556565.9700000002"/>
    <n v="2564713.0299999998"/>
    <m/>
    <n v="0"/>
    <n v="7596098.04"/>
    <n v="5031385.01"/>
    <n v="2564713.0299999998"/>
  </r>
  <r>
    <n v="837"/>
    <s v="TRANSPORTATION CHARGE (SPICE) RCM"/>
    <s v="SPICE EXPENSE"/>
    <x v="2"/>
    <x v="3"/>
    <s v="Transportation"/>
    <x v="4"/>
    <m/>
    <n v="0"/>
    <n v="0"/>
    <n v="0"/>
    <n v="0"/>
    <m/>
    <n v="0"/>
    <n v="0"/>
    <n v="0"/>
    <n v="0"/>
  </r>
  <r>
    <n v="837"/>
    <s v="VALEMOUNT TRADING PROPRIETARY LIMITED"/>
    <s v="Sundry Debtors Spice"/>
    <x v="1"/>
    <x v="2"/>
    <m/>
    <x v="4"/>
    <m/>
    <n v="5226962.4400000004"/>
    <n v="6743803"/>
    <n v="3599664.85"/>
    <n v="8371100.5899999999"/>
    <m/>
    <n v="0"/>
    <n v="14662803.029999999"/>
    <n v="6291702.4400000004"/>
    <n v="8371100.5899999999"/>
  </r>
  <r>
    <n v="838"/>
    <s v="CFS-Charges Spice"/>
    <s v="SPICE EXPENSE"/>
    <x v="2"/>
    <x v="4"/>
    <s v="Freight &amp; Shipping charges"/>
    <x v="4"/>
    <m/>
    <n v="0"/>
    <n v="0"/>
    <n v="0"/>
    <n v="0"/>
    <m/>
    <n v="0"/>
    <n v="206725"/>
    <n v="0"/>
    <n v="206725"/>
  </r>
  <r>
    <n v="838"/>
    <s v="Interest Received"/>
    <s v="Interest Income"/>
    <x v="2"/>
    <x v="5"/>
    <s v="Interest Income"/>
    <x v="1"/>
    <m/>
    <n v="0"/>
    <n v="0"/>
    <n v="0"/>
    <n v="0"/>
    <m/>
    <n v="0"/>
    <n v="0"/>
    <n v="14424"/>
    <n v="-14424"/>
  </r>
  <r>
    <n v="839"/>
    <s v="Examination + Certificate Charges-Spice"/>
    <s v="SPICE EXPENSE"/>
    <x v="2"/>
    <x v="4"/>
    <s v="Freight &amp; Shipping charges"/>
    <x v="4"/>
    <m/>
    <n v="0"/>
    <n v="0"/>
    <n v="0"/>
    <n v="0"/>
    <m/>
    <n v="0"/>
    <n v="0"/>
    <n v="0"/>
    <n v="0"/>
  </r>
  <r>
    <n v="839"/>
    <s v="Courier Charges (URD) (VASHI)"/>
    <s v="SPICE EXPENSE"/>
    <x v="2"/>
    <x v="3"/>
    <s v="Courier charges"/>
    <x v="4"/>
    <m/>
    <n v="0"/>
    <n v="350"/>
    <n v="0"/>
    <n v="350"/>
    <m/>
    <n v="0"/>
    <n v="700"/>
    <n v="0"/>
    <n v="700"/>
  </r>
  <r>
    <n v="840"/>
    <s v="Fumigation Charges Spice"/>
    <s v="SPICE EXPENSE"/>
    <x v="2"/>
    <x v="4"/>
    <s v="Freight &amp; Shipping charges"/>
    <x v="4"/>
    <m/>
    <n v="0"/>
    <n v="4200"/>
    <n v="0"/>
    <n v="4200"/>
    <m/>
    <n v="0"/>
    <n v="22400"/>
    <n v="0"/>
    <n v="22400"/>
  </r>
  <r>
    <n v="840"/>
    <s v="Packing Charges (5%) - Vashi"/>
    <s v="Vashi Expense"/>
    <x v="2"/>
    <x v="3"/>
    <s v="Packing Charges"/>
    <x v="4"/>
    <m/>
    <n v="0"/>
    <n v="0"/>
    <n v="0"/>
    <n v="0"/>
    <m/>
    <n v="0"/>
    <n v="0"/>
    <n v="0"/>
    <n v="0"/>
  </r>
  <r>
    <n v="841"/>
    <s v="Mix Cargo Spice"/>
    <s v="SPICE EXPENSE"/>
    <x v="2"/>
    <x v="4"/>
    <s v="Freight &amp; Shipping charges"/>
    <x v="4"/>
    <m/>
    <n v="0"/>
    <n v="0"/>
    <n v="0"/>
    <n v="0"/>
    <m/>
    <n v="0"/>
    <n v="12520"/>
    <n v="0"/>
    <n v="12520"/>
  </r>
  <r>
    <n v="841"/>
    <s v="Rent For Vashi Office-Turbhe"/>
    <s v="Vashi Expense"/>
    <x v="2"/>
    <x v="3"/>
    <s v="Rent expenses"/>
    <x v="4"/>
    <m/>
    <n v="0"/>
    <n v="28000"/>
    <n v="0"/>
    <n v="28000"/>
    <m/>
    <n v="0"/>
    <n v="112000"/>
    <n v="0"/>
    <n v="112000"/>
  </r>
  <r>
    <n v="842"/>
    <s v="On Wheel Clearance - Spice"/>
    <s v="SPICE EXPENSE"/>
    <x v="2"/>
    <x v="4"/>
    <s v="Freight &amp; Shipping charges"/>
    <x v="4"/>
    <m/>
    <n v="0"/>
    <n v="0"/>
    <n v="0"/>
    <n v="0"/>
    <m/>
    <n v="0"/>
    <n v="60000"/>
    <n v="0"/>
    <n v="60000"/>
  </r>
  <r>
    <n v="842"/>
    <s v="Tours &amp; Travals Air Ticket &amp; Visa Expense (SPICE)"/>
    <s v="SPICE EXPENSE"/>
    <x v="2"/>
    <x v="3"/>
    <s v="Travelling expenses"/>
    <x v="8"/>
    <m/>
    <n v="0"/>
    <n v="1199284"/>
    <n v="185971"/>
    <n v="1013313"/>
    <m/>
    <n v="0"/>
    <n v="4671381.9000000004"/>
    <n v="758470"/>
    <n v="3912911.9"/>
  </r>
  <r>
    <n v="843"/>
    <s v="Phyto Charges Sale - Spice"/>
    <s v="SPICE EXPENSE"/>
    <x v="2"/>
    <x v="3"/>
    <s v="Misc Expenses"/>
    <x v="4"/>
    <m/>
    <n v="0"/>
    <n v="4000"/>
    <n v="0"/>
    <n v="4000"/>
    <m/>
    <n v="0"/>
    <n v="29700"/>
    <n v="0"/>
    <n v="29700"/>
  </r>
  <r>
    <n v="843"/>
    <s v="Audit Fees (18%)"/>
    <s v="COMMON EXPENSE"/>
    <x v="2"/>
    <x v="3"/>
    <s v="Audit Fees"/>
    <x v="1"/>
    <m/>
    <n v="0"/>
    <n v="0"/>
    <n v="0"/>
    <n v="0"/>
    <m/>
    <n v="0"/>
    <n v="220000"/>
    <n v="0"/>
    <n v="220000"/>
  </r>
  <r>
    <n v="844"/>
    <s v="Transport - Spice"/>
    <s v="SPICE EXPENSE"/>
    <x v="2"/>
    <x v="3"/>
    <s v="Transportation"/>
    <x v="4"/>
    <m/>
    <n v="0"/>
    <n v="126600"/>
    <n v="0"/>
    <n v="126600"/>
    <m/>
    <n v="0"/>
    <n v="409050"/>
    <n v="0"/>
    <n v="409050"/>
  </r>
  <r>
    <n v="844"/>
    <s v="Printing &amp; Stationery - Office"/>
    <s v="OFFICE EXPENSE"/>
    <x v="2"/>
    <x v="3"/>
    <s v="Printing &amp; Stationery"/>
    <x v="1"/>
    <m/>
    <n v="0"/>
    <n v="10785"/>
    <n v="0"/>
    <n v="10785"/>
    <m/>
    <n v="0"/>
    <n v="23852"/>
    <n v="0"/>
    <n v="23852"/>
  </r>
  <r>
    <n v="845"/>
    <s v="VGM Charges - Spice"/>
    <s v="SPICE EXPENSE"/>
    <x v="2"/>
    <x v="4"/>
    <s v="Freight &amp; Shipping charges"/>
    <x v="4"/>
    <m/>
    <n v="0"/>
    <n v="0"/>
    <n v="0"/>
    <n v="0"/>
    <m/>
    <n v="0"/>
    <n v="7750"/>
    <n v="0"/>
    <n v="7750"/>
  </r>
  <r>
    <n v="845"/>
    <s v="Falguni D Mehta-Vashi Office"/>
    <s v="SUNDRY CREDITORS (Spice)"/>
    <x v="1"/>
    <x v="1"/>
    <m/>
    <x v="4"/>
    <m/>
    <n v="-25200"/>
    <n v="25200"/>
    <n v="25200"/>
    <n v="-25200"/>
    <m/>
    <n v="0"/>
    <n v="75600"/>
    <n v="100800"/>
    <n v="-25200"/>
  </r>
  <r>
    <n v="846"/>
    <s v="Jeyam Trading Company"/>
    <s v="SUNDRY CREDITORS (Spice)"/>
    <x v="1"/>
    <x v="1"/>
    <m/>
    <x v="4"/>
    <m/>
    <n v="11800"/>
    <n v="0"/>
    <n v="0"/>
    <n v="11800"/>
    <m/>
    <n v="0"/>
    <n v="17651800"/>
    <n v="17640000"/>
    <n v="11800"/>
  </r>
  <r>
    <n v="847"/>
    <s v="MUC-SPICE"/>
    <s v="SPICE EXPENSE"/>
    <x v="2"/>
    <x v="4"/>
    <s v="Port Expenses"/>
    <x v="4"/>
    <m/>
    <n v="0"/>
    <n v="680"/>
    <n v="0"/>
    <n v="680"/>
    <m/>
    <n v="0"/>
    <n v="1025"/>
    <n v="0"/>
    <n v="1025"/>
  </r>
  <r>
    <n v="847"/>
    <s v="JNG &amp; Co. LLP"/>
    <s v="Sundry Creditors"/>
    <x v="1"/>
    <x v="1"/>
    <m/>
    <x v="1"/>
    <m/>
    <n v="100000"/>
    <n v="0"/>
    <n v="0"/>
    <n v="100000"/>
    <m/>
    <n v="0"/>
    <n v="100000"/>
    <n v="0"/>
    <n v="100000"/>
  </r>
  <r>
    <n v="848"/>
    <s v="STALLCRAFT DESIGNS"/>
    <s v="SUNDRY CREDITORS (Spice)"/>
    <x v="1"/>
    <x v="1"/>
    <m/>
    <x v="4"/>
    <m/>
    <n v="0"/>
    <n v="0"/>
    <n v="0"/>
    <n v="0"/>
    <m/>
    <n v="0"/>
    <n v="154344"/>
    <n v="154344"/>
    <n v="0"/>
  </r>
  <r>
    <n v="849"/>
    <s v="SUNSHINE STATIONERES"/>
    <s v="Sundry Creditors for (Expenses)"/>
    <x v="1"/>
    <x v="1"/>
    <m/>
    <x v="1"/>
    <m/>
    <n v="0"/>
    <n v="7918"/>
    <n v="7918"/>
    <n v="0"/>
    <m/>
    <n v="0"/>
    <n v="13534"/>
    <n v="13534"/>
    <n v="0"/>
  </r>
  <r>
    <n v="850"/>
    <s v="Food Safety and Standards Authority of India"/>
    <s v="Sundry Creditors for (OFFICE)"/>
    <x v="1"/>
    <x v="1"/>
    <m/>
    <x v="1"/>
    <m/>
    <n v="0"/>
    <n v="0"/>
    <n v="0"/>
    <n v="0"/>
    <m/>
    <n v="0"/>
    <n v="8850"/>
    <n v="8850"/>
    <n v="0"/>
  </r>
  <r>
    <n v="850"/>
    <s v="Creative Agency Charges-Spice"/>
    <s v="SPICE EXPENSE"/>
    <x v="2"/>
    <x v="3"/>
    <s v="Creative agency charges"/>
    <x v="8"/>
    <m/>
    <n v="0"/>
    <n v="0"/>
    <n v="0"/>
    <n v="0"/>
    <m/>
    <n v="0"/>
    <n v="418005"/>
    <n v="0"/>
    <n v="418005"/>
  </r>
  <r>
    <n v="851"/>
    <s v="Labh Corporation"/>
    <s v="SUNDRY CREDITORS (Spice)"/>
    <x v="1"/>
    <x v="1"/>
    <m/>
    <x v="4"/>
    <m/>
    <n v="0"/>
    <n v="1013253"/>
    <n v="1013253"/>
    <n v="0"/>
    <m/>
    <n v="0"/>
    <n v="1365004"/>
    <n v="1365004"/>
    <n v="0"/>
  </r>
  <r>
    <n v="851"/>
    <s v="Software Subscription Fee-Office"/>
    <s v="OFFICE EXPENSE"/>
    <x v="2"/>
    <x v="3"/>
    <s v="Subscription fees"/>
    <x v="1"/>
    <m/>
    <n v="0"/>
    <n v="0"/>
    <n v="0"/>
    <n v="0"/>
    <m/>
    <n v="0"/>
    <n v="12194.92"/>
    <n v="0"/>
    <n v="12194.92"/>
  </r>
  <r>
    <n v="852"/>
    <s v="Madhusudan Agent"/>
    <s v="Sundry Creditors for (OFFICE)"/>
    <x v="1"/>
    <x v="1"/>
    <m/>
    <x v="1"/>
    <m/>
    <n v="0"/>
    <n v="0"/>
    <n v="0"/>
    <n v="0"/>
    <m/>
    <n v="0"/>
    <n v="0"/>
    <n v="0"/>
    <n v="0"/>
  </r>
  <r>
    <n v="852"/>
    <s v="Maintenance -Factory (URD)"/>
    <s v="FACTORY EXPENSE"/>
    <x v="2"/>
    <x v="3"/>
    <s v="Repairs &amp; maintenance expenses"/>
    <x v="1"/>
    <m/>
    <n v="0"/>
    <n v="0"/>
    <n v="0"/>
    <n v="0"/>
    <m/>
    <n v="0"/>
    <n v="2070"/>
    <n v="0"/>
    <n v="2070"/>
  </r>
  <r>
    <n v="853"/>
    <s v="Printing &amp; Stationery - Factory"/>
    <s v="FACTORY EXPENSE"/>
    <x v="2"/>
    <x v="3"/>
    <s v="Printing &amp; Stationery"/>
    <x v="1"/>
    <m/>
    <n v="0"/>
    <n v="30"/>
    <n v="0"/>
    <n v="30"/>
    <m/>
    <n v="0"/>
    <n v="1400"/>
    <n v="0"/>
    <n v="1400"/>
  </r>
  <r>
    <n v="854"/>
    <s v="Agent Charges-Spice"/>
    <s v="SPICE EXPENSE"/>
    <x v="2"/>
    <x v="3"/>
    <s v="Misc Expenses"/>
    <x v="8"/>
    <m/>
    <n v="0"/>
    <n v="10000"/>
    <n v="0"/>
    <n v="10000"/>
    <m/>
    <n v="0"/>
    <n v="38100"/>
    <n v="0"/>
    <n v="38100"/>
  </r>
  <r>
    <n v="855"/>
    <s v="AMJAD AYMAN ALAMOURI &amp; PARTNERS CO."/>
    <s v="Sundry Debtors Spice"/>
    <x v="1"/>
    <x v="2"/>
    <m/>
    <x v="4"/>
    <m/>
    <n v="116549.81"/>
    <n v="0"/>
    <n v="0"/>
    <n v="116549.81"/>
    <m/>
    <n v="0"/>
    <n v="2476377.42"/>
    <n v="2359827.61"/>
    <n v="116549.81"/>
  </r>
  <r>
    <n v="856"/>
    <s v="ASUS X 1400EA-EK543WS"/>
    <s v="Office Equipment"/>
    <x v="1"/>
    <x v="0"/>
    <m/>
    <x v="0"/>
    <m/>
    <n v="26694.92"/>
    <n v="0"/>
    <n v="0"/>
    <n v="26694.92"/>
    <m/>
    <n v="0"/>
    <n v="26694.92"/>
    <n v="0"/>
    <n v="26694.92"/>
  </r>
  <r>
    <n v="857"/>
    <s v="AFRIZON TRADING COMPANY LIMITED"/>
    <s v="SUNDRY CREDITORS (Spice)"/>
    <x v="1"/>
    <x v="1"/>
    <m/>
    <x v="4"/>
    <m/>
    <n v="0"/>
    <n v="2121504"/>
    <n v="0"/>
    <n v="2121504"/>
    <m/>
    <n v="0"/>
    <n v="2121504"/>
    <n v="0"/>
    <n v="2121504"/>
  </r>
  <r>
    <n v="858"/>
    <s v="Auditor Allowance - Spice"/>
    <s v="SPICE EXPENSE"/>
    <x v="2"/>
    <x v="3"/>
    <s v="Audit Fees"/>
    <x v="8"/>
    <m/>
    <n v="0"/>
    <n v="0"/>
    <n v="0"/>
    <n v="0"/>
    <m/>
    <n v="0"/>
    <n v="0"/>
    <n v="0"/>
    <n v="0"/>
  </r>
  <r>
    <n v="859"/>
    <s v="Badani Industries"/>
    <s v="SUNDRY CREDITORS (Spice)"/>
    <x v="1"/>
    <x v="1"/>
    <m/>
    <x v="4"/>
    <m/>
    <n v="0"/>
    <n v="663348"/>
    <n v="663348"/>
    <n v="0"/>
    <m/>
    <n v="0"/>
    <n v="3329823"/>
    <n v="3329823"/>
    <n v="0"/>
  </r>
  <r>
    <n v="860"/>
    <s v="Chennai Taxi"/>
    <s v="Indirect Expenses"/>
    <x v="2"/>
    <x v="3"/>
    <s v="Travelling expenses"/>
    <x v="1"/>
    <m/>
    <n v="0"/>
    <n v="0"/>
    <n v="0"/>
    <n v="0"/>
    <m/>
    <n v="0"/>
    <n v="0"/>
    <n v="0"/>
    <n v="0"/>
  </r>
  <r>
    <n v="861"/>
    <s v="Consultancy-Spice"/>
    <s v="SPICE EXPENSE"/>
    <x v="2"/>
    <x v="3"/>
    <s v="Professional charges"/>
    <x v="8"/>
    <m/>
    <n v="0"/>
    <n v="0"/>
    <n v="0"/>
    <n v="0"/>
    <m/>
    <n v="0"/>
    <n v="29197"/>
    <n v="0"/>
    <n v="29197"/>
  </r>
  <r>
    <n v="862"/>
    <s v="DELHI TAXI"/>
    <s v="Indirect Expenses"/>
    <x v="2"/>
    <x v="3"/>
    <s v="Travelling expenses"/>
    <x v="1"/>
    <m/>
    <n v="0"/>
    <n v="0"/>
    <n v="0"/>
    <n v="0"/>
    <m/>
    <n v="0"/>
    <n v="0"/>
    <n v="0"/>
    <n v="0"/>
  </r>
  <r>
    <n v="863"/>
    <s v="Dnr Agri Exports"/>
    <s v="SUNDRY CREDITORS (Spice)"/>
    <x v="1"/>
    <x v="1"/>
    <m/>
    <x v="4"/>
    <m/>
    <n v="0"/>
    <n v="0"/>
    <n v="0"/>
    <n v="0"/>
    <m/>
    <n v="0"/>
    <n v="436450"/>
    <n v="436450"/>
    <n v="0"/>
  </r>
  <r>
    <n v="864"/>
    <s v="Facilitation Charges Spice"/>
    <s v="SPICE EXPENSE"/>
    <x v="2"/>
    <x v="3"/>
    <s v="Port Expenses"/>
    <x v="4"/>
    <m/>
    <n v="0"/>
    <n v="0"/>
    <n v="0"/>
    <n v="0"/>
    <m/>
    <n v="0"/>
    <n v="200"/>
    <n v="0"/>
    <n v="200"/>
  </r>
  <r>
    <n v="865"/>
    <s v="FD WITH ICICI BANK FD NO-034813016647"/>
    <s v="FDR WITH ICICI BANK"/>
    <x v="0"/>
    <x v="0"/>
    <m/>
    <x v="0"/>
    <m/>
    <n v="2691229.34"/>
    <n v="0"/>
    <n v="0"/>
    <n v="2691229.34"/>
    <m/>
    <n v="0"/>
    <n v="5000000"/>
    <n v="2308770.66"/>
    <n v="2691229.34"/>
  </r>
  <r>
    <n v="866"/>
    <s v="FD WITH ICICI BANK FD NO-034813016648"/>
    <s v="FDR WITH ICICI BANK"/>
    <x v="0"/>
    <x v="0"/>
    <m/>
    <x v="0"/>
    <m/>
    <n v="-2691229.34"/>
    <n v="0"/>
    <n v="0"/>
    <n v="-2691229.34"/>
    <m/>
    <n v="0"/>
    <n v="5000000"/>
    <n v="7691229.3399999999"/>
    <n v="-2691229.34"/>
  </r>
  <r>
    <n v="867"/>
    <s v="Harshvika Trading Co"/>
    <s v="SUNDRY CREDITORS (Spice)"/>
    <x v="1"/>
    <x v="1"/>
    <m/>
    <x v="4"/>
    <m/>
    <n v="0"/>
    <n v="2552000"/>
    <n v="2652000"/>
    <n v="-100000"/>
    <m/>
    <n v="0"/>
    <n v="2552000"/>
    <n v="2652000"/>
    <n v="-100000"/>
  </r>
  <r>
    <n v="868"/>
    <s v="KHASSIM DABO-UNITECH INTERNATIONAL FZC LLC"/>
    <s v="Sundry Debtors Spice"/>
    <x v="1"/>
    <x v="2"/>
    <m/>
    <x v="4"/>
    <m/>
    <n v="-286263.23"/>
    <n v="3939936"/>
    <n v="0"/>
    <n v="3653672.77"/>
    <m/>
    <n v="0"/>
    <n v="3939936"/>
    <n v="286263.23"/>
    <n v="3653672.77"/>
  </r>
  <r>
    <n v="869"/>
    <s v="Khatau &amp; Sons"/>
    <s v="SUNDRY CREDITORS (Spice)"/>
    <x v="1"/>
    <x v="1"/>
    <m/>
    <x v="4"/>
    <m/>
    <n v="-2065"/>
    <n v="3319"/>
    <n v="1254"/>
    <n v="0"/>
    <m/>
    <n v="0"/>
    <n v="3319"/>
    <n v="3319"/>
    <n v="0"/>
  </r>
  <r>
    <n v="870"/>
    <s v="LABOUR JOB EXP (SPICE) - 18%"/>
    <s v="Vashi Expense"/>
    <x v="2"/>
    <x v="3"/>
    <s v="Labour charges"/>
    <x v="4"/>
    <m/>
    <n v="0"/>
    <n v="260000"/>
    <n v="0"/>
    <n v="260000"/>
    <m/>
    <n v="0"/>
    <n v="260500"/>
    <n v="0"/>
    <n v="260500"/>
  </r>
  <r>
    <n v="871"/>
    <s v="MADHUSUDHANAN S.M. EXPORTS IMPORTS CONSULTANCY"/>
    <s v="SUNDRY CREDITORS (Spice)"/>
    <x v="1"/>
    <x v="1"/>
    <m/>
    <x v="4"/>
    <m/>
    <n v="-30377"/>
    <n v="23375"/>
    <n v="0"/>
    <n v="-7002"/>
    <m/>
    <n v="0"/>
    <n v="32325"/>
    <n v="39327"/>
    <n v="-7002"/>
  </r>
  <r>
    <n v="872"/>
    <s v="Navkar Enterprise"/>
    <s v="Sundry Creditors (Transports/Logistics)"/>
    <x v="1"/>
    <x v="1"/>
    <m/>
    <x v="1"/>
    <m/>
    <n v="0"/>
    <n v="306800"/>
    <n v="306800"/>
    <n v="0"/>
    <m/>
    <n v="0"/>
    <n v="306800"/>
    <n v="306800"/>
    <n v="0"/>
  </r>
  <r>
    <n v="873"/>
    <s v="PACK SEALS INDUSTRIES"/>
    <s v="Sundry Creditors (Transports/Logistics)"/>
    <x v="1"/>
    <x v="1"/>
    <m/>
    <x v="1"/>
    <m/>
    <n v="0"/>
    <n v="0"/>
    <n v="0"/>
    <n v="0"/>
    <m/>
    <n v="0"/>
    <n v="5457.5"/>
    <n v="5457.5"/>
    <n v="0"/>
  </r>
  <r>
    <n v="874"/>
    <s v="Patel Retail Limited"/>
    <s v="SUNDRY CREDITORS (Spice)"/>
    <x v="1"/>
    <x v="1"/>
    <m/>
    <x v="4"/>
    <m/>
    <n v="-50000"/>
    <n v="0"/>
    <n v="0"/>
    <n v="-50000"/>
    <m/>
    <n v="0"/>
    <n v="4757040"/>
    <n v="4807040"/>
    <n v="-50000"/>
  </r>
  <r>
    <n v="875"/>
    <s v="Professional Charges (Spice)"/>
    <s v="SPICE EXPENSE"/>
    <x v="2"/>
    <x v="3"/>
    <s v="Professional charges"/>
    <x v="8"/>
    <m/>
    <n v="0"/>
    <n v="0"/>
    <n v="0"/>
    <n v="0"/>
    <m/>
    <n v="0"/>
    <n v="3168"/>
    <n v="0"/>
    <n v="3168"/>
  </r>
  <r>
    <n v="876"/>
    <s v="Professional Fees - 18% (Spice)"/>
    <s v="Vashi Expense"/>
    <x v="2"/>
    <x v="3"/>
    <s v="Professional charges"/>
    <x v="8"/>
    <m/>
    <n v="0"/>
    <n v="0"/>
    <n v="0"/>
    <n v="0"/>
    <m/>
    <n v="0"/>
    <n v="16000"/>
    <n v="0"/>
    <n v="16000"/>
  </r>
  <r>
    <n v="877"/>
    <s v="Ramdas Sales India Private Limited"/>
    <s v="Sundry Debtors"/>
    <x v="1"/>
    <x v="2"/>
    <m/>
    <x v="1"/>
    <m/>
    <n v="0"/>
    <n v="0"/>
    <n v="0"/>
    <n v="0"/>
    <m/>
    <n v="0"/>
    <n v="0"/>
    <n v="0"/>
    <n v="0"/>
  </r>
  <r>
    <n v="878"/>
    <s v="Reimbursement-Spice"/>
    <s v="SPICE EXPENSE"/>
    <x v="2"/>
    <x v="3"/>
    <s v="Travelling expenses"/>
    <x v="4"/>
    <m/>
    <n v="0"/>
    <n v="0"/>
    <n v="0"/>
    <n v="0"/>
    <m/>
    <n v="0"/>
    <n v="0"/>
    <n v="0"/>
    <n v="0"/>
  </r>
  <r>
    <n v="879"/>
    <s v="Repair &amp; Maintenance - URD (Office)"/>
    <s v="OFFICE EXPENSE"/>
    <x v="2"/>
    <x v="3"/>
    <s v="Repairs &amp; maintenance expenses"/>
    <x v="1"/>
    <m/>
    <n v="0"/>
    <n v="0"/>
    <n v="0"/>
    <n v="0"/>
    <m/>
    <n v="0"/>
    <n v="124100"/>
    <n v="0"/>
    <n v="124100"/>
  </r>
  <r>
    <n v="880"/>
    <s v="Sahebjee Enterprises"/>
    <s v="Sundry Creditors (Transports/Logistics)"/>
    <x v="1"/>
    <x v="1"/>
    <m/>
    <x v="1"/>
    <m/>
    <n v="-79006"/>
    <n v="161922"/>
    <n v="82916"/>
    <n v="0"/>
    <m/>
    <n v="0"/>
    <n v="161922"/>
    <n v="161922"/>
    <n v="0"/>
  </r>
  <r>
    <n v="881"/>
    <s v="Samkit Advertising"/>
    <s v="Sundry Creditors"/>
    <x v="1"/>
    <x v="1"/>
    <m/>
    <x v="1"/>
    <m/>
    <n v="0"/>
    <n v="0"/>
    <n v="0"/>
    <n v="0"/>
    <m/>
    <n v="0"/>
    <n v="0"/>
    <n v="0"/>
    <n v="0"/>
  </r>
  <r>
    <n v="882"/>
    <s v="Shree Bhagwati Agro Process"/>
    <s v="SUNDRY CREDITORS (Spice)"/>
    <x v="1"/>
    <x v="1"/>
    <m/>
    <x v="4"/>
    <m/>
    <n v="-161460"/>
    <n v="161460"/>
    <n v="2146725"/>
    <n v="-2146725"/>
    <m/>
    <n v="0"/>
    <n v="2808000"/>
    <n v="4954725"/>
    <n v="-2146725"/>
  </r>
  <r>
    <n v="883"/>
    <s v="SHRI RAM TRANSPORT"/>
    <s v="SUNDRY CREDITORS (Spice)"/>
    <x v="1"/>
    <x v="1"/>
    <m/>
    <x v="4"/>
    <m/>
    <n v="-7600"/>
    <n v="7600"/>
    <n v="0"/>
    <n v="0"/>
    <m/>
    <n v="0"/>
    <n v="7600"/>
    <n v="7600"/>
    <n v="0"/>
  </r>
  <r>
    <n v="884"/>
    <s v="SIDDHIVINAYAK TRANSPORT"/>
    <s v="Sundry Creditors (Transports/Logistics)"/>
    <x v="1"/>
    <x v="1"/>
    <m/>
    <x v="1"/>
    <m/>
    <n v="-20900"/>
    <n v="20900"/>
    <n v="0"/>
    <n v="0"/>
    <m/>
    <n v="0"/>
    <n v="20900"/>
    <n v="20900"/>
    <n v="0"/>
  </r>
  <r>
    <n v="885"/>
    <s v="Sk India Marine Services"/>
    <s v="SUNDRY CREDITORS (Spice)"/>
    <x v="1"/>
    <x v="1"/>
    <m/>
    <x v="4"/>
    <m/>
    <n v="-318718"/>
    <n v="318718"/>
    <n v="0"/>
    <n v="0"/>
    <m/>
    <n v="0"/>
    <n v="467221"/>
    <n v="467221"/>
    <n v="0"/>
  </r>
  <r>
    <n v="886"/>
    <s v="Sme Industrial Consulting"/>
    <s v="SUNDRY CREDITORS (Spice)"/>
    <x v="1"/>
    <x v="1"/>
    <m/>
    <x v="4"/>
    <m/>
    <n v="0"/>
    <n v="0"/>
    <n v="0"/>
    <n v="0"/>
    <m/>
    <n v="0"/>
    <n v="18880"/>
    <n v="18880"/>
    <n v="0"/>
  </r>
  <r>
    <n v="887"/>
    <s v="Sunil D&quot;souza (Ramdas)"/>
    <s v="Sundry Creditors for (OFFICE)"/>
    <x v="1"/>
    <x v="1"/>
    <m/>
    <x v="1"/>
    <m/>
    <n v="12000"/>
    <n v="0"/>
    <n v="0"/>
    <n v="12000"/>
    <m/>
    <n v="0"/>
    <n v="12000"/>
    <n v="0"/>
    <n v="12000"/>
  </r>
  <r>
    <n v="888"/>
    <s v="Sunshine Marketing"/>
    <s v="SUNDRY CREDITORS (Spice)"/>
    <x v="1"/>
    <x v="1"/>
    <m/>
    <x v="4"/>
    <m/>
    <n v="0"/>
    <n v="0"/>
    <n v="0"/>
    <n v="0"/>
    <m/>
    <n v="0"/>
    <n v="819000"/>
    <n v="819000"/>
    <n v="0"/>
  </r>
  <r>
    <n v="889"/>
    <s v="SYARIKAT KILANG REMPA JAYA SAKTI SDN. BHD.(173890-M)"/>
    <s v="Sundry Debtors Spice"/>
    <x v="1"/>
    <x v="2"/>
    <m/>
    <x v="4"/>
    <m/>
    <n v="3132635"/>
    <n v="0"/>
    <n v="3073698.36"/>
    <n v="58936.639999999999"/>
    <m/>
    <n v="0"/>
    <n v="3132635"/>
    <n v="3073698.36"/>
    <n v="58936.639999999999"/>
  </r>
  <r>
    <n v="890"/>
    <s v="Taj Trading Company"/>
    <s v="Sundry Creditors"/>
    <x v="1"/>
    <x v="1"/>
    <m/>
    <x v="1"/>
    <m/>
    <n v="0"/>
    <n v="3108269"/>
    <n v="3108269"/>
    <n v="0"/>
    <m/>
    <n v="0"/>
    <n v="3238452"/>
    <n v="3238452"/>
    <n v="0"/>
  </r>
  <r>
    <n v="891"/>
    <s v="Trade Discount on Sales - Spice"/>
    <s v="Sales Spice"/>
    <x v="2"/>
    <x v="6"/>
    <s v="Sales"/>
    <x v="4"/>
    <m/>
    <n v="0"/>
    <n v="17872.03"/>
    <n v="0"/>
    <n v="17872.03"/>
    <m/>
    <n v="0"/>
    <n v="107971.45"/>
    <n v="0"/>
    <n v="107971.45"/>
  </r>
  <r>
    <n v="892"/>
    <s v="TRANSPORT CHARGES IT"/>
    <s v="IT EXPENSE"/>
    <x v="2"/>
    <x v="3"/>
    <s v="Transportation"/>
    <x v="3"/>
    <m/>
    <n v="0"/>
    <n v="0"/>
    <n v="0"/>
    <n v="0"/>
    <m/>
    <n v="0"/>
    <n v="198285"/>
    <n v="0"/>
    <n v="198285"/>
  </r>
  <r>
    <n v="893"/>
    <s v="TRAVELLING EXP (Spice)"/>
    <s v="SPICE EXPENSE"/>
    <x v="2"/>
    <x v="3"/>
    <s v="Travelling expenses"/>
    <x v="4"/>
    <m/>
    <n v="0"/>
    <n v="0"/>
    <n v="0"/>
    <n v="0"/>
    <m/>
    <n v="0"/>
    <n v="9535"/>
    <n v="0"/>
    <n v="9535"/>
  </r>
  <r>
    <n v="894"/>
    <s v="TRAVELLING EXP (TAXI)"/>
    <s v="Indirect Expenses"/>
    <x v="2"/>
    <x v="3"/>
    <s v="Travelling expenses"/>
    <x v="1"/>
    <m/>
    <n v="0"/>
    <n v="0"/>
    <n v="0"/>
    <n v="0"/>
    <m/>
    <n v="0"/>
    <n v="800"/>
    <n v="0"/>
    <n v="800"/>
  </r>
  <r>
    <n v="895"/>
    <s v="Vardhman Natural Ingredients Private Limited"/>
    <s v="SUNDRY CREDITORS (Spice)"/>
    <x v="1"/>
    <x v="1"/>
    <m/>
    <x v="4"/>
    <m/>
    <n v="-1596000"/>
    <n v="3066000"/>
    <n v="1470000"/>
    <n v="0"/>
    <m/>
    <n v="0"/>
    <n v="3066000"/>
    <n v="3066000"/>
    <n v="0"/>
  </r>
  <r>
    <n v="896"/>
    <s v="Vijay Traders"/>
    <s v="SUNDRY CREDITORS (Spice)"/>
    <x v="1"/>
    <x v="1"/>
    <m/>
    <x v="4"/>
    <m/>
    <n v="0"/>
    <n v="0"/>
    <n v="0"/>
    <n v="0"/>
    <m/>
    <n v="0"/>
    <n v="1597050"/>
    <n v="1597050"/>
    <n v="0"/>
  </r>
  <r>
    <n v="897"/>
    <s v="24 DIGITAL INDIA"/>
    <s v="Sundry Creditors for (OFFICE)"/>
    <x v="1"/>
    <x v="1"/>
    <m/>
    <x v="1"/>
    <m/>
    <n v="0"/>
    <n v="35400"/>
    <n v="35400"/>
    <n v="0"/>
    <m/>
    <n v="0"/>
    <n v="35400"/>
    <n v="35400"/>
    <n v="0"/>
  </r>
  <r>
    <n v="898"/>
    <s v="A4 Novajet Mpl 02"/>
    <s v="Printing And Stationery A/c"/>
    <x v="2"/>
    <x v="3"/>
    <s v="Printing &amp; Stationery"/>
    <x v="1"/>
    <m/>
    <n v="0"/>
    <n v="0"/>
    <n v="0"/>
    <n v="0"/>
    <m/>
    <n v="0"/>
    <n v="0"/>
    <n v="0"/>
    <n v="0"/>
  </r>
  <r>
    <n v="899"/>
    <s v="ASHOK SHIVAJIRAO JADHAV"/>
    <s v="SUNDRY CREDITORS (Spice)"/>
    <x v="1"/>
    <x v="1"/>
    <m/>
    <x v="4"/>
    <m/>
    <n v="0"/>
    <n v="0"/>
    <n v="0"/>
    <n v="0"/>
    <m/>
    <n v="0"/>
    <n v="0"/>
    <n v="0"/>
    <n v="0"/>
  </r>
  <r>
    <n v="900"/>
    <s v="BANK CHARGES 18% (Spice)"/>
    <s v="SPICE EXPENSE"/>
    <x v="2"/>
    <x v="3"/>
    <s v="Bank charges"/>
    <x v="4"/>
    <m/>
    <n v="0"/>
    <n v="1817.7"/>
    <n v="0"/>
    <n v="1817.7"/>
    <m/>
    <n v="0"/>
    <n v="4385.3999999999996"/>
    <n v="0"/>
    <n v="4385.3999999999996"/>
  </r>
  <r>
    <n v="901"/>
    <s v="Bhavyaa Solutions Llp"/>
    <s v="SUNDRY CREDITORS (Spice)"/>
    <x v="1"/>
    <x v="1"/>
    <m/>
    <x v="4"/>
    <m/>
    <n v="0"/>
    <n v="15930"/>
    <n v="15930"/>
    <n v="0"/>
    <m/>
    <n v="0"/>
    <n v="15930"/>
    <n v="15930"/>
    <n v="0"/>
  </r>
  <r>
    <n v="902"/>
    <s v="Bhoir Stationary"/>
    <s v="Sundry Creditors for (OFFICE)"/>
    <x v="1"/>
    <x v="1"/>
    <m/>
    <x v="1"/>
    <m/>
    <n v="0"/>
    <n v="5999"/>
    <n v="5999"/>
    <n v="0"/>
    <m/>
    <n v="0"/>
    <n v="5999"/>
    <n v="5999"/>
    <n v="0"/>
  </r>
  <r>
    <n v="903"/>
    <s v="Bunker Recovery Charges (Spice)"/>
    <s v="SPICE EXPENSE"/>
    <x v="2"/>
    <x v="3"/>
    <s v="Port Expenses"/>
    <x v="4"/>
    <m/>
    <n v="0"/>
    <n v="52754.94"/>
    <n v="0"/>
    <n v="52754.94"/>
    <m/>
    <n v="0"/>
    <n v="52754.94"/>
    <n v="0"/>
    <n v="52754.94"/>
  </r>
  <r>
    <n v="904"/>
    <s v="Bunker Surcharge (Spice)"/>
    <s v="SPICE EXPENSE"/>
    <x v="2"/>
    <x v="3"/>
    <s v="Port Expenses"/>
    <x v="4"/>
    <m/>
    <n v="0"/>
    <n v="12203.1"/>
    <n v="0"/>
    <n v="12203.1"/>
    <m/>
    <n v="0"/>
    <n v="12203.1"/>
    <n v="0"/>
    <n v="12203.1"/>
  </r>
  <r>
    <n v="905"/>
    <s v="CARICO SHIPPING PVT LTD"/>
    <s v="SUNDRY CREDITORS (IT)"/>
    <x v="1"/>
    <x v="1"/>
    <m/>
    <x v="3"/>
    <m/>
    <n v="0"/>
    <n v="220301"/>
    <n v="0"/>
    <n v="220301"/>
    <m/>
    <n v="0"/>
    <n v="220301"/>
    <n v="0"/>
    <n v="220301"/>
  </r>
  <r>
    <n v="906"/>
    <s v="CONSULTANT FEE @18%"/>
    <s v="Direct Incomes"/>
    <x v="0"/>
    <x v="0"/>
    <m/>
    <x v="0"/>
    <m/>
    <n v="0"/>
    <n v="3500000"/>
    <n v="3500000"/>
    <n v="0"/>
    <m/>
    <n v="0"/>
    <n v="3500000"/>
    <n v="3500000"/>
    <n v="0"/>
  </r>
  <r>
    <n v="907"/>
    <s v="Dagha Sales"/>
    <s v="Sundry Creditors for (OFFICE)"/>
    <x v="1"/>
    <x v="1"/>
    <m/>
    <x v="1"/>
    <m/>
    <n v="0"/>
    <n v="3894"/>
    <n v="3894"/>
    <n v="0"/>
    <m/>
    <n v="0"/>
    <n v="3894"/>
    <n v="3894"/>
    <n v="0"/>
  </r>
  <r>
    <n v="908"/>
    <s v="Detention Fee Charge (Spice)_"/>
    <s v="SPICE EXPENSE"/>
    <x v="2"/>
    <x v="3"/>
    <s v="Port Expenses"/>
    <x v="4"/>
    <m/>
    <n v="0"/>
    <n v="14008.5"/>
    <n v="0"/>
    <n v="14008.5"/>
    <m/>
    <n v="0"/>
    <n v="14008.5"/>
    <n v="0"/>
    <n v="14008.5"/>
  </r>
  <r>
    <n v="909"/>
    <s v="Devanshi Shipping Agency Private Limited"/>
    <s v="SUNDRY CREDITORS (Spice)"/>
    <x v="1"/>
    <x v="1"/>
    <m/>
    <x v="4"/>
    <m/>
    <n v="-108055"/>
    <n v="108055"/>
    <n v="0"/>
    <n v="0"/>
    <m/>
    <n v="0"/>
    <n v="108055"/>
    <n v="108055"/>
    <n v="0"/>
  </r>
  <r>
    <n v="910"/>
    <s v="DHL"/>
    <s v="Sundry Creditors for (OFFICE)"/>
    <x v="1"/>
    <x v="1"/>
    <m/>
    <x v="1"/>
    <m/>
    <n v="0"/>
    <n v="10460"/>
    <n v="10460"/>
    <n v="0"/>
    <m/>
    <n v="0"/>
    <n v="10460"/>
    <n v="10460"/>
    <n v="0"/>
  </r>
  <r>
    <n v="911"/>
    <s v="Discount"/>
    <s v="COMMON EXPENSE"/>
    <x v="2"/>
    <x v="3"/>
    <s v="Misc Expenses"/>
    <x v="1"/>
    <m/>
    <n v="0"/>
    <n v="0"/>
    <n v="0"/>
    <n v="0"/>
    <m/>
    <n v="0"/>
    <n v="0"/>
    <n v="604"/>
    <n v="-604"/>
  </r>
  <r>
    <n v="912"/>
    <s v="EMPTY CONTAINER PICK UP CHARGES-SPICE"/>
    <s v="SPICE EXPENSE"/>
    <x v="2"/>
    <x v="3"/>
    <s v="Port Expenses"/>
    <x v="4"/>
    <m/>
    <n v="0"/>
    <n v="3540"/>
    <n v="0"/>
    <n v="3540"/>
    <m/>
    <n v="0"/>
    <n v="3540"/>
    <n v="0"/>
    <n v="3540"/>
  </r>
  <r>
    <n v="913"/>
    <s v="ETS Charge"/>
    <s v="SPICE EXPENSE"/>
    <x v="2"/>
    <x v="3"/>
    <s v="Port Expenses"/>
    <x v="4"/>
    <m/>
    <n v="0"/>
    <n v="15961.22"/>
    <n v="0"/>
    <n v="15961.22"/>
    <m/>
    <n v="0"/>
    <n v="15961.22"/>
    <n v="0"/>
    <n v="15961.22"/>
  </r>
  <r>
    <n v="914"/>
    <s v="Exhibtion Income"/>
    <s v="Direct Incomes"/>
    <x v="2"/>
    <x v="5"/>
    <m/>
    <x v="8"/>
    <m/>
    <n v="0"/>
    <n v="0"/>
    <n v="200000"/>
    <n v="-200000"/>
    <m/>
    <n v="0"/>
    <n v="0"/>
    <n v="200000"/>
    <n v="-200000"/>
  </r>
  <r>
    <n v="915"/>
    <s v="Export Serenity Container Gurantee Charge (Spice)"/>
    <s v="SPICE EXPENSE"/>
    <x v="2"/>
    <x v="3"/>
    <s v="Port Expenses"/>
    <x v="4"/>
    <m/>
    <n v="0"/>
    <n v="4784.1899999999996"/>
    <n v="0"/>
    <n v="4784.1899999999996"/>
    <m/>
    <n v="0"/>
    <n v="4784.1899999999996"/>
    <n v="0"/>
    <n v="4784.1899999999996"/>
  </r>
  <r>
    <n v="916"/>
    <s v="Falguni Mehta-Vashi Warehouse Deposit"/>
    <s v="Current Assets"/>
    <x v="0"/>
    <x v="0"/>
    <m/>
    <x v="0"/>
    <m/>
    <n v="100000"/>
    <n v="0"/>
    <n v="0"/>
    <n v="100000"/>
    <m/>
    <n v="0"/>
    <n v="100000"/>
    <n v="0"/>
    <n v="100000"/>
  </r>
  <r>
    <n v="917"/>
    <s v="Faya Traders"/>
    <s v="SUNDRY CREDITORS (Spice)"/>
    <x v="1"/>
    <x v="1"/>
    <m/>
    <x v="4"/>
    <m/>
    <n v="-339916"/>
    <n v="339916"/>
    <n v="684600"/>
    <n v="-684600"/>
    <m/>
    <n v="0"/>
    <n v="343350"/>
    <n v="1027950"/>
    <n v="-684600"/>
  </r>
  <r>
    <n v="918"/>
    <s v="FD WITH ICICI BANK FD NO-034813016830"/>
    <s v="FDR WITH ICICI BANK"/>
    <x v="0"/>
    <x v="0"/>
    <m/>
    <x v="0"/>
    <m/>
    <n v="0"/>
    <n v="5000000"/>
    <n v="0"/>
    <n v="5000000"/>
    <m/>
    <n v="0"/>
    <n v="5000000"/>
    <n v="0"/>
    <n v="5000000"/>
  </r>
  <r>
    <n v="919"/>
    <s v="FD WITH ICICI BANK FD NO-034813016831"/>
    <s v="FDR WITH ICICI BANK"/>
    <x v="0"/>
    <x v="0"/>
    <m/>
    <x v="0"/>
    <m/>
    <n v="0"/>
    <n v="5000000"/>
    <n v="0"/>
    <n v="5000000"/>
    <m/>
    <n v="0"/>
    <n v="5000000"/>
    <n v="0"/>
    <n v="5000000"/>
  </r>
  <r>
    <n v="920"/>
    <s v="FD WITH ICICI BANK FD NO-034813016832"/>
    <s v="FDR WITH ICICI BANK"/>
    <x v="0"/>
    <x v="0"/>
    <m/>
    <x v="0"/>
    <m/>
    <n v="0"/>
    <n v="5000000"/>
    <n v="0"/>
    <n v="5000000"/>
    <m/>
    <n v="0"/>
    <n v="5000000"/>
    <n v="0"/>
    <n v="5000000"/>
  </r>
  <r>
    <n v="921"/>
    <s v="FD WITH ICICI BANK FD NO-034813016833"/>
    <s v="FDR WITH ICICI BANK"/>
    <x v="0"/>
    <x v="0"/>
    <m/>
    <x v="0"/>
    <m/>
    <n v="0"/>
    <n v="5000000"/>
    <n v="446098.28"/>
    <n v="4553901.72"/>
    <m/>
    <n v="0"/>
    <n v="5000000"/>
    <n v="446098.28"/>
    <n v="4553901.72"/>
  </r>
  <r>
    <n v="922"/>
    <s v="FD WITH ICICI BANK FD NO-034813016839"/>
    <s v="FDR WITH ICICI BANK"/>
    <x v="0"/>
    <x v="0"/>
    <m/>
    <x v="0"/>
    <m/>
    <n v="0"/>
    <n v="5000000"/>
    <n v="5000000"/>
    <n v="0"/>
    <m/>
    <n v="0"/>
    <n v="5000000"/>
    <n v="5000000"/>
    <n v="0"/>
  </r>
  <r>
    <n v="923"/>
    <s v="Hec Enviro (India) Private Limited"/>
    <s v="Sundry Debtors"/>
    <x v="1"/>
    <x v="2"/>
    <m/>
    <x v="1"/>
    <m/>
    <n v="0"/>
    <n v="4130000"/>
    <n v="4130000"/>
    <n v="0"/>
    <m/>
    <n v="0"/>
    <n v="4130000"/>
    <n v="4130000"/>
    <n v="0"/>
  </r>
  <r>
    <n v="924"/>
    <s v="ICICI Bank Forex Card-New 4065 8357 0248 8126"/>
    <s v="Sundry Creditors for (OFFICE)"/>
    <x v="1"/>
    <x v="1"/>
    <m/>
    <x v="1"/>
    <m/>
    <n v="461145"/>
    <n v="0"/>
    <n v="86308.03"/>
    <n v="374836.97"/>
    <m/>
    <n v="0"/>
    <n v="461145"/>
    <n v="86308.03"/>
    <n v="374836.97"/>
  </r>
  <r>
    <n v="925"/>
    <s v="Indian Oilseed And Produce Export Promotional Concil"/>
    <s v="SUNDRY CREDITORS (Spice)"/>
    <x v="1"/>
    <x v="1"/>
    <m/>
    <x v="4"/>
    <m/>
    <n v="0"/>
    <n v="0"/>
    <n v="0"/>
    <n v="0"/>
    <m/>
    <n v="0"/>
    <n v="32450"/>
    <n v="32450"/>
    <n v="0"/>
  </r>
  <r>
    <n v="926"/>
    <s v="Integrity Speciality Private Limited"/>
    <s v="Sundry Debtors"/>
    <x v="1"/>
    <x v="2"/>
    <m/>
    <x v="1"/>
    <m/>
    <n v="0"/>
    <n v="2360000"/>
    <n v="2360000"/>
    <n v="0"/>
    <m/>
    <n v="0"/>
    <n v="2360000"/>
    <n v="2360000"/>
    <n v="0"/>
  </r>
  <r>
    <n v="927"/>
    <s v="Interest Payable"/>
    <s v="COMMON EXPENSE"/>
    <x v="2"/>
    <x v="3"/>
    <s v="Interest expense"/>
    <x v="1"/>
    <m/>
    <n v="0"/>
    <n v="2632602"/>
    <n v="0"/>
    <n v="2632602"/>
    <m/>
    <n v="0"/>
    <n v="2632602"/>
    <n v="0"/>
    <n v="2632602"/>
  </r>
  <r>
    <n v="928"/>
    <s v="Isps Charge (Spice)"/>
    <s v="SPICE EXPENSE"/>
    <x v="2"/>
    <x v="3"/>
    <s v="Port Expenses"/>
    <x v="4"/>
    <m/>
    <n v="0"/>
    <n v="4609.25"/>
    <n v="0"/>
    <n v="4609.25"/>
    <m/>
    <n v="0"/>
    <n v="4609.25"/>
    <n v="0"/>
    <n v="4609.25"/>
  </r>
  <r>
    <n v="929"/>
    <s v="JD Healthcare"/>
    <s v="Sundry Debtors"/>
    <x v="1"/>
    <x v="2"/>
    <m/>
    <x v="1"/>
    <m/>
    <n v="0"/>
    <n v="14160000"/>
    <n v="14160000"/>
    <n v="0"/>
    <m/>
    <n v="0"/>
    <n v="14160000"/>
    <n v="14160000"/>
    <n v="0"/>
  </r>
  <r>
    <n v="930"/>
    <s v="Jimmy &amp; Sons Foods Llp"/>
    <s v="SUNDRY CREDITORS (Spice)"/>
    <x v="1"/>
    <x v="1"/>
    <m/>
    <x v="4"/>
    <m/>
    <n v="0"/>
    <n v="11930100"/>
    <n v="11930100"/>
    <n v="0"/>
    <m/>
    <n v="0"/>
    <n v="11930100"/>
    <n v="11930100"/>
    <n v="0"/>
  </r>
  <r>
    <n v="931"/>
    <s v="LIC Policy  No. 908465361"/>
    <s v="Investments"/>
    <x v="0"/>
    <x v="0"/>
    <m/>
    <x v="0"/>
    <m/>
    <n v="0"/>
    <n v="0"/>
    <n v="0"/>
    <n v="0"/>
    <m/>
    <n v="0"/>
    <n v="0"/>
    <n v="0"/>
    <n v="0"/>
  </r>
  <r>
    <n v="932"/>
    <s v="Lic Policy No.908465418"/>
    <s v="Investments"/>
    <x v="0"/>
    <x v="0"/>
    <m/>
    <x v="0"/>
    <m/>
    <n v="0"/>
    <n v="0"/>
    <n v="0"/>
    <n v="0"/>
    <m/>
    <n v="0"/>
    <n v="0"/>
    <n v="0"/>
    <n v="0"/>
  </r>
  <r>
    <n v="933"/>
    <s v="Liner Out Expense (Spice)"/>
    <s v="SPICE EXPENSE"/>
    <x v="2"/>
    <x v="3"/>
    <s v="Port Expenses"/>
    <x v="4"/>
    <m/>
    <n v="0"/>
    <n v="8851.94"/>
    <n v="0"/>
    <n v="8851.94"/>
    <m/>
    <n v="0"/>
    <n v="8851.94"/>
    <n v="0"/>
    <n v="8851.94"/>
  </r>
  <r>
    <n v="934"/>
    <s v="Manifest Charge (Spice)"/>
    <s v="SPICE EXPENSE"/>
    <x v="2"/>
    <x v="3"/>
    <s v="Port Expenses"/>
    <x v="4"/>
    <m/>
    <n v="0"/>
    <n v="2565.1999999999998"/>
    <n v="0"/>
    <n v="2565.1999999999998"/>
    <m/>
    <n v="0"/>
    <n v="2565.1999999999998"/>
    <n v="0"/>
    <n v="2565.1999999999998"/>
  </r>
  <r>
    <n v="935"/>
    <s v="Mitt Agro Private Limited"/>
    <s v="SUNDRY CREDITORS (Spice)"/>
    <x v="1"/>
    <x v="1"/>
    <m/>
    <x v="4"/>
    <m/>
    <n v="-20244"/>
    <n v="20244"/>
    <n v="0"/>
    <n v="0"/>
    <m/>
    <n v="0"/>
    <n v="20244"/>
    <n v="20244"/>
    <n v="0"/>
  </r>
  <r>
    <n v="936"/>
    <s v="MMK SPICES SDN BHD"/>
    <s v="Sundry Debtors Spice"/>
    <x v="1"/>
    <x v="2"/>
    <m/>
    <x v="4"/>
    <m/>
    <n v="0"/>
    <n v="9601691"/>
    <n v="0"/>
    <n v="9601691"/>
    <m/>
    <n v="0"/>
    <n v="9601691"/>
    <n v="0"/>
    <n v="9601691"/>
  </r>
  <r>
    <n v="937"/>
    <s v="Mohananand Trading Company"/>
    <s v="SUNDRY CREDITORS (Spice)"/>
    <x v="1"/>
    <x v="1"/>
    <m/>
    <x v="4"/>
    <m/>
    <n v="0"/>
    <n v="1512000"/>
    <n v="1512000"/>
    <n v="0"/>
    <m/>
    <n v="0"/>
    <n v="1512000"/>
    <n v="1512000"/>
    <n v="0"/>
  </r>
  <r>
    <n v="938"/>
    <s v="MWAFAQ FOR CLEARANCE"/>
    <s v="Sundry Debtors Spice"/>
    <x v="1"/>
    <x v="2"/>
    <m/>
    <x v="4"/>
    <m/>
    <n v="0"/>
    <n v="3250967"/>
    <n v="0"/>
    <n v="3250967"/>
    <m/>
    <n v="0"/>
    <n v="3250967"/>
    <n v="0"/>
    <n v="3250967"/>
  </r>
  <r>
    <n v="939"/>
    <s v="NAJMAT AL MEEZAN FOODSTUFF TRADING LLC"/>
    <s v="Sundry Debtor Export"/>
    <x v="1"/>
    <x v="2"/>
    <m/>
    <x v="3"/>
    <m/>
    <n v="0"/>
    <n v="4565399"/>
    <n v="0"/>
    <n v="4565399"/>
    <m/>
    <n v="0"/>
    <n v="4565399"/>
    <n v="0"/>
    <n v="4565399"/>
  </r>
  <r>
    <n v="940"/>
    <s v="PARKING CHARGES-SPICE"/>
    <s v="SPICE EXPENSE"/>
    <x v="2"/>
    <x v="3"/>
    <s v="Port Expenses"/>
    <x v="4"/>
    <m/>
    <n v="0"/>
    <n v="1242"/>
    <n v="0"/>
    <n v="1242"/>
    <m/>
    <n v="0"/>
    <n v="1242"/>
    <n v="0"/>
    <n v="1242"/>
  </r>
  <r>
    <n v="941"/>
    <s v="Printing &amp; Stationery (18%) - Spice Expense"/>
    <s v="SPICE EXPENSE"/>
    <x v="2"/>
    <x v="3"/>
    <s v="Printing &amp; Stationery"/>
    <x v="4"/>
    <m/>
    <n v="0"/>
    <n v="25257"/>
    <n v="0"/>
    <n v="25257"/>
    <m/>
    <n v="0"/>
    <n v="39472"/>
    <n v="0"/>
    <n v="39472"/>
  </r>
  <r>
    <n v="942"/>
    <s v="RAFIATOU ADUNI DJIMAH"/>
    <s v="Sundry Debtors Spice"/>
    <x v="1"/>
    <x v="2"/>
    <m/>
    <x v="4"/>
    <m/>
    <n v="0"/>
    <n v="3425069"/>
    <n v="677408.8"/>
    <n v="2747660.2"/>
    <m/>
    <n v="0"/>
    <n v="3425069"/>
    <n v="677408.8"/>
    <n v="2747660.2"/>
  </r>
  <r>
    <n v="943"/>
    <s v="Rajau Agro Foods Private Limited"/>
    <s v="SUNDRY CREDITORS (Spice)"/>
    <x v="1"/>
    <x v="1"/>
    <m/>
    <x v="4"/>
    <m/>
    <n v="50000"/>
    <n v="100000"/>
    <n v="0"/>
    <n v="150000"/>
    <m/>
    <n v="0"/>
    <n v="150000"/>
    <n v="0"/>
    <n v="150000"/>
  </r>
  <r>
    <n v="944"/>
    <s v="RV Healthcare"/>
    <s v="Sundry Debtors"/>
    <x v="1"/>
    <x v="2"/>
    <m/>
    <x v="1"/>
    <m/>
    <n v="0"/>
    <n v="3540000"/>
    <n v="3540000"/>
    <n v="0"/>
    <m/>
    <n v="0"/>
    <n v="3540000"/>
    <n v="3540000"/>
    <n v="0"/>
  </r>
  <r>
    <n v="945"/>
    <s v="Sanmati Traders"/>
    <s v="SUNDRY CREDITORS (Spice)"/>
    <x v="1"/>
    <x v="1"/>
    <m/>
    <x v="4"/>
    <m/>
    <n v="0"/>
    <n v="257250"/>
    <n v="257250"/>
    <n v="0"/>
    <m/>
    <n v="0"/>
    <n v="257250"/>
    <n v="257250"/>
    <n v="0"/>
  </r>
  <r>
    <n v="946"/>
    <s v="SARL SOMIDOTO IMPORT EXPORT"/>
    <s v="Sundry Debtors Spice"/>
    <x v="1"/>
    <x v="2"/>
    <m/>
    <x v="4"/>
    <m/>
    <n v="0"/>
    <n v="2612131"/>
    <n v="0"/>
    <n v="2612131"/>
    <m/>
    <n v="0"/>
    <n v="2612131"/>
    <n v="0"/>
    <n v="2612131"/>
  </r>
  <r>
    <n v="947"/>
    <s v="SHREE SAMARTH FREIGHT"/>
    <s v="Sundry Creditors (Transports/Logistics)"/>
    <x v="1"/>
    <x v="1"/>
    <m/>
    <x v="1"/>
    <m/>
    <n v="0"/>
    <n v="91382"/>
    <n v="91382"/>
    <n v="0"/>
    <m/>
    <n v="0"/>
    <n v="91382"/>
    <n v="91382"/>
    <n v="0"/>
  </r>
  <r>
    <n v="948"/>
    <s v="SHRI BALIRAJA TRADING COMPANY"/>
    <s v="SUNDRY CREDITORS (Spice)"/>
    <x v="1"/>
    <x v="1"/>
    <m/>
    <x v="4"/>
    <m/>
    <n v="0"/>
    <n v="3912300"/>
    <n v="3912300"/>
    <n v="0"/>
    <m/>
    <n v="0"/>
    <n v="3912300"/>
    <n v="3912300"/>
    <n v="0"/>
  </r>
  <r>
    <n v="949"/>
    <s v="Sky Land Courier"/>
    <s v="SUNDRY CREDITORS (Spice)"/>
    <x v="1"/>
    <x v="1"/>
    <m/>
    <x v="4"/>
    <m/>
    <n v="-5983"/>
    <n v="22780"/>
    <n v="16797"/>
    <n v="0"/>
    <m/>
    <n v="0"/>
    <n v="22780"/>
    <n v="22780"/>
    <n v="0"/>
  </r>
  <r>
    <n v="950"/>
    <s v="TATA AIG Travel Insurance"/>
    <s v="Sundry Creditors for (Expenses)"/>
    <x v="1"/>
    <x v="1"/>
    <m/>
    <x v="1"/>
    <m/>
    <n v="0"/>
    <n v="0"/>
    <n v="3506"/>
    <n v="-3506"/>
    <m/>
    <n v="0"/>
    <n v="0"/>
    <n v="3506"/>
    <n v="-3506"/>
  </r>
  <r>
    <n v="951"/>
    <s v="TDS On Loan Interest 194A"/>
    <s v="Duties &amp; Taxes"/>
    <x v="0"/>
    <x v="0"/>
    <m/>
    <x v="0"/>
    <m/>
    <n v="0"/>
    <n v="263263"/>
    <n v="263263"/>
    <n v="0"/>
    <m/>
    <n v="0"/>
    <n v="263263"/>
    <n v="263263"/>
    <n v="0"/>
  </r>
  <r>
    <n v="952"/>
    <s v="TORONTO CITY GENERAL TRADING LLC"/>
    <s v="Sundry Debtor Export"/>
    <x v="1"/>
    <x v="2"/>
    <m/>
    <x v="3"/>
    <m/>
    <n v="0"/>
    <n v="13881504"/>
    <n v="6940752"/>
    <n v="6940752"/>
    <m/>
    <n v="0"/>
    <n v="13881504"/>
    <n v="6940752"/>
    <n v="6940752"/>
  </r>
  <r>
    <n v="953"/>
    <s v="WEIGHTMENT CHARGES-SPICE"/>
    <s v="SPICE EXPENSE"/>
    <x v="2"/>
    <x v="3"/>
    <s v="Port Expenses"/>
    <x v="4"/>
    <m/>
    <n v="0"/>
    <n v="2000"/>
    <n v="0"/>
    <n v="2000"/>
    <m/>
    <n v="0"/>
    <n v="2000"/>
    <n v="0"/>
    <n v="2000"/>
  </r>
  <r>
    <n v="954"/>
    <s v="WRS Charges (Spice)"/>
    <s v="SPICE EXPENSE"/>
    <x v="2"/>
    <x v="3"/>
    <s v="Port Expenses"/>
    <x v="4"/>
    <m/>
    <n v="0"/>
    <n v="281610"/>
    <n v="0"/>
    <n v="281610"/>
    <m/>
    <n v="0"/>
    <n v="281610"/>
    <n v="0"/>
    <n v="281610"/>
  </r>
  <r>
    <n v="955"/>
    <s v="Yan Industries"/>
    <s v="Sundry Creditors for (OFFICE)"/>
    <x v="1"/>
    <x v="1"/>
    <m/>
    <x v="1"/>
    <m/>
    <n v="0"/>
    <n v="0"/>
    <n v="19517"/>
    <n v="-19517"/>
    <m/>
    <n v="0"/>
    <n v="0"/>
    <n v="19517"/>
    <n v="-19517"/>
  </r>
  <r>
    <n v="956"/>
    <s v="Zubin's Royal Fleet"/>
    <s v="Sundry Creditors (Transports/Logistics)"/>
    <x v="1"/>
    <x v="1"/>
    <m/>
    <x v="1"/>
    <m/>
    <n v="0"/>
    <n v="13351"/>
    <n v="13351"/>
    <n v="0"/>
    <m/>
    <n v="0"/>
    <n v="13351"/>
    <n v="1335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0">
  <r>
    <n v="1"/>
    <s v="33 x 33, 2 Colour Printed Serviettes Converting"/>
    <s v="Plant &amp; Machinery"/>
    <x v="0"/>
    <x v="0"/>
    <m/>
    <x v="0"/>
    <m/>
    <n v="130956.83"/>
    <n v="0"/>
    <n v="0"/>
    <n v="130956.83"/>
  </r>
  <r>
    <n v="2"/>
    <s v="420 MM Interfold Box Tissue Converting Machine"/>
    <s v="Plant &amp; Machinery"/>
    <x v="0"/>
    <x v="0"/>
    <m/>
    <x v="0"/>
    <m/>
    <n v="171401.27"/>
    <n v="0"/>
    <n v="0"/>
    <n v="171401.27"/>
  </r>
  <r>
    <n v="3"/>
    <s v="A to Z Industrial Premises Co-Op Soc Ltd (Society)"/>
    <s v="Security Deposit (A To Z Industrial Estate)"/>
    <x v="1"/>
    <x v="0"/>
    <m/>
    <x v="0"/>
    <m/>
    <n v="684000"/>
    <n v="0"/>
    <n v="0"/>
    <n v="684000"/>
  </r>
  <r>
    <n v="4"/>
    <s v="A.Mangals Marketing"/>
    <s v="Sundry Creditors for (OFFICE)"/>
    <x v="1"/>
    <x v="1"/>
    <m/>
    <x v="1"/>
    <m/>
    <n v="0"/>
    <n v="0"/>
    <n v="0"/>
    <n v="0"/>
  </r>
  <r>
    <n v="5"/>
    <s v="ABHA PRINTERS &amp; STATIONERS"/>
    <s v="Rajasthan"/>
    <x v="1"/>
    <x v="2"/>
    <m/>
    <x v="2"/>
    <m/>
    <n v="0"/>
    <n v="0"/>
    <n v="0"/>
    <n v="0"/>
  </r>
  <r>
    <n v="6"/>
    <s v="Abhay Infotech"/>
    <s v="SUNDRY DEBTORS BLUESTREAK - AJAYSIR"/>
    <x v="1"/>
    <x v="2"/>
    <m/>
    <x v="2"/>
    <m/>
    <n v="0"/>
    <n v="0"/>
    <n v="0"/>
    <n v="0"/>
  </r>
  <r>
    <n v="7"/>
    <s v="Add on Enterprises"/>
    <s v="Legal Case"/>
    <x v="1"/>
    <x v="2"/>
    <m/>
    <x v="2"/>
    <m/>
    <n v="79762.52"/>
    <n v="0"/>
    <n v="0"/>
    <n v="79762.52"/>
  </r>
  <r>
    <n v="8"/>
    <s v="Aditi Creations"/>
    <s v="Sundry Creditors for (Expenses)"/>
    <x v="1"/>
    <x v="1"/>
    <m/>
    <x v="1"/>
    <m/>
    <n v="-2950"/>
    <n v="2950"/>
    <n v="0"/>
    <n v="0"/>
  </r>
  <r>
    <n v="9"/>
    <s v="ADITYA MEHTA (LOAN A/C)"/>
    <s v="Unsecured Loans"/>
    <x v="0"/>
    <x v="0"/>
    <m/>
    <x v="0"/>
    <m/>
    <n v="0"/>
    <n v="0"/>
    <n v="0"/>
    <n v="0"/>
  </r>
  <r>
    <n v="10"/>
    <s v="Advance Kuldeep Singh"/>
    <s v="STAFF LOAN - OFFICE"/>
    <x v="0"/>
    <x v="0"/>
    <m/>
    <x v="0"/>
    <m/>
    <n v="0"/>
    <n v="0"/>
    <n v="0"/>
    <n v="0"/>
  </r>
  <r>
    <n v="11"/>
    <s v="Advance Tax (A.Y 2025-26)"/>
    <s v="Tax Advances"/>
    <x v="0"/>
    <x v="0"/>
    <m/>
    <x v="0"/>
    <m/>
    <n v="70000"/>
    <n v="0"/>
    <n v="0"/>
    <n v="70000"/>
  </r>
  <r>
    <n v="12"/>
    <s v="Advance Tax (A.Y. 2008-09)"/>
    <s v="Tax Advances"/>
    <x v="0"/>
    <x v="0"/>
    <m/>
    <x v="0"/>
    <m/>
    <n v="200000"/>
    <n v="0"/>
    <n v="0"/>
    <n v="200000"/>
  </r>
  <r>
    <n v="13"/>
    <s v="Advance Tax (A.Y. 2010-11)"/>
    <s v="Tax Advances"/>
    <x v="0"/>
    <x v="0"/>
    <m/>
    <x v="0"/>
    <m/>
    <n v="139000"/>
    <n v="0"/>
    <n v="0"/>
    <n v="139000"/>
  </r>
  <r>
    <n v="14"/>
    <s v="Advertisement (URD) (Blue Streak)"/>
    <s v="BLUESTREAK (EXPENSES)"/>
    <x v="2"/>
    <x v="3"/>
    <s v="Advertisements costs"/>
    <x v="2"/>
    <m/>
    <n v="0"/>
    <n v="0"/>
    <n v="0"/>
    <n v="0"/>
  </r>
  <r>
    <n v="15"/>
    <s v="Advertisement (URD) (IT)"/>
    <s v="IT EXPENSE"/>
    <x v="2"/>
    <x v="3"/>
    <s v="Advertisements costs"/>
    <x v="3"/>
    <m/>
    <n v="0"/>
    <n v="0"/>
    <n v="0"/>
    <n v="0"/>
  </r>
  <r>
    <n v="16"/>
    <s v="Advhika Enterprises"/>
    <s v="JAMMU"/>
    <x v="1"/>
    <x v="2"/>
    <m/>
    <x v="2"/>
    <m/>
    <n v="0"/>
    <n v="0"/>
    <n v="0"/>
    <n v="0"/>
  </r>
  <r>
    <n v="17"/>
    <s v="Agricultural &amp; Processed Food Products Development"/>
    <s v="SUNDRY CREDITORS (EXPORT)"/>
    <x v="1"/>
    <x v="1"/>
    <m/>
    <x v="3"/>
    <m/>
    <n v="0"/>
    <n v="0"/>
    <n v="0"/>
    <n v="0"/>
  </r>
  <r>
    <n v="18"/>
    <s v="Air Conditioner"/>
    <s v="Office Equipment"/>
    <x v="0"/>
    <x v="0"/>
    <m/>
    <x v="0"/>
    <m/>
    <n v="54886.38"/>
    <n v="0"/>
    <n v="0"/>
    <n v="54886.38"/>
  </r>
  <r>
    <n v="19"/>
    <s v="AZEEM AHMAD MANSOORI"/>
    <s v="Sundry Creditors for (OFFICE)"/>
    <x v="1"/>
    <x v="1"/>
    <m/>
    <x v="1"/>
    <m/>
    <n v="0"/>
    <n v="0"/>
    <n v="0"/>
    <n v="0"/>
  </r>
  <r>
    <n v="19"/>
    <s v="AIR INDIA LIMITED"/>
    <s v="SUNDRY CREDITORS (EXPORT)"/>
    <x v="1"/>
    <x v="1"/>
    <m/>
    <x v="3"/>
    <m/>
    <n v="0"/>
    <n v="0"/>
    <n v="0"/>
    <n v="0"/>
  </r>
  <r>
    <n v="20"/>
    <s v="AIR INDIA LIMITED (DELHI)"/>
    <s v="SUNDRY CREDITORS (EXPORT)"/>
    <x v="1"/>
    <x v="1"/>
    <m/>
    <x v="3"/>
    <m/>
    <n v="0"/>
    <n v="0"/>
    <n v="0"/>
    <n v="0"/>
  </r>
  <r>
    <n v="21"/>
    <s v="AIR INDIA LIMITED (KERALA)"/>
    <s v="SUNDRY CREDITORS (EXPORT)"/>
    <x v="1"/>
    <x v="1"/>
    <m/>
    <x v="3"/>
    <m/>
    <n v="0"/>
    <n v="0"/>
    <n v="0"/>
    <n v="0"/>
  </r>
  <r>
    <n v="22"/>
    <s v="AIR INDIA LIMITED (MAH.)"/>
    <s v="SUNDRY CREDITORS (EXPORT)"/>
    <x v="1"/>
    <x v="1"/>
    <m/>
    <x v="3"/>
    <m/>
    <n v="0"/>
    <n v="0"/>
    <n v="0"/>
    <n v="0"/>
  </r>
  <r>
    <n v="23"/>
    <s v="AIR TICKET SERVICE CHG GST 18%  (EXPORT)"/>
    <s v="EXPORT (EXPENSE)"/>
    <x v="2"/>
    <x v="3"/>
    <s v="Travelling expenses"/>
    <x v="3"/>
    <m/>
    <n v="0"/>
    <n v="0"/>
    <n v="0"/>
    <n v="0"/>
  </r>
  <r>
    <n v="24"/>
    <s v="Airdoot India Pvt. Ltd."/>
    <s v="Sundry Creditors for (Expenses)"/>
    <x v="1"/>
    <x v="1"/>
    <m/>
    <x v="1"/>
    <m/>
    <n v="0"/>
    <n v="21714"/>
    <n v="21714"/>
    <n v="0"/>
  </r>
  <r>
    <n v="25"/>
    <s v="AIRTEL  - BHAVESH MEHTA"/>
    <s v="SUNDRY CREDITORS (EXPORT)"/>
    <x v="1"/>
    <x v="1"/>
    <m/>
    <x v="1"/>
    <m/>
    <n v="0"/>
    <n v="1414.82"/>
    <n v="1414.82"/>
    <n v="0"/>
  </r>
  <r>
    <n v="26"/>
    <s v="Bharti Airtel Ltd-Vashi"/>
    <s v="SUNDRY CREDITORS (Spice)"/>
    <x v="1"/>
    <x v="1"/>
    <m/>
    <x v="4"/>
    <m/>
    <n v="455.32"/>
    <n v="133.5"/>
    <n v="588.82000000000005"/>
    <n v="0"/>
  </r>
  <r>
    <n v="26"/>
    <s v="AIRTEL - ATUL MEHTA"/>
    <s v="SUNDRY CREDITORS (EXPORT)"/>
    <x v="1"/>
    <x v="1"/>
    <m/>
    <x v="1"/>
    <m/>
    <n v="0"/>
    <n v="1763"/>
    <n v="1763"/>
    <n v="0"/>
  </r>
  <r>
    <n v="27"/>
    <s v="AIRTEL AJAY MEHTA"/>
    <s v="SUNDRY CREDITORS (EXPORT)"/>
    <x v="1"/>
    <x v="1"/>
    <m/>
    <x v="1"/>
    <m/>
    <n v="0"/>
    <n v="0"/>
    <n v="1295.6400000000001"/>
    <n v="-1295.6400000000001"/>
  </r>
  <r>
    <n v="28"/>
    <s v="Aissa Maritime Pvt Ltd"/>
    <s v="Deposits (Asset)"/>
    <x v="0"/>
    <x v="0"/>
    <m/>
    <x v="0"/>
    <m/>
    <n v="5000"/>
    <n v="0"/>
    <n v="0"/>
    <n v="5000"/>
  </r>
  <r>
    <n v="29"/>
    <s v="AJAY MEHTA (CAR RENTAL)"/>
    <s v="Sundry Creditors for (Expenses)"/>
    <x v="1"/>
    <x v="1"/>
    <m/>
    <x v="1"/>
    <m/>
    <n v="0"/>
    <n v="0"/>
    <n v="0"/>
    <n v="0"/>
  </r>
  <r>
    <n v="30"/>
    <s v="Ajay Mehta (Loan A/c)"/>
    <s v="Unsecured Loans"/>
    <x v="0"/>
    <x v="0"/>
    <m/>
    <x v="0"/>
    <m/>
    <n v="-94740264.390000001"/>
    <n v="0"/>
    <n v="0"/>
    <n v="-94740264.390000001"/>
  </r>
  <r>
    <n v="31"/>
    <s v="Alex Enterprises"/>
    <s v="Sundry Creditors for Factory"/>
    <x v="1"/>
    <x v="1"/>
    <m/>
    <x v="1"/>
    <m/>
    <n v="0"/>
    <n v="0"/>
    <n v="0"/>
    <n v="0"/>
  </r>
  <r>
    <n v="32"/>
    <s v="ALIBABA.COM"/>
    <s v="SUNDRY CREDITORS (EXPORT)"/>
    <x v="1"/>
    <x v="1"/>
    <m/>
    <x v="3"/>
    <m/>
    <n v="0"/>
    <n v="0"/>
    <n v="0"/>
    <n v="0"/>
  </r>
  <r>
    <n v="33"/>
    <s v="Allinfo India Pvt. Ltd."/>
    <s v="SUNDRY CREDITORS (EXPORT)"/>
    <x v="1"/>
    <x v="1"/>
    <m/>
    <x v="3"/>
    <m/>
    <n v="0"/>
    <n v="0"/>
    <n v="0"/>
    <n v="0"/>
  </r>
  <r>
    <n v="34"/>
    <s v="Alphabet Imaging Technologies Private Limited"/>
    <s v="Sundry Creditors ( Blue Streak )"/>
    <x v="1"/>
    <x v="1"/>
    <m/>
    <x v="2"/>
    <m/>
    <n v="0"/>
    <n v="0"/>
    <n v="0"/>
    <n v="0"/>
  </r>
  <r>
    <n v="35"/>
    <s v="Aluminium Foil Winding Machine"/>
    <s v="Plant &amp; Machinery"/>
    <x v="0"/>
    <x v="0"/>
    <m/>
    <x v="0"/>
    <m/>
    <n v="21405.96"/>
    <n v="0"/>
    <n v="0"/>
    <n v="21405.96"/>
  </r>
  <r>
    <n v="36"/>
    <s v="Always Marketing"/>
    <s v="Tamil Nadu"/>
    <x v="1"/>
    <x v="2"/>
    <m/>
    <x v="2"/>
    <m/>
    <n v="0"/>
    <n v="0"/>
    <n v="0"/>
    <n v="0"/>
  </r>
  <r>
    <n v="37"/>
    <s v="Amba Agencies"/>
    <s v="Sundry Debtor Clarus (Current)"/>
    <x v="1"/>
    <x v="2"/>
    <m/>
    <x v="5"/>
    <m/>
    <n v="0"/>
    <n v="0"/>
    <n v="0"/>
    <n v="0"/>
  </r>
  <r>
    <n v="38"/>
    <s v="Ambrish Typing Institute"/>
    <s v="Madhya Pradesh"/>
    <x v="1"/>
    <x v="2"/>
    <m/>
    <x v="2"/>
    <m/>
    <n v="0"/>
    <n v="0"/>
    <n v="0"/>
    <n v="0"/>
  </r>
  <r>
    <n v="39"/>
    <s v="AMERICAN EXPRESS CREDIT CARD NO. 379877054832005"/>
    <s v="COMMON EXPENSE"/>
    <x v="1"/>
    <x v="1"/>
    <m/>
    <x v="1"/>
    <m/>
    <n v="0"/>
    <n v="0"/>
    <n v="0"/>
    <n v="0"/>
  </r>
  <r>
    <n v="40"/>
    <s v="American Express Credit Card No.-379877054833003"/>
    <s v="COMMON EXPENSE"/>
    <x v="1"/>
    <x v="1"/>
    <m/>
    <x v="1"/>
    <m/>
    <n v="0"/>
    <n v="0"/>
    <n v="0"/>
    <n v="0"/>
  </r>
  <r>
    <n v="41"/>
    <s v="Amit Jha Loan A/C"/>
    <s v="STAFF LOAN - OFFICE"/>
    <x v="0"/>
    <x v="0"/>
    <m/>
    <x v="0"/>
    <m/>
    <n v="0"/>
    <n v="0"/>
    <n v="0"/>
    <n v="0"/>
  </r>
  <r>
    <n v="42"/>
    <s v="Analah Venture Partners LLP"/>
    <s v="Share Investment Swiggy Ltd"/>
    <x v="1"/>
    <x v="0"/>
    <m/>
    <x v="6"/>
    <m/>
    <n v="0"/>
    <n v="0"/>
    <n v="0"/>
    <n v="0"/>
  </r>
  <r>
    <n v="43"/>
    <s v="ANAND RATHI SHARES AND STOCK BROKERS LTD"/>
    <s v="Share Investment Swiggy Ltd"/>
    <x v="1"/>
    <x v="0"/>
    <m/>
    <x v="6"/>
    <m/>
    <n v="-12484.11"/>
    <n v="0"/>
    <n v="0"/>
    <n v="-12484.11"/>
  </r>
  <r>
    <n v="44"/>
    <s v="Anjali Traders"/>
    <s v="SUNDRY DEBTORS BLUESTREAK - AJAYSIR"/>
    <x v="1"/>
    <x v="2"/>
    <m/>
    <x v="2"/>
    <m/>
    <n v="0"/>
    <n v="0"/>
    <n v="0"/>
    <n v="0"/>
  </r>
  <r>
    <n v="45"/>
    <s v="ANP Associates"/>
    <s v="Sundry Creditors for (Expenses)"/>
    <x v="1"/>
    <x v="1"/>
    <m/>
    <x v="1"/>
    <m/>
    <n v="0"/>
    <n v="0"/>
    <n v="0"/>
    <n v="0"/>
  </r>
  <r>
    <n v="46"/>
    <s v="Anshu Printer"/>
    <s v="Chhattishgarh"/>
    <x v="1"/>
    <x v="2"/>
    <m/>
    <x v="2"/>
    <m/>
    <n v="0"/>
    <n v="0"/>
    <n v="0"/>
    <n v="0"/>
  </r>
  <r>
    <n v="47"/>
    <s v="Apeksha Trading company - adv"/>
    <s v="ADV FROM CUSTOMER"/>
    <x v="0"/>
    <x v="0"/>
    <m/>
    <x v="0"/>
    <m/>
    <n v="-600000"/>
    <n v="0"/>
    <n v="0"/>
    <n v="-600000"/>
  </r>
  <r>
    <n v="48"/>
    <s v="APEX ENTERPRISES"/>
    <s v="SUNDRY CREDITORS (EXPORT)"/>
    <x v="1"/>
    <x v="1"/>
    <m/>
    <x v="3"/>
    <m/>
    <n v="0"/>
    <n v="0"/>
    <n v="0"/>
    <n v="0"/>
  </r>
  <r>
    <n v="49"/>
    <s v="Appario Retail Private Limited"/>
    <s v="Sundry Creditors for (Expenses)"/>
    <x v="1"/>
    <x v="1"/>
    <m/>
    <x v="1"/>
    <m/>
    <n v="0"/>
    <n v="0"/>
    <n v="0"/>
    <n v="0"/>
  </r>
  <r>
    <n v="50"/>
    <s v="APS Infotech"/>
    <s v="SUNDRY CREDITORS (EXPORT)"/>
    <x v="1"/>
    <x v="1"/>
    <m/>
    <x v="3"/>
    <m/>
    <n v="0"/>
    <n v="0"/>
    <n v="0"/>
    <n v="0"/>
  </r>
  <r>
    <n v="51"/>
    <s v="Aquaguard Water Purifier"/>
    <s v="Office Equipment"/>
    <x v="0"/>
    <x v="0"/>
    <m/>
    <x v="0"/>
    <m/>
    <n v="845.57"/>
    <n v="0"/>
    <n v="0"/>
    <n v="845.57"/>
  </r>
  <r>
    <n v="52"/>
    <s v="Arjun Ramanarayanan"/>
    <s v="Sundry Creditors for (Expenses)"/>
    <x v="1"/>
    <x v="1"/>
    <m/>
    <x v="1"/>
    <m/>
    <n v="0"/>
    <n v="0"/>
    <n v="0"/>
    <n v="0"/>
  </r>
  <r>
    <n v="53"/>
    <s v="ARK Chemicals Pvt Ltd"/>
    <s v="Sundry Creditors ( Clarus )"/>
    <x v="1"/>
    <x v="1"/>
    <m/>
    <x v="5"/>
    <m/>
    <n v="0"/>
    <n v="0"/>
    <n v="0"/>
    <n v="0"/>
  </r>
  <r>
    <n v="54"/>
    <s v="ARYAN ALLIANCE INDIA PVT. LTD"/>
    <s v="SUNDRY DEBTORS BLUESTREAK - AJAYSIR"/>
    <x v="1"/>
    <x v="2"/>
    <m/>
    <x v="2"/>
    <m/>
    <n v="0"/>
    <n v="0"/>
    <n v="0"/>
    <n v="0"/>
  </r>
  <r>
    <n v="55"/>
    <s v="Aryan Facilities"/>
    <s v="SUNDRY DEBTORS BLUESTREAK - AJAYSIR"/>
    <x v="1"/>
    <x v="2"/>
    <m/>
    <x v="2"/>
    <m/>
    <n v="0"/>
    <n v="0"/>
    <n v="0"/>
    <n v="0"/>
  </r>
  <r>
    <n v="56"/>
    <s v="Ashapura Agency"/>
    <s v="Sundry Debtor Clarus (Current)"/>
    <x v="1"/>
    <x v="2"/>
    <m/>
    <x v="5"/>
    <m/>
    <n v="0"/>
    <n v="0"/>
    <n v="0"/>
    <n v="0"/>
  </r>
  <r>
    <n v="57"/>
    <s v="Assessment Due MVAT 2014-2015"/>
    <s v="Tax Advances"/>
    <x v="0"/>
    <x v="0"/>
    <m/>
    <x v="0"/>
    <m/>
    <n v="463"/>
    <n v="0"/>
    <n v="0"/>
    <n v="463"/>
  </r>
  <r>
    <n v="58"/>
    <s v="Assessment Dues KVAT 2012-13"/>
    <s v="Tax Advances"/>
    <x v="0"/>
    <x v="0"/>
    <m/>
    <x v="0"/>
    <m/>
    <n v="9523"/>
    <n v="0"/>
    <n v="0"/>
    <n v="9523"/>
  </r>
  <r>
    <n v="59"/>
    <s v="Assessment Dues MVAT 2012-13"/>
    <s v="Tax Advances"/>
    <x v="0"/>
    <x v="0"/>
    <m/>
    <x v="0"/>
    <m/>
    <n v="7683"/>
    <n v="0"/>
    <n v="0"/>
    <n v="7683"/>
  </r>
  <r>
    <n v="60"/>
    <s v="Atul Mehta (Loan A/c)"/>
    <s v="Loans &amp; Advances (Asset)"/>
    <x v="0"/>
    <x v="0"/>
    <m/>
    <x v="0"/>
    <m/>
    <n v="0"/>
    <n v="0"/>
    <n v="0"/>
    <n v="0"/>
  </r>
  <r>
    <n v="61"/>
    <s v="Auto Direct Heat Sealing Machine"/>
    <s v="Plant &amp; Machinery"/>
    <x v="0"/>
    <x v="0"/>
    <m/>
    <x v="0"/>
    <m/>
    <n v="1283.76"/>
    <n v="0"/>
    <n v="0"/>
    <n v="1283.76"/>
  </r>
  <r>
    <n v="62"/>
    <s v="Axis Bank Credit Card 4152"/>
    <s v="COMMON EXPENSE"/>
    <x v="1"/>
    <x v="1"/>
    <m/>
    <x v="1"/>
    <m/>
    <n v="0"/>
    <n v="0"/>
    <n v="0"/>
    <n v="0"/>
  </r>
  <r>
    <n v="63"/>
    <s v="Axis bank HORIZON Credit Card 5498 5205 1223 2211"/>
    <s v="Sundry Creditors for (Expenses)"/>
    <x v="1"/>
    <x v="1"/>
    <m/>
    <x v="1"/>
    <m/>
    <n v="0"/>
    <n v="0"/>
    <n v="0"/>
    <n v="0"/>
  </r>
  <r>
    <n v="64"/>
    <s v="Axis Bank Ltd Credit Card No. 5334670023248285"/>
    <s v="Sundry Creditors for (Expenses)"/>
    <x v="1"/>
    <x v="1"/>
    <m/>
    <x v="1"/>
    <m/>
    <n v="-1000"/>
    <n v="0"/>
    <n v="0"/>
    <n v="-1000"/>
  </r>
  <r>
    <n v="65"/>
    <s v="Axis Bank Ltd Credit Card No. 6530 4700 0565 2004"/>
    <s v="Sundry Creditors for (Expenses)"/>
    <x v="1"/>
    <x v="1"/>
    <m/>
    <x v="1"/>
    <m/>
    <n v="0"/>
    <n v="0"/>
    <n v="0"/>
    <n v="0"/>
  </r>
  <r>
    <n v="66"/>
    <s v="Aznelle Naturals Private Limited"/>
    <s v="Sundry Debtor Clarus (Current)"/>
    <x v="1"/>
    <x v="2"/>
    <m/>
    <x v="5"/>
    <m/>
    <n v="-229554.44"/>
    <n v="5000"/>
    <n v="38553"/>
    <n v="-263107.44"/>
  </r>
  <r>
    <n v="67"/>
    <s v="B.V.Dalal &amp; Co."/>
    <s v="Sundry Creditors for (Expenses)"/>
    <x v="1"/>
    <x v="1"/>
    <m/>
    <x v="1"/>
    <m/>
    <n v="-54000"/>
    <n v="0"/>
    <n v="0"/>
    <n v="-54000"/>
  </r>
  <r>
    <n v="68"/>
    <s v="Bagging And Sealiing Machine"/>
    <s v="Plant &amp; Machinery"/>
    <x v="0"/>
    <x v="0"/>
    <m/>
    <x v="0"/>
    <m/>
    <n v="249345.9"/>
    <n v="0"/>
    <n v="0"/>
    <n v="249345.9"/>
  </r>
  <r>
    <n v="69"/>
    <s v="Repair &amp; Maintenance - 18% (Office)"/>
    <s v="OFFICE EXPENSE"/>
    <x v="2"/>
    <x v="3"/>
    <s v="Repairs &amp; maintenance expenses"/>
    <x v="1"/>
    <m/>
    <n v="0"/>
    <n v="0"/>
    <n v="0"/>
    <n v="0"/>
  </r>
  <r>
    <n v="69"/>
    <s v="BAJAJ ALLIANZ GENRAL INSURANCE COMPANY LTD"/>
    <s v="SUNDRY CREDITORS (EXPORT)"/>
    <x v="1"/>
    <x v="1"/>
    <m/>
    <x v="1"/>
    <m/>
    <n v="0"/>
    <n v="17509"/>
    <n v="17509"/>
    <n v="0"/>
  </r>
  <r>
    <n v="70"/>
    <s v="Band Saw Style Cutting Machine"/>
    <s v="Plant &amp; Machinery"/>
    <x v="0"/>
    <x v="0"/>
    <m/>
    <x v="0"/>
    <m/>
    <n v="90672.54"/>
    <n v="0"/>
    <n v="0"/>
    <n v="90672.54"/>
  </r>
  <r>
    <n v="71"/>
    <s v="BANK CHARGES"/>
    <s v="COMMON EXPENSE"/>
    <x v="2"/>
    <x v="3"/>
    <s v="Bank charges"/>
    <x v="1"/>
    <m/>
    <n v="0"/>
    <n v="24.32"/>
    <n v="0"/>
    <n v="24.32"/>
  </r>
  <r>
    <n v="72"/>
    <s v="BANK CHARGES 18%"/>
    <s v="COMMON EXPENSE"/>
    <x v="2"/>
    <x v="3"/>
    <s v="Bank charges"/>
    <x v="1"/>
    <m/>
    <n v="0"/>
    <n v="600"/>
    <n v="0"/>
    <n v="600"/>
  </r>
  <r>
    <n v="73"/>
    <s v="Bank Charges URD"/>
    <s v="COMMON EXPENSE"/>
    <x v="2"/>
    <x v="3"/>
    <s v="Bank charges"/>
    <x v="1"/>
    <m/>
    <n v="0"/>
    <n v="0"/>
    <n v="0"/>
    <n v="0"/>
  </r>
  <r>
    <n v="74"/>
    <s v="BANK CHARGES(EXPORT)"/>
    <s v="EXPORT (EXPENSE)"/>
    <x v="2"/>
    <x v="3"/>
    <s v="Bank charges"/>
    <x v="3"/>
    <m/>
    <n v="0"/>
    <n v="600"/>
    <n v="0"/>
    <n v="600"/>
  </r>
  <r>
    <n v="75"/>
    <s v="BANK CHG GST 18% (EXPORT)"/>
    <s v="EXPORT (EXPENSE)"/>
    <x v="2"/>
    <x v="3"/>
    <s v="Bank charges"/>
    <x v="3"/>
    <m/>
    <n v="0"/>
    <n v="0"/>
    <n v="0"/>
    <n v="0"/>
  </r>
  <r>
    <n v="76"/>
    <s v="Bank Service - BMC"/>
    <s v="Sundry Creditors for (Expenses)"/>
    <x v="1"/>
    <x v="1"/>
    <m/>
    <x v="1"/>
    <m/>
    <n v="0"/>
    <n v="0"/>
    <n v="0"/>
    <n v="0"/>
  </r>
  <r>
    <n v="77"/>
    <s v="Bank Service - ICICI"/>
    <s v="Sundry Creditors for (Expenses)"/>
    <x v="1"/>
    <x v="1"/>
    <m/>
    <x v="1"/>
    <m/>
    <n v="0"/>
    <n v="0"/>
    <n v="0"/>
    <n v="0"/>
  </r>
  <r>
    <n v="78"/>
    <s v="Basic Pay - Bluestreak"/>
    <s v="Salary &amp; Wages - Bluestreak"/>
    <x v="2"/>
    <x v="3"/>
    <s v="Salary &amp; wages"/>
    <x v="2"/>
    <m/>
    <n v="0"/>
    <n v="0"/>
    <n v="0"/>
    <n v="0"/>
  </r>
  <r>
    <n v="79"/>
    <s v="Basic Pay - Factory"/>
    <s v="Salary &amp; Wages - Factory"/>
    <x v="2"/>
    <x v="3"/>
    <s v="Salary &amp; wages"/>
    <x v="1"/>
    <m/>
    <n v="0"/>
    <n v="14775"/>
    <n v="0"/>
    <n v="14775"/>
  </r>
  <r>
    <n v="80"/>
    <s v="Basic Pay - Office"/>
    <s v="Salary &amp; Wages - Office"/>
    <x v="2"/>
    <x v="3"/>
    <s v="Salary &amp; wages"/>
    <x v="1"/>
    <m/>
    <n v="0"/>
    <n v="85298"/>
    <n v="0"/>
    <n v="85298"/>
  </r>
  <r>
    <n v="81"/>
    <s v="Basic Pay-Clarus"/>
    <s v="Salary &amp; Wages - Clarus"/>
    <x v="2"/>
    <x v="3"/>
    <s v="Salary &amp; wages"/>
    <x v="5"/>
    <m/>
    <n v="0"/>
    <n v="0"/>
    <n v="0"/>
    <n v="0"/>
  </r>
  <r>
    <n v="82"/>
    <s v="Battery Zone"/>
    <s v="Sundry Creditors for Factory"/>
    <x v="1"/>
    <x v="1"/>
    <m/>
    <x v="1"/>
    <m/>
    <n v="0"/>
    <n v="0"/>
    <n v="0"/>
    <n v="0"/>
  </r>
  <r>
    <n v="83"/>
    <s v="Beriwal Computers &amp; Mobile"/>
    <s v="Chhattishgarh"/>
    <x v="1"/>
    <x v="2"/>
    <m/>
    <x v="2"/>
    <m/>
    <n v="0"/>
    <n v="0"/>
    <n v="0"/>
    <n v="0"/>
  </r>
  <r>
    <n v="84"/>
    <s v="Bhagwandas Sons"/>
    <s v="Sundry Debtor Clarus"/>
    <x v="1"/>
    <x v="2"/>
    <m/>
    <x v="5"/>
    <m/>
    <n v="0"/>
    <n v="0"/>
    <n v="0"/>
    <n v="0"/>
  </r>
  <r>
    <n v="85"/>
    <s v="Bhagyalaxmi Enterprises"/>
    <s v="Telangana"/>
    <x v="1"/>
    <x v="2"/>
    <m/>
    <x v="2"/>
    <m/>
    <n v="0"/>
    <n v="0"/>
    <n v="0"/>
    <n v="0"/>
  </r>
  <r>
    <n v="86"/>
    <s v="Bharat Agencies"/>
    <s v="Sundry Debtor Clarus"/>
    <x v="1"/>
    <x v="2"/>
    <m/>
    <x v="5"/>
    <m/>
    <n v="0"/>
    <n v="0"/>
    <n v="0"/>
    <n v="0"/>
  </r>
  <r>
    <n v="87"/>
    <s v="Bharti Airtel Limited"/>
    <s v="Sundry Creditors for (Expenses)"/>
    <x v="1"/>
    <x v="1"/>
    <m/>
    <x v="1"/>
    <m/>
    <n v="0"/>
    <n v="1295.6400000000001"/>
    <n v="0"/>
    <n v="1295.6400000000001"/>
  </r>
  <r>
    <n v="88"/>
    <s v="Bhavesh P Mhatre"/>
    <s v="Sundry Creditors (Transports/Logistics)"/>
    <x v="1"/>
    <x v="1"/>
    <m/>
    <x v="1"/>
    <m/>
    <n v="0"/>
    <n v="0"/>
    <n v="0"/>
    <n v="0"/>
  </r>
  <r>
    <n v="89"/>
    <s v="Bicnet Infoservices Pvt. Ltd."/>
    <s v="Sundry Creditors for (Expenses)"/>
    <x v="1"/>
    <x v="1"/>
    <m/>
    <x v="1"/>
    <m/>
    <n v="0"/>
    <n v="0"/>
    <n v="0"/>
    <n v="0"/>
  </r>
  <r>
    <n v="90"/>
    <s v="Bikes"/>
    <s v="Vehicles"/>
    <x v="0"/>
    <x v="0"/>
    <m/>
    <x v="0"/>
    <m/>
    <n v="1349.97"/>
    <n v="0"/>
    <n v="0"/>
    <n v="1349.97"/>
  </r>
  <r>
    <n v="91"/>
    <s v="Bio Time-3 (Full Loaded) with Adaptor"/>
    <s v="Office Equipment"/>
    <x v="0"/>
    <x v="0"/>
    <m/>
    <x v="0"/>
    <m/>
    <n v="1543.7"/>
    <n v="0"/>
    <n v="0"/>
    <n v="1543.7"/>
  </r>
  <r>
    <n v="92"/>
    <s v="Biomax Attendance Machine"/>
    <s v="Office Equipment"/>
    <x v="0"/>
    <x v="0"/>
    <m/>
    <x v="0"/>
    <m/>
    <n v="32161.02"/>
    <n v="0"/>
    <n v="0"/>
    <n v="32161.02"/>
  </r>
  <r>
    <n v="93"/>
    <s v="BL PROCESS CHARGES-FRT"/>
    <s v="EXPORT (EXPENSE)"/>
    <x v="2"/>
    <x v="4"/>
    <s v="Port Expenses"/>
    <x v="3"/>
    <m/>
    <n v="0"/>
    <n v="0"/>
    <n v="0"/>
    <n v="0"/>
  </r>
  <r>
    <n v="94"/>
    <s v="Blink Technologies FZCO"/>
    <s v="Export"/>
    <x v="1"/>
    <x v="2"/>
    <m/>
    <x v="3"/>
    <m/>
    <n v="38958814"/>
    <n v="0"/>
    <n v="33921159.170000002"/>
    <n v="5037654.83"/>
  </r>
  <r>
    <n v="95"/>
    <s v="Bombay Mercantile Co.Op.Bank Ltd."/>
    <s v="Bank OD A/c"/>
    <x v="0"/>
    <x v="0"/>
    <m/>
    <x v="0"/>
    <m/>
    <n v="0"/>
    <n v="0"/>
    <n v="0"/>
    <n v="0"/>
  </r>
  <r>
    <n v="96"/>
    <s v="Brew Lab Enterprises"/>
    <s v="Sundry Creditors for (Expenses)"/>
    <x v="1"/>
    <x v="1"/>
    <m/>
    <x v="1"/>
    <m/>
    <n v="0"/>
    <n v="0"/>
    <n v="0"/>
    <n v="0"/>
  </r>
  <r>
    <n v="97"/>
    <s v="Brokerage"/>
    <s v="SHARE EXPENSE"/>
    <x v="2"/>
    <x v="3"/>
    <s v="Brokerage and commission"/>
    <x v="6"/>
    <m/>
    <n v="0"/>
    <n v="0"/>
    <n v="0"/>
    <n v="0"/>
  </r>
  <r>
    <n v="98"/>
    <s v="Business Development Expenses"/>
    <s v="COMMON EXPENSE"/>
    <x v="2"/>
    <x v="3"/>
    <s v="Bussiness Development costs"/>
    <x v="1"/>
    <m/>
    <n v="0"/>
    <n v="0"/>
    <n v="0"/>
    <n v="0"/>
  </r>
  <r>
    <n v="99"/>
    <s v="BUSINESS DEVLOPEMENT (IT)"/>
    <s v="EXPORT (EXPENSE)"/>
    <x v="2"/>
    <x v="3"/>
    <s v="Bussiness Development costs"/>
    <x v="3"/>
    <m/>
    <n v="0"/>
    <n v="0"/>
    <n v="0"/>
    <n v="0"/>
  </r>
  <r>
    <n v="100"/>
    <s v="Buzz Retail India Pvt Ltd"/>
    <s v="Sundry Creditors for (Expenses)"/>
    <x v="1"/>
    <x v="1"/>
    <m/>
    <x v="1"/>
    <m/>
    <n v="0"/>
    <n v="0"/>
    <n v="0"/>
    <n v="0"/>
  </r>
  <r>
    <n v="101"/>
    <s v="Cabletronics"/>
    <s v="Rest of Maharashtra"/>
    <x v="1"/>
    <x v="2"/>
    <m/>
    <x v="2"/>
    <m/>
    <n v="-1768"/>
    <n v="0"/>
    <n v="0"/>
    <n v="-1768"/>
  </r>
  <r>
    <n v="102"/>
    <s v="Cancellation Charges ( Export )"/>
    <s v="EXPORT (EXPENSE)"/>
    <x v="2"/>
    <x v="3"/>
    <s v="Export charges"/>
    <x v="3"/>
    <m/>
    <n v="0"/>
    <n v="0"/>
    <n v="0"/>
    <n v="0"/>
  </r>
  <r>
    <n v="103"/>
    <s v="Canon LBP 2900 Laser Printer"/>
    <s v="Plant &amp; Machinery"/>
    <x v="0"/>
    <x v="0"/>
    <m/>
    <x v="0"/>
    <m/>
    <n v="24998.21"/>
    <n v="0"/>
    <n v="0"/>
    <n v="24998.21"/>
  </r>
  <r>
    <n v="104"/>
    <s v="Capital Loss"/>
    <s v="Indirect Incomes"/>
    <x v="2"/>
    <x v="5"/>
    <s v="Capital Loss"/>
    <x v="6"/>
    <m/>
    <n v="0"/>
    <n v="0"/>
    <n v="0"/>
    <n v="0"/>
  </r>
  <r>
    <n v="105"/>
    <s v="CAR INSURANCE (AJAY SIR)"/>
    <s v="OFFICE EXPENSE"/>
    <x v="2"/>
    <x v="3"/>
    <s v="Insurance expenses"/>
    <x v="1"/>
    <m/>
    <n v="0"/>
    <n v="0"/>
    <n v="0"/>
    <n v="0"/>
  </r>
  <r>
    <n v="106"/>
    <s v="CAR INSURANCE (EXPORT)"/>
    <s v="EXPORT (EXPENSE)"/>
    <x v="2"/>
    <x v="3"/>
    <s v="Insurance expenses"/>
    <x v="1"/>
    <m/>
    <n v="0"/>
    <n v="0"/>
    <n v="0"/>
    <n v="0"/>
  </r>
  <r>
    <n v="107"/>
    <s v="CAR ON RENT"/>
    <s v="COMMON EXPENSE"/>
    <x v="2"/>
    <x v="3"/>
    <s v="Rent expenses"/>
    <x v="1"/>
    <m/>
    <n v="0"/>
    <n v="0"/>
    <n v="0"/>
    <n v="0"/>
  </r>
  <r>
    <n v="108"/>
    <s v="Car Parking Charges"/>
    <s v="COMMON EXPENSE"/>
    <x v="2"/>
    <x v="3"/>
    <s v="Misc Expenses"/>
    <x v="1"/>
    <m/>
    <n v="0"/>
    <n v="0"/>
    <n v="0"/>
    <n v="0"/>
  </r>
  <r>
    <n v="109"/>
    <s v="Car Purchase"/>
    <s v="Vehicles"/>
    <x v="0"/>
    <x v="0"/>
    <m/>
    <x v="0"/>
    <m/>
    <n v="1335292.31"/>
    <n v="0"/>
    <n v="0"/>
    <n v="1335292.31"/>
  </r>
  <r>
    <n v="110"/>
    <s v="CARAVAN FREIGHT CARRIER PVT LTD"/>
    <s v="SUNDRY CREDITORS (EXPORT)"/>
    <x v="1"/>
    <x v="1"/>
    <m/>
    <x v="3"/>
    <m/>
    <n v="-123480"/>
    <n v="123480"/>
    <n v="0"/>
    <n v="0"/>
  </r>
  <r>
    <n v="111"/>
    <s v="Carriage Inward (Local) GST"/>
    <s v="COMMON EXPENSE"/>
    <x v="2"/>
    <x v="4"/>
    <s v="Loading &amp; Unloading charges"/>
    <x v="1"/>
    <m/>
    <n v="0"/>
    <n v="0"/>
    <n v="0"/>
    <n v="0"/>
  </r>
  <r>
    <n v="112"/>
    <s v="Carriage Inward (URD)"/>
    <s v="COMMON EXPENSE"/>
    <x v="2"/>
    <x v="4"/>
    <s v="Loading &amp; Unloading charges"/>
    <x v="1"/>
    <m/>
    <n v="0"/>
    <n v="18510"/>
    <n v="0"/>
    <n v="18510"/>
  </r>
  <r>
    <n v="113"/>
    <s v="Cash"/>
    <s v="Cash-in-Hand"/>
    <x v="0"/>
    <x v="0"/>
    <m/>
    <x v="0"/>
    <m/>
    <n v="0"/>
    <n v="0"/>
    <n v="0"/>
    <n v="0"/>
  </r>
  <r>
    <n v="114"/>
    <s v="CASTROL INDIA LTD."/>
    <s v="Share Investment Anand Rathi"/>
    <x v="0"/>
    <x v="0"/>
    <m/>
    <x v="0"/>
    <m/>
    <n v="0"/>
    <n v="0"/>
    <n v="0"/>
    <n v="0"/>
  </r>
  <r>
    <n v="115"/>
    <s v="CATHAY PACIFIC AIRWAYS LTD."/>
    <s v="SUNDRY CREDITORS (EXPORT)"/>
    <x v="1"/>
    <x v="1"/>
    <m/>
    <x v="3"/>
    <m/>
    <n v="0"/>
    <n v="0"/>
    <n v="0"/>
    <n v="0"/>
  </r>
  <r>
    <n v="116"/>
    <s v="CCL PRODUCTS INDIA LTD"/>
    <s v="Sundry Creditors for (Expenses)"/>
    <x v="1"/>
    <x v="1"/>
    <m/>
    <x v="1"/>
    <m/>
    <n v="0"/>
    <n v="0"/>
    <n v="0"/>
    <n v="0"/>
  </r>
  <r>
    <n v="117"/>
    <s v="CCTV Camera"/>
    <s v="Office Equipment"/>
    <x v="0"/>
    <x v="0"/>
    <m/>
    <x v="0"/>
    <m/>
    <n v="69226.13"/>
    <n v="0"/>
    <n v="0"/>
    <n v="69226.13"/>
  </r>
  <r>
    <n v="118"/>
    <s v="CFS CHARGE"/>
    <s v="EXPORT (EXPENSE)"/>
    <x v="2"/>
    <x v="4"/>
    <s v="Freight &amp; Shipping charges"/>
    <x v="3"/>
    <m/>
    <n v="0"/>
    <n v="0"/>
    <n v="0"/>
    <n v="0"/>
  </r>
  <r>
    <n v="119"/>
    <s v="CFS CHARGE-CHA"/>
    <s v="EXPORT (EXPENSE)"/>
    <x v="2"/>
    <x v="4"/>
    <s v="Freight &amp; Shipping charges"/>
    <x v="3"/>
    <m/>
    <n v="0"/>
    <n v="0"/>
    <n v="0"/>
    <n v="0"/>
  </r>
  <r>
    <n v="120"/>
    <s v="CGST 14%"/>
    <s v="GST Payable"/>
    <x v="0"/>
    <x v="0"/>
    <m/>
    <x v="0"/>
    <m/>
    <n v="0"/>
    <n v="0"/>
    <n v="0"/>
    <n v="0"/>
  </r>
  <r>
    <n v="121"/>
    <s v="CGST 2.5%"/>
    <s v="GST Payable"/>
    <x v="0"/>
    <x v="0"/>
    <m/>
    <x v="0"/>
    <m/>
    <n v="348252.15999999997"/>
    <n v="324787.86"/>
    <n v="0"/>
    <n v="673040.02"/>
  </r>
  <r>
    <n v="122"/>
    <s v="CGST 6%"/>
    <s v="GST Payable"/>
    <x v="0"/>
    <x v="0"/>
    <m/>
    <x v="0"/>
    <m/>
    <n v="-1329.9"/>
    <n v="54"/>
    <n v="0"/>
    <n v="-1275.9000000000001"/>
  </r>
  <r>
    <n v="123"/>
    <s v="CGST 9%"/>
    <s v="GST Payable"/>
    <x v="0"/>
    <x v="0"/>
    <m/>
    <x v="0"/>
    <m/>
    <n v="366374.3"/>
    <n v="400024"/>
    <n v="1847559.12"/>
    <n v="-1081160.82"/>
  </r>
  <r>
    <n v="124"/>
    <s v="CGST PAYABLE UNDER RCM"/>
    <s v="Reverse Charges Mechanisam"/>
    <x v="0"/>
    <x v="0"/>
    <m/>
    <x v="0"/>
    <m/>
    <n v="0"/>
    <n v="1500"/>
    <n v="0"/>
    <n v="1500"/>
  </r>
  <r>
    <n v="125"/>
    <s v="Chandresh Kishore Shah"/>
    <s v="ADV FROM CUSTOMER"/>
    <x v="0"/>
    <x v="0"/>
    <m/>
    <x v="0"/>
    <m/>
    <n v="0"/>
    <n v="0"/>
    <n v="0"/>
    <n v="0"/>
  </r>
  <r>
    <n v="126"/>
    <s v="Chohan Stationery &amp; Xerox"/>
    <s v="Sundry Creditors for (Expenses)"/>
    <x v="1"/>
    <x v="1"/>
    <m/>
    <x v="1"/>
    <m/>
    <n v="0"/>
    <n v="0"/>
    <n v="0"/>
    <n v="0"/>
  </r>
  <r>
    <n v="127"/>
    <s v="Citi Bank Credit Card -Platinum"/>
    <s v="COMMON EXPENSE"/>
    <x v="1"/>
    <x v="1"/>
    <m/>
    <x v="1"/>
    <m/>
    <n v="0"/>
    <n v="0"/>
    <n v="0"/>
    <n v="0"/>
  </r>
  <r>
    <n v="128"/>
    <s v="CitiBank Credit Card"/>
    <s v="COMMON EXPENSE"/>
    <x v="1"/>
    <x v="1"/>
    <m/>
    <x v="1"/>
    <m/>
    <n v="0"/>
    <n v="0"/>
    <n v="0"/>
    <n v="0"/>
  </r>
  <r>
    <n v="129"/>
    <s v="City Compensatory Allowance - Office"/>
    <s v="Salary &amp; Wages - Office"/>
    <x v="2"/>
    <x v="3"/>
    <s v="Salary &amp; wages"/>
    <x v="1"/>
    <m/>
    <n v="0"/>
    <n v="0"/>
    <n v="0"/>
    <n v="0"/>
  </r>
  <r>
    <n v="130"/>
    <s v="CLASSIC CREATION PRINT PACK PRIVATE LIMITED"/>
    <s v="Sundry Creditors ( Blue Streak )"/>
    <x v="1"/>
    <x v="1"/>
    <m/>
    <x v="2"/>
    <m/>
    <n v="0"/>
    <n v="0"/>
    <n v="0"/>
    <n v="0"/>
  </r>
  <r>
    <n v="131"/>
    <s v="Clicktech Retail Private Limited"/>
    <s v="Sundry Creditors for (Expenses)"/>
    <x v="1"/>
    <x v="1"/>
    <m/>
    <x v="1"/>
    <m/>
    <n v="0"/>
    <n v="0"/>
    <n v="0"/>
    <n v="0"/>
  </r>
  <r>
    <n v="132"/>
    <s v="Clicktech Retail Private Limited(GJ)"/>
    <s v="Sundry Creditors for (Expenses)"/>
    <x v="1"/>
    <x v="1"/>
    <m/>
    <x v="1"/>
    <m/>
    <n v="0"/>
    <n v="0"/>
    <n v="0"/>
    <n v="0"/>
  </r>
  <r>
    <n v="133"/>
    <s v="CLOUDSTORE RETAIL PRIVATE LIMITED"/>
    <s v="Sundry Creditors for (Expenses)"/>
    <x v="1"/>
    <x v="1"/>
    <m/>
    <x v="1"/>
    <m/>
    <n v="0"/>
    <n v="0"/>
    <n v="0"/>
    <n v="0"/>
  </r>
  <r>
    <n v="134"/>
    <s v="COCOBLU RETAIL LIMITED"/>
    <s v="Sundry Creditors for (Expenses)"/>
    <x v="1"/>
    <x v="1"/>
    <m/>
    <x v="1"/>
    <m/>
    <n v="0"/>
    <n v="0"/>
    <n v="0"/>
    <n v="0"/>
  </r>
  <r>
    <n v="135"/>
    <s v="Commission"/>
    <s v="Direct Incomes"/>
    <x v="2"/>
    <x v="5"/>
    <s v="Commission"/>
    <x v="3"/>
    <m/>
    <n v="0"/>
    <n v="0"/>
    <n v="17000000"/>
    <n v="-17000000"/>
  </r>
  <r>
    <n v="136"/>
    <s v="Compressor"/>
    <s v="Plant &amp; Machinery"/>
    <x v="0"/>
    <x v="0"/>
    <m/>
    <x v="0"/>
    <m/>
    <n v="7666.78"/>
    <n v="0"/>
    <n v="0"/>
    <n v="7666.78"/>
  </r>
  <r>
    <n v="137"/>
    <s v="Computer &amp; Cartridge Point"/>
    <s v="Rest of Maharashtra"/>
    <x v="1"/>
    <x v="2"/>
    <m/>
    <x v="2"/>
    <m/>
    <n v="26597"/>
    <n v="0"/>
    <n v="0"/>
    <n v="26597"/>
  </r>
  <r>
    <n v="138"/>
    <s v="Computer &amp; Peripherals"/>
    <s v="Computers"/>
    <x v="0"/>
    <x v="0"/>
    <m/>
    <x v="0"/>
    <m/>
    <n v="42546.02"/>
    <n v="0"/>
    <n v="0"/>
    <n v="42546.02"/>
  </r>
  <r>
    <n v="139"/>
    <s v="Computer Suppliers FZCO (Dubai)"/>
    <s v="Export"/>
    <x v="1"/>
    <x v="2"/>
    <m/>
    <x v="3"/>
    <m/>
    <n v="0"/>
    <n v="0"/>
    <n v="0"/>
    <n v="0"/>
  </r>
  <r>
    <n v="140"/>
    <s v="Computer World"/>
    <s v="SUNDRY DEBTORS BLUESTREAK - AJAYSIR"/>
    <x v="1"/>
    <x v="2"/>
    <m/>
    <x v="2"/>
    <m/>
    <n v="0"/>
    <n v="0"/>
    <n v="0"/>
    <n v="0"/>
  </r>
  <r>
    <n v="141"/>
    <s v="Compuworld Complete IT Solutions"/>
    <s v="Sundry Creditors for (Expenses)"/>
    <x v="1"/>
    <x v="1"/>
    <m/>
    <x v="1"/>
    <m/>
    <n v="0"/>
    <n v="0"/>
    <n v="0"/>
    <n v="0"/>
  </r>
  <r>
    <n v="142"/>
    <s v="Consultancy Charges (URD) (OFFICE)"/>
    <s v="OFFICE EXPENSE"/>
    <x v="2"/>
    <x v="3"/>
    <s v="Professional charges"/>
    <x v="1"/>
    <m/>
    <n v="0"/>
    <n v="2000"/>
    <n v="0"/>
    <n v="2000"/>
  </r>
  <r>
    <n v="143"/>
    <s v="Consulting Rooms Private Limited"/>
    <s v="Sundry Creditors for (Expenses)"/>
    <x v="1"/>
    <x v="1"/>
    <m/>
    <x v="1"/>
    <m/>
    <n v="0"/>
    <n v="0"/>
    <n v="0"/>
    <n v="0"/>
  </r>
  <r>
    <n v="144"/>
    <s v="Continious Sealing Machine"/>
    <s v="Plant &amp; Machinery"/>
    <x v="0"/>
    <x v="0"/>
    <m/>
    <x v="0"/>
    <m/>
    <n v="36972.86"/>
    <n v="0"/>
    <n v="0"/>
    <n v="36972.86"/>
  </r>
  <r>
    <n v="145"/>
    <s v="Conveyance - Factory"/>
    <s v="FACTORY EXPENSE"/>
    <x v="2"/>
    <x v="3"/>
    <s v="Conveyance expenses"/>
    <x v="1"/>
    <m/>
    <n v="0"/>
    <n v="0"/>
    <n v="0"/>
    <n v="0"/>
  </r>
  <r>
    <n v="146"/>
    <s v="Conveyance - Office"/>
    <s v="OFFICE EXPENSE"/>
    <x v="2"/>
    <x v="3"/>
    <s v="Conveyance expenses"/>
    <x v="1"/>
    <m/>
    <n v="0"/>
    <n v="1324"/>
    <n v="0"/>
    <n v="1324"/>
  </r>
  <r>
    <n v="147"/>
    <s v="Courier Charges (URD) (FACTORY)"/>
    <s v="FACTORY EXPENSE"/>
    <x v="2"/>
    <x v="3"/>
    <s v="Courier charges"/>
    <x v="1"/>
    <m/>
    <n v="0"/>
    <n v="0"/>
    <n v="0"/>
    <n v="0"/>
  </r>
  <r>
    <n v="148"/>
    <s v="Courier Charges (URD) (OFFICE)"/>
    <s v="OFFICE EXPENSE"/>
    <x v="2"/>
    <x v="3"/>
    <s v="Courier charges"/>
    <x v="1"/>
    <m/>
    <n v="0"/>
    <n v="21030.560000000001"/>
    <n v="0"/>
    <n v="21030.560000000001"/>
  </r>
  <r>
    <n v="149"/>
    <s v="Courier Charges GST 18%"/>
    <s v="COMMON EXPENSE"/>
    <x v="2"/>
    <x v="3"/>
    <s v="Courier charges"/>
    <x v="1"/>
    <m/>
    <n v="0"/>
    <n v="14235"/>
    <n v="0"/>
    <n v="14235"/>
  </r>
  <r>
    <n v="150"/>
    <s v="Crates"/>
    <s v="Furniture &amp; Fittings"/>
    <x v="0"/>
    <x v="0"/>
    <m/>
    <x v="0"/>
    <m/>
    <n v="4652.6400000000003"/>
    <n v="0"/>
    <n v="0"/>
    <n v="4652.6400000000003"/>
  </r>
  <r>
    <n v="151"/>
    <s v="Currency Exchange (EXPORT)"/>
    <s v="EXPORT (EXPENSE)"/>
    <x v="2"/>
    <x v="3"/>
    <s v="Travelling expenses"/>
    <x v="3"/>
    <m/>
    <n v="0"/>
    <n v="0"/>
    <n v="0"/>
    <n v="0"/>
  </r>
  <r>
    <n v="152"/>
    <s v="Currency Exchange (Office)"/>
    <s v="OFFICE EXPENSE"/>
    <x v="2"/>
    <x v="3"/>
    <s v="Travelling expenses"/>
    <x v="1"/>
    <m/>
    <n v="0"/>
    <n v="0"/>
    <n v="0"/>
    <n v="0"/>
  </r>
  <r>
    <n v="153"/>
    <s v="CUSTOM CLEARANCE CHARGES-CHA"/>
    <s v="EXPORT (EXPENSE)"/>
    <x v="2"/>
    <x v="4"/>
    <s v="Export charges"/>
    <x v="3"/>
    <m/>
    <n v="0"/>
    <n v="0"/>
    <n v="16833"/>
    <n v="-16833"/>
  </r>
  <r>
    <n v="154"/>
    <s v="D S DATA SPEC PRIVATE LIMITED"/>
    <s v="SUNDRY CREDITORS (EXPORT)"/>
    <x v="1"/>
    <x v="1"/>
    <m/>
    <x v="3"/>
    <m/>
    <n v="0"/>
    <n v="0"/>
    <n v="0"/>
    <n v="0"/>
  </r>
  <r>
    <n v="155"/>
    <s v="D. S. Data Spec Pvt Ltd"/>
    <s v="SUNDRY DEBTORS BLUESTREAK - AJAYSIR"/>
    <x v="1"/>
    <x v="2"/>
    <m/>
    <x v="2"/>
    <m/>
    <n v="0"/>
    <n v="0"/>
    <n v="0"/>
    <n v="0"/>
  </r>
  <r>
    <n v="156"/>
    <s v="D.B.Enterprises"/>
    <s v="Rajasthan"/>
    <x v="1"/>
    <x v="2"/>
    <m/>
    <x v="2"/>
    <m/>
    <n v="0"/>
    <n v="0"/>
    <n v="0"/>
    <n v="0"/>
  </r>
  <r>
    <n v="157"/>
    <s v="D.M. Plant &amp; UV Systems"/>
    <s v="Plant &amp; Machinery"/>
    <x v="0"/>
    <x v="0"/>
    <m/>
    <x v="0"/>
    <m/>
    <n v="4735.38"/>
    <n v="0"/>
    <n v="0"/>
    <n v="4735.38"/>
  </r>
  <r>
    <n v="158"/>
    <s v="D.P CHARGE"/>
    <s v="SHARE EXPENSE"/>
    <x v="2"/>
    <x v="3"/>
    <s v="Share trading expenses"/>
    <x v="6"/>
    <m/>
    <n v="0"/>
    <n v="0"/>
    <n v="0"/>
    <n v="0"/>
  </r>
  <r>
    <n v="159"/>
    <s v="Das Paper Enterprises"/>
    <s v="West Bengal"/>
    <x v="1"/>
    <x v="2"/>
    <m/>
    <x v="2"/>
    <m/>
    <n v="0"/>
    <n v="0"/>
    <n v="0"/>
    <n v="0"/>
  </r>
  <r>
    <n v="160"/>
    <s v="Datamation Services"/>
    <s v="SUNDRY CREDITORS (EXPORT)"/>
    <x v="1"/>
    <x v="1"/>
    <m/>
    <x v="3"/>
    <m/>
    <n v="0"/>
    <n v="0"/>
    <n v="0"/>
    <n v="0"/>
  </r>
  <r>
    <n v="161"/>
    <s v="Dawntech Electronics Pvt. Ltd."/>
    <s v="Sundry Creditors for (Expenses)"/>
    <x v="1"/>
    <x v="1"/>
    <m/>
    <x v="1"/>
    <m/>
    <n v="0"/>
    <n v="0"/>
    <n v="0"/>
    <n v="0"/>
  </r>
  <r>
    <n v="162"/>
    <s v="Deepanshu Enterprises"/>
    <s v="Rajasthan"/>
    <x v="1"/>
    <x v="2"/>
    <m/>
    <x v="2"/>
    <m/>
    <n v="0"/>
    <n v="0"/>
    <n v="0"/>
    <n v="0"/>
  </r>
  <r>
    <n v="163"/>
    <s v="Delta Make A.C. Drive"/>
    <s v="Plant &amp; Machinery"/>
    <x v="0"/>
    <x v="0"/>
    <m/>
    <x v="0"/>
    <m/>
    <n v="13273.49"/>
    <n v="0"/>
    <n v="0"/>
    <n v="13273.49"/>
  </r>
  <r>
    <n v="164"/>
    <s v="Demat Charges"/>
    <s v="OFFICE EXPENSE"/>
    <x v="2"/>
    <x v="3"/>
    <s v="Share trading expenses"/>
    <x v="1"/>
    <m/>
    <n v="0"/>
    <n v="0"/>
    <n v="0"/>
    <n v="0"/>
  </r>
  <r>
    <n v="165"/>
    <s v="DEPRECIATION"/>
    <s v="COMMON EXPENSE"/>
    <x v="2"/>
    <x v="3"/>
    <s v="Depreciation"/>
    <x v="1"/>
    <m/>
    <n v="0"/>
    <n v="0"/>
    <n v="0"/>
    <n v="0"/>
  </r>
  <r>
    <n v="166"/>
    <s v="Device Technologies"/>
    <s v="Rest of Maharashtra"/>
    <x v="1"/>
    <x v="2"/>
    <m/>
    <x v="2"/>
    <m/>
    <n v="0"/>
    <n v="0"/>
    <n v="0"/>
    <n v="0"/>
  </r>
  <r>
    <n v="167"/>
    <s v="DH-5M-5Rolls Wet Tissue Spunlaced Converting Machin"/>
    <s v="Plant &amp; Machinery"/>
    <x v="0"/>
    <x v="0"/>
    <m/>
    <x v="0"/>
    <m/>
    <n v="261129.93"/>
    <n v="0"/>
    <n v="0"/>
    <n v="261129.93"/>
  </r>
  <r>
    <n v="168"/>
    <s v="Dhal Associates"/>
    <s v="Sundry Debtor Clarus (Current)"/>
    <x v="1"/>
    <x v="2"/>
    <m/>
    <x v="5"/>
    <m/>
    <n v="0"/>
    <n v="0"/>
    <n v="0"/>
    <n v="0"/>
  </r>
  <r>
    <n v="169"/>
    <s v="Dia &amp; Mould A/c"/>
    <s v="Plant &amp; Machinery"/>
    <x v="0"/>
    <x v="0"/>
    <m/>
    <x v="0"/>
    <m/>
    <n v="442000"/>
    <n v="0"/>
    <n v="0"/>
    <n v="442000"/>
  </r>
  <r>
    <n v="170"/>
    <s v="Differences &amp; Discount (BLUE STREAK)"/>
    <s v="SALES BLUESTREAK"/>
    <x v="2"/>
    <x v="6"/>
    <s v="Sales"/>
    <x v="2"/>
    <m/>
    <n v="0"/>
    <n v="0"/>
    <n v="0"/>
    <n v="0"/>
  </r>
  <r>
    <n v="171"/>
    <s v="DIGITAL IT SOLUTIONS"/>
    <s v="SUNDRY CREDITORS (EXPORT)"/>
    <x v="1"/>
    <x v="1"/>
    <m/>
    <x v="3"/>
    <m/>
    <n v="282"/>
    <n v="0"/>
    <n v="0"/>
    <n v="282"/>
  </r>
  <r>
    <n v="172"/>
    <s v="Digital Mediation"/>
    <s v="Madhya Pradesh"/>
    <x v="1"/>
    <x v="2"/>
    <m/>
    <x v="2"/>
    <m/>
    <n v="0"/>
    <n v="0"/>
    <n v="0"/>
    <n v="0"/>
  </r>
  <r>
    <n v="173"/>
    <s v="DILIP AGENCY RK"/>
    <s v="Sundry Debtor Clarus (Current)"/>
    <x v="1"/>
    <x v="2"/>
    <m/>
    <x v="5"/>
    <m/>
    <n v="0"/>
    <n v="0"/>
    <n v="0"/>
    <n v="0"/>
  </r>
  <r>
    <n v="174"/>
    <s v="Dilip Kisan Rathod"/>
    <s v="Sundry Creditors"/>
    <x v="1"/>
    <x v="1"/>
    <m/>
    <x v="1"/>
    <m/>
    <n v="0"/>
    <n v="0"/>
    <n v="0"/>
    <n v="0"/>
  </r>
  <r>
    <n v="175"/>
    <s v="Dilip Kisan Rathod Loan A/c"/>
    <s v="STAFF LOAN - FACTORY"/>
    <x v="0"/>
    <x v="0"/>
    <m/>
    <x v="0"/>
    <m/>
    <n v="40000"/>
    <n v="0"/>
    <n v="0"/>
    <n v="40000"/>
  </r>
  <r>
    <n v="176"/>
    <s v="Dilip Sales"/>
    <s v="Sundry Debtor Clarus"/>
    <x v="1"/>
    <x v="2"/>
    <m/>
    <x v="5"/>
    <m/>
    <n v="0"/>
    <n v="0"/>
    <n v="0"/>
    <n v="0"/>
  </r>
  <r>
    <n v="177"/>
    <s v="DISCOUNT &amp; DIFFERENCE (CLARUS)"/>
    <s v="CLARUS (EXPENSE)"/>
    <x v="2"/>
    <x v="7"/>
    <s v="Purchase"/>
    <x v="5"/>
    <m/>
    <n v="0"/>
    <n v="0"/>
    <n v="0"/>
    <n v="0"/>
  </r>
  <r>
    <n v="178"/>
    <s v="Discount Expense"/>
    <s v="BLUESTREAK (EXPENSES)"/>
    <x v="2"/>
    <x v="6"/>
    <s v="Sales"/>
    <x v="2"/>
    <m/>
    <n v="0"/>
    <n v="0"/>
    <n v="0"/>
    <n v="0"/>
  </r>
  <r>
    <n v="179"/>
    <s v="Discount on Sales (CLARUS)"/>
    <s v="SALES CLARUS"/>
    <x v="2"/>
    <x v="6"/>
    <s v="Sales"/>
    <x v="5"/>
    <m/>
    <n v="0"/>
    <n v="0"/>
    <n v="0"/>
    <n v="0"/>
  </r>
  <r>
    <n v="180"/>
    <s v="Discount On Sales Export"/>
    <s v="SALES EXPORT"/>
    <x v="2"/>
    <x v="6"/>
    <s v="Sales"/>
    <x v="3"/>
    <m/>
    <n v="0"/>
    <n v="0"/>
    <n v="0"/>
    <n v="0"/>
  </r>
  <r>
    <n v="181"/>
    <s v="Discount On Sales IT"/>
    <s v="SALES IT"/>
    <x v="2"/>
    <x v="6"/>
    <s v="Sales"/>
    <x v="3"/>
    <m/>
    <n v="0"/>
    <n v="0"/>
    <n v="0"/>
    <n v="0"/>
  </r>
  <r>
    <n v="182"/>
    <s v="Display TV"/>
    <s v="Office Equipment"/>
    <x v="0"/>
    <x v="0"/>
    <m/>
    <x v="0"/>
    <m/>
    <n v="32990"/>
    <n v="0"/>
    <n v="0"/>
    <n v="32990"/>
  </r>
  <r>
    <n v="183"/>
    <s v="Dividend Income"/>
    <s v="Share Dividend Income"/>
    <x v="2"/>
    <x v="5"/>
    <s v="Dividend "/>
    <x v="6"/>
    <m/>
    <n v="0"/>
    <n v="0"/>
    <n v="0"/>
    <n v="0"/>
  </r>
  <r>
    <n v="184"/>
    <s v="Dividend Receivable"/>
    <s v="Current Assets"/>
    <x v="0"/>
    <x v="0"/>
    <m/>
    <x v="0"/>
    <m/>
    <n v="4500"/>
    <n v="0"/>
    <n v="0"/>
    <n v="4500"/>
  </r>
  <r>
    <n v="185"/>
    <s v="DM Services Private Limited"/>
    <s v="SUNDRY CREDITORS (EXPORT)"/>
    <x v="1"/>
    <x v="1"/>
    <m/>
    <x v="3"/>
    <m/>
    <n v="24841"/>
    <n v="0"/>
    <n v="24841"/>
    <n v="0"/>
  </r>
  <r>
    <n v="186"/>
    <s v="DOCUMENTATION CHARGES"/>
    <s v="Direct Expense"/>
    <x v="2"/>
    <x v="4"/>
    <s v="Port Expenses"/>
    <x v="3"/>
    <m/>
    <n v="0"/>
    <n v="0"/>
    <n v="0"/>
    <n v="0"/>
  </r>
  <r>
    <n v="187"/>
    <s v="Donation"/>
    <s v="COMMON EXPENSE"/>
    <x v="2"/>
    <x v="3"/>
    <s v="Donation"/>
    <x v="1"/>
    <m/>
    <n v="0"/>
    <n v="400"/>
    <n v="0"/>
    <n v="400"/>
  </r>
  <r>
    <n v="188"/>
    <s v="Dtdc Express Limited"/>
    <s v="Sundry Creditors (Transports/Logistics)"/>
    <x v="1"/>
    <x v="1"/>
    <m/>
    <x v="1"/>
    <m/>
    <n v="-29982.62"/>
    <n v="0"/>
    <n v="0"/>
    <n v="-29982.62"/>
  </r>
  <r>
    <n v="189"/>
    <s v="DURALABEL GRAPHICS PVT LTD"/>
    <s v="Sundry Creditors ( Clarus )"/>
    <x v="1"/>
    <x v="1"/>
    <m/>
    <x v="5"/>
    <m/>
    <n v="0"/>
    <n v="0"/>
    <n v="0"/>
    <n v="0"/>
  </r>
  <r>
    <n v="190"/>
    <s v="OCEAN FREIGHT CHARGES - SPICE"/>
    <s v="SPICE EXPENSE"/>
    <x v="2"/>
    <x v="4"/>
    <s v="Port Expenses"/>
    <x v="4"/>
    <m/>
    <n v="0"/>
    <n v="1412974.26"/>
    <n v="0"/>
    <n v="1412974.26"/>
  </r>
  <r>
    <n v="190"/>
    <s v="E.S.I.C."/>
    <s v="Indirect Expenses"/>
    <x v="2"/>
    <x v="3"/>
    <s v="Salary &amp; wages"/>
    <x v="1"/>
    <m/>
    <n v="0"/>
    <n v="0"/>
    <n v="0"/>
    <n v="0"/>
  </r>
  <r>
    <n v="191"/>
    <s v="EL Enterprises"/>
    <s v="Statewise"/>
    <x v="1"/>
    <x v="2"/>
    <m/>
    <x v="2"/>
    <m/>
    <n v="0"/>
    <n v="0"/>
    <n v="0"/>
    <n v="0"/>
  </r>
  <r>
    <n v="192"/>
    <s v="Electricity Charges - Factory"/>
    <s v="FACTORY EXPENSE"/>
    <x v="2"/>
    <x v="3"/>
    <s v="Electricity charges"/>
    <x v="1"/>
    <m/>
    <n v="0"/>
    <n v="1680"/>
    <n v="0"/>
    <n v="1680"/>
  </r>
  <r>
    <n v="193"/>
    <s v="Electricity Charges - Factory(TAMBADMAL)"/>
    <s v="BLUESTREAK (EXPENSES)"/>
    <x v="2"/>
    <x v="3"/>
    <s v="Electricity charges"/>
    <x v="2"/>
    <m/>
    <n v="0"/>
    <n v="0"/>
    <n v="0"/>
    <n v="0"/>
  </r>
  <r>
    <n v="194"/>
    <s v="Electricity Charges - Office"/>
    <s v="OFFICE EXPENSE"/>
    <x v="2"/>
    <x v="3"/>
    <s v="Electricity charges"/>
    <x v="1"/>
    <m/>
    <n v="0"/>
    <n v="6790"/>
    <n v="0"/>
    <n v="6790"/>
  </r>
  <r>
    <n v="195"/>
    <s v="Electricity Deposit (MSEB)"/>
    <s v="Deposits (Asset)"/>
    <x v="0"/>
    <x v="0"/>
    <m/>
    <x v="0"/>
    <m/>
    <n v="21820"/>
    <n v="0"/>
    <n v="0"/>
    <n v="21820"/>
  </r>
  <r>
    <n v="196"/>
    <s v="Electronic Weighting Scale"/>
    <s v="Plant &amp; Machinery"/>
    <x v="0"/>
    <x v="0"/>
    <m/>
    <x v="0"/>
    <m/>
    <n v="4163.62"/>
    <n v="0"/>
    <n v="0"/>
    <n v="4163.62"/>
  </r>
  <r>
    <n v="197"/>
    <s v="EMIRATES"/>
    <s v="SUNDRY CREDITORS (EXPORT)"/>
    <x v="1"/>
    <x v="1"/>
    <m/>
    <x v="3"/>
    <m/>
    <n v="0"/>
    <n v="0"/>
    <n v="0"/>
    <n v="0"/>
  </r>
  <r>
    <n v="198"/>
    <s v="Employer's Contri  to Pension Fund A/c # 10 -Fac."/>
    <s v="Employer's Contribution - Factory"/>
    <x v="0"/>
    <x v="0"/>
    <m/>
    <x v="0"/>
    <m/>
    <n v="0"/>
    <n v="0"/>
    <n v="0"/>
    <n v="0"/>
  </r>
  <r>
    <n v="199"/>
    <s v="Employers Contribution ESIC Payable - Office"/>
    <s v="ESIC Payable"/>
    <x v="0"/>
    <x v="0"/>
    <m/>
    <x v="0"/>
    <m/>
    <n v="0"/>
    <n v="1141"/>
    <n v="0"/>
    <n v="1141"/>
  </r>
  <r>
    <n v="200"/>
    <s v="Employer's Contribution Paid"/>
    <s v="Indirect Expenses"/>
    <x v="2"/>
    <x v="3"/>
    <s v="Salary &amp; wages"/>
    <x v="1"/>
    <m/>
    <n v="0"/>
    <n v="0"/>
    <n v="0"/>
    <n v="0"/>
  </r>
  <r>
    <n v="201"/>
    <s v="Employers Contribution Payable"/>
    <s v="ESIC  Payable Office"/>
    <x v="0"/>
    <x v="0"/>
    <m/>
    <x v="0"/>
    <m/>
    <n v="0"/>
    <n v="0"/>
    <n v="0"/>
    <n v="0"/>
  </r>
  <r>
    <n v="202"/>
    <s v="Employers Contribution Payable - Bluestreak"/>
    <s v="ESIC  Payable - Bluestreak"/>
    <x v="0"/>
    <x v="0"/>
    <m/>
    <x v="0"/>
    <m/>
    <n v="0"/>
    <n v="0"/>
    <n v="0"/>
    <n v="0"/>
  </r>
  <r>
    <n v="203"/>
    <s v="Employers Contribution Payable - Fact."/>
    <s v="PF &amp; ESIC Payable - Factory"/>
    <x v="0"/>
    <x v="0"/>
    <m/>
    <x v="0"/>
    <m/>
    <n v="0"/>
    <n v="566"/>
    <n v="0"/>
    <n v="566"/>
  </r>
  <r>
    <n v="204"/>
    <s v="Employer's Contribution to PF A/c # 1 -Fac."/>
    <s v="Employer's Contribution - Fact"/>
    <x v="0"/>
    <x v="0"/>
    <m/>
    <x v="0"/>
    <m/>
    <n v="0"/>
    <n v="0"/>
    <n v="0"/>
    <n v="0"/>
  </r>
  <r>
    <n v="205"/>
    <s v="EPF - Employee's Share of Contribution A/c No.01"/>
    <s v="ESIC  Payable Office"/>
    <x v="0"/>
    <x v="0"/>
    <m/>
    <x v="0"/>
    <m/>
    <n v="0"/>
    <n v="0"/>
    <n v="0"/>
    <n v="0"/>
  </r>
  <r>
    <n v="206"/>
    <s v="EPF - Employer's Share of Contribution A/c No.01"/>
    <s v="Employer's Contribution - Factory"/>
    <x v="0"/>
    <x v="0"/>
    <m/>
    <x v="0"/>
    <m/>
    <n v="0"/>
    <n v="0"/>
    <n v="0"/>
    <n v="0"/>
  </r>
  <r>
    <n v="207"/>
    <s v="EPF Administration Charges A/c # 2 - Fac."/>
    <s v="PF &amp; ESIC Payable - Factory"/>
    <x v="0"/>
    <x v="0"/>
    <m/>
    <x v="0"/>
    <m/>
    <n v="0"/>
    <n v="0"/>
    <n v="0"/>
    <n v="0"/>
  </r>
  <r>
    <n v="208"/>
    <s v="EPF -Employee's Share of Contribution A/c No.01 Fac"/>
    <s v="PF &amp; ESIC Payable - Factory"/>
    <x v="0"/>
    <x v="0"/>
    <m/>
    <x v="0"/>
    <m/>
    <n v="0"/>
    <n v="0"/>
    <n v="0"/>
    <n v="0"/>
  </r>
  <r>
    <n v="209"/>
    <s v="EPF Employer's Contribution A/c No. 01 &amp; 10"/>
    <s v="PF &amp; ESIC Payable - Factory"/>
    <x v="0"/>
    <x v="0"/>
    <m/>
    <x v="0"/>
    <m/>
    <n v="0"/>
    <n v="0"/>
    <n v="0"/>
    <n v="0"/>
  </r>
  <r>
    <n v="210"/>
    <s v="EPF Employer's Contribution to PF A/c # 21 - Fac."/>
    <s v="PF &amp; ESIC Payable - Factory"/>
    <x v="0"/>
    <x v="0"/>
    <m/>
    <x v="0"/>
    <m/>
    <n v="0"/>
    <n v="0"/>
    <n v="0"/>
    <n v="0"/>
  </r>
  <r>
    <n v="211"/>
    <s v="EPF Expenses"/>
    <s v="Salary &amp; Wages - Factory"/>
    <x v="2"/>
    <x v="3"/>
    <s v="Salary &amp; wages"/>
    <x v="1"/>
    <m/>
    <n v="0"/>
    <n v="0"/>
    <n v="0"/>
    <n v="0"/>
  </r>
  <r>
    <n v="212"/>
    <s v="Equity Share Capital"/>
    <s v="Capital Account"/>
    <x v="0"/>
    <x v="0"/>
    <m/>
    <x v="0"/>
    <m/>
    <n v="-2490000"/>
    <n v="0"/>
    <n v="0"/>
    <n v="-2490000"/>
  </r>
  <r>
    <n v="213"/>
    <s v="ESIC - Employees - Bluestreak"/>
    <s v="ESIC  Payable - Bluestreak"/>
    <x v="0"/>
    <x v="0"/>
    <m/>
    <x v="0"/>
    <m/>
    <n v="0"/>
    <n v="0"/>
    <n v="0"/>
    <n v="0"/>
  </r>
  <r>
    <n v="214"/>
    <s v="ESIC - Employees  -Factory"/>
    <s v="PF &amp; ESIC Payable - Factory"/>
    <x v="0"/>
    <x v="0"/>
    <m/>
    <x v="0"/>
    <m/>
    <n v="-131"/>
    <n v="131"/>
    <n v="133"/>
    <n v="-133"/>
  </r>
  <r>
    <n v="215"/>
    <s v="ESIC - Employees - Office"/>
    <s v="ESIC  Payable Office"/>
    <x v="0"/>
    <x v="0"/>
    <m/>
    <x v="0"/>
    <m/>
    <n v="-264"/>
    <n v="264"/>
    <n v="257"/>
    <n v="-257"/>
  </r>
  <r>
    <n v="216"/>
    <s v="ESIC - Employer's - Bluestreak"/>
    <s v="Employer's Contribution - Bluestreak"/>
    <x v="0"/>
    <x v="0"/>
    <m/>
    <x v="0"/>
    <m/>
    <n v="0"/>
    <n v="0"/>
    <n v="0"/>
    <n v="0"/>
  </r>
  <r>
    <n v="217"/>
    <s v="ESIC - Employer's - Fac."/>
    <s v="Employer's Contribution - Factory"/>
    <x v="0"/>
    <x v="0"/>
    <m/>
    <x v="0"/>
    <m/>
    <n v="0"/>
    <n v="0"/>
    <n v="0"/>
    <n v="0"/>
  </r>
  <r>
    <n v="218"/>
    <s v="ESIC - Employer's - Office"/>
    <s v="Employer's Contribution - Office"/>
    <x v="0"/>
    <x v="0"/>
    <m/>
    <x v="0"/>
    <m/>
    <n v="0"/>
    <n v="0"/>
    <n v="0"/>
    <n v="0"/>
  </r>
  <r>
    <n v="219"/>
    <s v="ESIC Employers Bluestreak Exp"/>
    <s v="BLUESTREAK (EXPENSES)"/>
    <x v="2"/>
    <x v="3"/>
    <s v="Salary &amp; wages"/>
    <x v="2"/>
    <m/>
    <n v="0"/>
    <n v="0"/>
    <n v="0"/>
    <n v="0"/>
  </r>
  <r>
    <n v="220"/>
    <s v="ESIC Employers Factory Expense"/>
    <s v="Salary &amp; Wages - Factory"/>
    <x v="2"/>
    <x v="3"/>
    <s v="Salary &amp; wages"/>
    <x v="1"/>
    <m/>
    <n v="0"/>
    <n v="0"/>
    <n v="0"/>
    <n v="0"/>
  </r>
  <r>
    <n v="221"/>
    <s v="ESIC Employers Office Expense"/>
    <s v="Salary &amp; Wages - Office"/>
    <x v="2"/>
    <x v="3"/>
    <s v="Salary &amp; wages"/>
    <x v="1"/>
    <m/>
    <n v="0"/>
    <n v="0"/>
    <n v="0"/>
    <n v="0"/>
  </r>
  <r>
    <n v="222"/>
    <s v="Etrade Marketing Pvt Ltd"/>
    <s v="Sundry Creditors for (Expenses)"/>
    <x v="1"/>
    <x v="1"/>
    <m/>
    <x v="1"/>
    <m/>
    <n v="0"/>
    <n v="0"/>
    <n v="0"/>
    <n v="0"/>
  </r>
  <r>
    <n v="223"/>
    <s v="EXAMINATION CHARGES"/>
    <s v="Direct Expense"/>
    <x v="2"/>
    <x v="4"/>
    <s v="Port Expenses"/>
    <x v="3"/>
    <m/>
    <n v="0"/>
    <n v="0"/>
    <n v="0"/>
    <n v="0"/>
  </r>
  <r>
    <n v="224"/>
    <s v="Expenses Payable"/>
    <s v="Liabilities for Expenses"/>
    <x v="0"/>
    <x v="0"/>
    <m/>
    <x v="0"/>
    <m/>
    <n v="25775"/>
    <n v="0"/>
    <n v="0"/>
    <n v="25775"/>
  </r>
  <r>
    <n v="225"/>
    <s v="Expenses Payable - Bluestreak ( Bonus )"/>
    <s v="BLUESTREAK (EXPENSES)"/>
    <x v="2"/>
    <x v="3"/>
    <s v="Salary &amp; wages"/>
    <x v="2"/>
    <m/>
    <n v="0"/>
    <n v="0"/>
    <n v="0"/>
    <n v="0"/>
  </r>
  <r>
    <n v="226"/>
    <s v="Expenses Payable - Clarus ( Bonus )"/>
    <s v="CLARUS (EXPENSE)"/>
    <x v="2"/>
    <x v="3"/>
    <s v="Salary &amp; wages"/>
    <x v="5"/>
    <m/>
    <n v="0"/>
    <n v="0"/>
    <n v="0"/>
    <n v="0"/>
  </r>
  <r>
    <n v="227"/>
    <s v="Expenses Payable - Factory ( Bonus )"/>
    <s v="FACTORY EXPENSE"/>
    <x v="2"/>
    <x v="3"/>
    <s v="Salary &amp; wages"/>
    <x v="1"/>
    <m/>
    <n v="0"/>
    <n v="0"/>
    <n v="0"/>
    <n v="0"/>
  </r>
  <r>
    <n v="228"/>
    <s v="Expenses Payable - Office ( Bonus )"/>
    <s v="OFFICE EXPENSE"/>
    <x v="2"/>
    <x v="3"/>
    <s v="Salary &amp; wages"/>
    <x v="1"/>
    <m/>
    <n v="0"/>
    <n v="13904"/>
    <n v="0"/>
    <n v="13904"/>
  </r>
  <r>
    <n v="229"/>
    <s v="EXPORT GST REFUND"/>
    <s v="Tax Advances"/>
    <x v="0"/>
    <x v="0"/>
    <m/>
    <x v="0"/>
    <m/>
    <n v="-1060335"/>
    <n v="0"/>
    <n v="0"/>
    <n v="-1060335"/>
  </r>
  <r>
    <n v="230"/>
    <s v="Eye Mark Sensor"/>
    <s v="Plant &amp; Machinery"/>
    <x v="0"/>
    <x v="0"/>
    <m/>
    <x v="0"/>
    <m/>
    <n v="5383.47"/>
    <n v="0"/>
    <n v="0"/>
    <n v="5383.47"/>
  </r>
  <r>
    <n v="231"/>
    <s v="Falguni Mehta Loan A/c"/>
    <s v="Unsecured Loans"/>
    <x v="0"/>
    <x v="0"/>
    <m/>
    <x v="0"/>
    <m/>
    <n v="-33366666.670000002"/>
    <n v="2184388"/>
    <n v="2184388"/>
    <n v="-33366666.670000002"/>
  </r>
  <r>
    <n v="232"/>
    <s v="Fans"/>
    <s v="Furniture &amp; Fittings"/>
    <x v="0"/>
    <x v="0"/>
    <m/>
    <x v="0"/>
    <m/>
    <n v="5154.6400000000003"/>
    <n v="0"/>
    <n v="0"/>
    <n v="5154.6400000000003"/>
  </r>
  <r>
    <n v="233"/>
    <s v="Fax Machine"/>
    <s v="Office Equipment"/>
    <x v="0"/>
    <x v="0"/>
    <m/>
    <x v="0"/>
    <m/>
    <n v="405.6"/>
    <n v="0"/>
    <n v="0"/>
    <n v="405.6"/>
  </r>
  <r>
    <n v="234"/>
    <s v="FD PRE CLOSURE CHARGE"/>
    <s v="COMMON EXPENSE"/>
    <x v="2"/>
    <x v="3"/>
    <s v="Bank charges"/>
    <x v="1"/>
    <m/>
    <n v="0"/>
    <n v="0"/>
    <n v="0"/>
    <n v="0"/>
  </r>
  <r>
    <n v="235"/>
    <s v="FD With ICICI Bank 034813014812"/>
    <s v="FDR WITH ICICI BANK"/>
    <x v="0"/>
    <x v="0"/>
    <m/>
    <x v="0"/>
    <m/>
    <n v="-17710"/>
    <n v="0"/>
    <n v="0"/>
    <n v="-17710"/>
  </r>
  <r>
    <n v="236"/>
    <s v="FD WITH ICICI BANK 34813014821"/>
    <s v="FDR WITH ICICI BANK"/>
    <x v="0"/>
    <x v="0"/>
    <m/>
    <x v="0"/>
    <m/>
    <n v="-88777"/>
    <n v="0"/>
    <n v="0"/>
    <n v="-88777"/>
  </r>
  <r>
    <n v="237"/>
    <s v="FD WITH ICICI BANK 34813014822"/>
    <s v="FDR WITH ICICI BANK"/>
    <x v="0"/>
    <x v="0"/>
    <m/>
    <x v="0"/>
    <m/>
    <n v="-19755"/>
    <n v="0"/>
    <n v="0"/>
    <n v="-19755"/>
  </r>
  <r>
    <n v="238"/>
    <s v="FD WITH ICICI BANK FD NO.034813014731"/>
    <s v="FDR WITH ICICI BANK"/>
    <x v="0"/>
    <x v="0"/>
    <m/>
    <x v="0"/>
    <m/>
    <n v="1166"/>
    <n v="0"/>
    <n v="0"/>
    <n v="1166"/>
  </r>
  <r>
    <n v="239"/>
    <s v="FD WITH ICICI BANK FD NO-034810011355"/>
    <s v="FDR WITH ICICI BANK"/>
    <x v="0"/>
    <x v="0"/>
    <m/>
    <x v="0"/>
    <m/>
    <n v="12522"/>
    <n v="0"/>
    <n v="0"/>
    <n v="12522"/>
  </r>
  <r>
    <n v="240"/>
    <s v="FD WITH ICICI BANK FD NO-034813012794"/>
    <s v="FDR WITH ICICI BANK"/>
    <x v="0"/>
    <x v="0"/>
    <m/>
    <x v="0"/>
    <m/>
    <n v="-7440"/>
    <n v="0"/>
    <n v="0"/>
    <n v="-7440"/>
  </r>
  <r>
    <n v="241"/>
    <s v="FD WITH ICICI BANK FD NO-034813012834"/>
    <s v="FDR WITH ICICI BANK"/>
    <x v="0"/>
    <x v="0"/>
    <m/>
    <x v="0"/>
    <m/>
    <n v="0"/>
    <n v="0"/>
    <n v="0"/>
    <n v="0"/>
  </r>
  <r>
    <n v="242"/>
    <s v="FD WITH ICICI BANK FD NO-034813013029"/>
    <s v="FDR WITH ICICI BANK"/>
    <x v="0"/>
    <x v="0"/>
    <m/>
    <x v="0"/>
    <m/>
    <n v="0"/>
    <n v="0"/>
    <n v="0"/>
    <n v="0"/>
  </r>
  <r>
    <n v="243"/>
    <s v="FD WITH ICICI BANK FD NO-034813013030"/>
    <s v="FDR WITH ICICI BANK"/>
    <x v="0"/>
    <x v="0"/>
    <m/>
    <x v="0"/>
    <m/>
    <n v="0"/>
    <n v="0"/>
    <n v="0"/>
    <n v="0"/>
  </r>
  <r>
    <n v="244"/>
    <s v="FD WITH ICICI BANK FD NO-034813013031"/>
    <s v="FDR WITH ICICI BANK"/>
    <x v="0"/>
    <x v="0"/>
    <m/>
    <x v="0"/>
    <m/>
    <n v="0"/>
    <n v="0"/>
    <n v="0"/>
    <n v="0"/>
  </r>
  <r>
    <n v="245"/>
    <s v="FD WITH ICICI BANK FD NO-034813013032"/>
    <s v="FDR WITH ICICI BANK"/>
    <x v="0"/>
    <x v="0"/>
    <m/>
    <x v="0"/>
    <m/>
    <n v="0"/>
    <n v="0"/>
    <n v="0"/>
    <n v="0"/>
  </r>
  <r>
    <n v="246"/>
    <s v="FD WITH ICICI BANK FD NO-034813013045"/>
    <s v="FDR WITH ICICI BANK"/>
    <x v="0"/>
    <x v="0"/>
    <m/>
    <x v="0"/>
    <m/>
    <n v="-5912"/>
    <n v="0"/>
    <n v="0"/>
    <n v="-5912"/>
  </r>
  <r>
    <n v="247"/>
    <s v="FD WITH ICICI BANK FD NO-034813013149"/>
    <s v="FDR WITH ICICI BANK"/>
    <x v="0"/>
    <x v="0"/>
    <m/>
    <x v="0"/>
    <m/>
    <n v="0"/>
    <n v="0"/>
    <n v="0"/>
    <n v="0"/>
  </r>
  <r>
    <n v="248"/>
    <s v="FD WITH ICICI BANK FD NO-034813013381"/>
    <s v="FDR WITH ICICI BANK"/>
    <x v="0"/>
    <x v="0"/>
    <m/>
    <x v="0"/>
    <m/>
    <n v="0"/>
    <n v="0"/>
    <n v="0"/>
    <n v="0"/>
  </r>
  <r>
    <n v="249"/>
    <s v="FD WITH ICICI BANK FD NO-034813013773"/>
    <s v="FDR WITH ICICI BANK"/>
    <x v="0"/>
    <x v="0"/>
    <m/>
    <x v="0"/>
    <m/>
    <n v="0"/>
    <n v="0"/>
    <n v="0"/>
    <n v="0"/>
  </r>
  <r>
    <n v="250"/>
    <s v="FD WITH ICICI BANK FD NO-034813013835"/>
    <s v="FDR WITH ICICI BANK"/>
    <x v="0"/>
    <x v="0"/>
    <m/>
    <x v="0"/>
    <m/>
    <n v="0"/>
    <n v="0"/>
    <n v="0"/>
    <n v="0"/>
  </r>
  <r>
    <n v="251"/>
    <s v="FD WITH ICICI BANK FD NO-034813013867"/>
    <s v="FDR WITH ICICI BANK"/>
    <x v="0"/>
    <x v="0"/>
    <m/>
    <x v="0"/>
    <m/>
    <n v="0"/>
    <n v="0"/>
    <n v="0"/>
    <n v="0"/>
  </r>
  <r>
    <n v="252"/>
    <s v="FD WITH ICICI BANK FD NO-034813014602"/>
    <s v="FDR WITH ICICI BANK"/>
    <x v="0"/>
    <x v="0"/>
    <m/>
    <x v="0"/>
    <m/>
    <n v="-16459"/>
    <n v="0"/>
    <n v="0"/>
    <n v="-16459"/>
  </r>
  <r>
    <n v="253"/>
    <s v="FD WITH ICICI BANK FD NO-034813014630"/>
    <s v="FDR WITH ICICI BANK"/>
    <x v="0"/>
    <x v="0"/>
    <m/>
    <x v="0"/>
    <m/>
    <n v="2210"/>
    <n v="0"/>
    <n v="0"/>
    <n v="2210"/>
  </r>
  <r>
    <n v="254"/>
    <s v="FD WITH ICICI BANK-034813014381"/>
    <s v="FDR WITH ICICI BANK"/>
    <x v="0"/>
    <x v="0"/>
    <m/>
    <x v="0"/>
    <m/>
    <n v="0"/>
    <n v="0"/>
    <n v="0"/>
    <n v="0"/>
  </r>
  <r>
    <n v="255"/>
    <s v="FDR NO. 002 2001 0062485 6383"/>
    <s v="FDR WITH BMC BANK"/>
    <x v="0"/>
    <x v="0"/>
    <m/>
    <x v="0"/>
    <m/>
    <n v="0"/>
    <n v="0"/>
    <n v="0"/>
    <n v="0"/>
  </r>
  <r>
    <n v="256"/>
    <s v="FDR NO. 002 2007 0404375 58535"/>
    <s v="FDR WITH BMC BANK"/>
    <x v="0"/>
    <x v="0"/>
    <m/>
    <x v="0"/>
    <m/>
    <n v="0"/>
    <n v="0"/>
    <n v="0"/>
    <n v="0"/>
  </r>
  <r>
    <n v="257"/>
    <s v="FDR NO-318803030017307"/>
    <s v="FDR WITH UBI BANK"/>
    <x v="0"/>
    <x v="0"/>
    <m/>
    <x v="0"/>
    <m/>
    <n v="0"/>
    <n v="0"/>
    <n v="0"/>
    <n v="0"/>
  </r>
  <r>
    <n v="258"/>
    <s v="FDR NO-318803030018239"/>
    <s v="FDR WITH UBI BANK"/>
    <x v="0"/>
    <x v="0"/>
    <m/>
    <x v="0"/>
    <m/>
    <n v="0"/>
    <n v="0"/>
    <n v="0"/>
    <n v="0"/>
  </r>
  <r>
    <n v="259"/>
    <s v="FDR NO-318803030018546"/>
    <s v="FDR WITH UBI BANK"/>
    <x v="0"/>
    <x v="0"/>
    <m/>
    <x v="0"/>
    <m/>
    <n v="0"/>
    <n v="0"/>
    <n v="0"/>
    <n v="0"/>
  </r>
  <r>
    <n v="260"/>
    <s v="FDR NO-318803030019530"/>
    <s v="FDR WITH UBI BANK"/>
    <x v="0"/>
    <x v="0"/>
    <m/>
    <x v="0"/>
    <m/>
    <n v="-4294453.88"/>
    <n v="0"/>
    <n v="0"/>
    <n v="-4294453.88"/>
  </r>
  <r>
    <n v="261"/>
    <s v="FDR NO-318803030024400"/>
    <s v="FDR WITH UBI BANK"/>
    <x v="0"/>
    <x v="0"/>
    <m/>
    <x v="0"/>
    <m/>
    <n v="0"/>
    <n v="0"/>
    <n v="0"/>
    <n v="0"/>
  </r>
  <r>
    <n v="262"/>
    <s v="FDR NO-318803030024401"/>
    <s v="FDR WITH UBI BANK"/>
    <x v="0"/>
    <x v="0"/>
    <m/>
    <x v="0"/>
    <m/>
    <n v="0"/>
    <n v="0"/>
    <n v="0"/>
    <n v="0"/>
  </r>
  <r>
    <n v="263"/>
    <s v="FDR NO-318803030025600"/>
    <s v="FDR WITH UBI BANK"/>
    <x v="0"/>
    <x v="0"/>
    <m/>
    <x v="0"/>
    <m/>
    <n v="0"/>
    <n v="0"/>
    <n v="0"/>
    <n v="0"/>
  </r>
  <r>
    <n v="264"/>
    <s v="FDR NO-318803030031079"/>
    <s v="FDR WITH UBI BANK"/>
    <x v="0"/>
    <x v="0"/>
    <m/>
    <x v="0"/>
    <m/>
    <n v="0"/>
    <n v="0"/>
    <n v="0"/>
    <n v="0"/>
  </r>
  <r>
    <n v="265"/>
    <s v="Federation Of Indian Export Organisations"/>
    <s v="SUNDRY CREDITORS (EXPORT)"/>
    <x v="1"/>
    <x v="1"/>
    <m/>
    <x v="3"/>
    <m/>
    <n v="0"/>
    <n v="0"/>
    <n v="0"/>
    <n v="0"/>
  </r>
  <r>
    <n v="266"/>
    <s v="Firki Wholesale Pvt. Ltd. (Amazon)"/>
    <s v="Sundry Creditors for (Expenses)"/>
    <x v="1"/>
    <x v="1"/>
    <m/>
    <x v="1"/>
    <m/>
    <n v="0"/>
    <n v="0"/>
    <n v="0"/>
    <n v="0"/>
  </r>
  <r>
    <n v="267"/>
    <s v="FIRST TIME IMPORT/EXPORT CHARGES-CHA"/>
    <s v="EXPORT (EXPENSE)"/>
    <x v="2"/>
    <x v="3"/>
    <s v="Export charges"/>
    <x v="3"/>
    <m/>
    <n v="0"/>
    <n v="0"/>
    <n v="0"/>
    <n v="0"/>
  </r>
  <r>
    <n v="268"/>
    <s v="Foreign Exchange Gain"/>
    <s v="Indirect Incomes"/>
    <x v="2"/>
    <x v="5"/>
    <s v="Foreign Exchange Gain"/>
    <x v="1"/>
    <m/>
    <n v="0"/>
    <n v="0"/>
    <n v="0"/>
    <n v="0"/>
  </r>
  <r>
    <n v="269"/>
    <s v="Foreign Hotel Expense (EXPORT)"/>
    <s v="EXPORT (EXPENSE)"/>
    <x v="2"/>
    <x v="3"/>
    <s v="Accomodation expenses"/>
    <x v="3"/>
    <m/>
    <n v="0"/>
    <n v="81813.94"/>
    <n v="0"/>
    <n v="81813.94"/>
  </r>
  <r>
    <n v="270"/>
    <s v="FOREX SERVICE CHG GST 18% (EXPORT)"/>
    <s v="EXPORT (EXPENSE)"/>
    <x v="2"/>
    <x v="3"/>
    <s v="Travelling expenses"/>
    <x v="3"/>
    <m/>
    <n v="0"/>
    <n v="0"/>
    <n v="0"/>
    <n v="0"/>
  </r>
  <r>
    <n v="271"/>
    <s v="FOREX SERVICE CHG GST 18% (Office)"/>
    <s v="OFFICE EXPENSE"/>
    <x v="2"/>
    <x v="3"/>
    <s v="Travelling expenses"/>
    <x v="1"/>
    <m/>
    <n v="0"/>
    <n v="0"/>
    <n v="0"/>
    <n v="0"/>
  </r>
  <r>
    <n v="272"/>
    <s v="Forum Meha Loan A/c"/>
    <s v="Unsecured Loans"/>
    <x v="0"/>
    <x v="0"/>
    <m/>
    <x v="0"/>
    <m/>
    <n v="-33366666.66"/>
    <n v="1184951"/>
    <n v="1184951"/>
    <n v="-33366666.66"/>
  </r>
  <r>
    <n v="273"/>
    <s v="FOUNTAINHEAD EXPORT"/>
    <s v="Sundry Creditors for (OFFICE)"/>
    <x v="1"/>
    <x v="1"/>
    <m/>
    <x v="1"/>
    <m/>
    <n v="0"/>
    <n v="211869"/>
    <n v="211869"/>
    <n v="0"/>
  </r>
  <r>
    <n v="274"/>
    <s v="FR-900A Band Sealer (MSH) (Digital)"/>
    <s v="Plant &amp; Machinery"/>
    <x v="0"/>
    <x v="0"/>
    <m/>
    <x v="0"/>
    <m/>
    <n v="11500"/>
    <n v="0"/>
    <n v="0"/>
    <n v="11500"/>
  </r>
  <r>
    <n v="275"/>
    <s v="FR-900A Band Sealer (MSV) (Digital)"/>
    <s v="Plant &amp; Machinery"/>
    <x v="0"/>
    <x v="0"/>
    <m/>
    <x v="0"/>
    <m/>
    <n v="13500"/>
    <n v="0"/>
    <n v="0"/>
    <n v="13500"/>
  </r>
  <r>
    <n v="276"/>
    <s v="Freight Charges GST (CLARUS)"/>
    <s v="CLARUS (EXPENSE)"/>
    <x v="2"/>
    <x v="4"/>
    <s v="Freight &amp; Shipping charges"/>
    <x v="5"/>
    <m/>
    <n v="0"/>
    <n v="0"/>
    <n v="0"/>
    <n v="0"/>
  </r>
  <r>
    <n v="277"/>
    <s v="Freight Charges GST(PURC)(BLUE STREAK)"/>
    <s v="BLUESTREAK (EXPENSES)"/>
    <x v="2"/>
    <x v="4"/>
    <s v="Freight &amp; Shipping charges"/>
    <x v="2"/>
    <m/>
    <n v="0"/>
    <n v="0"/>
    <n v="0"/>
    <n v="0"/>
  </r>
  <r>
    <n v="278"/>
    <s v="Friends Computers"/>
    <s v="Rest of Maharashtra"/>
    <x v="1"/>
    <x v="2"/>
    <m/>
    <x v="2"/>
    <m/>
    <n v="0"/>
    <n v="0"/>
    <n v="0"/>
    <n v="0"/>
  </r>
  <r>
    <n v="279"/>
    <s v="FUEL EXPENSES"/>
    <s v="OFFICE EXPENSE"/>
    <x v="2"/>
    <x v="3"/>
    <s v="Fuel Expenses"/>
    <x v="1"/>
    <m/>
    <n v="0"/>
    <n v="5000"/>
    <n v="0"/>
    <n v="5000"/>
  </r>
  <r>
    <n v="280"/>
    <s v="Furniture &amp; Fixture (Personal)"/>
    <s v="Furniture &amp; Fittings"/>
    <x v="0"/>
    <x v="0"/>
    <m/>
    <x v="0"/>
    <m/>
    <n v="25623.87"/>
    <n v="0"/>
    <n v="0"/>
    <n v="25623.87"/>
  </r>
  <r>
    <n v="281"/>
    <s v="G. T. Technologies"/>
    <s v="Rest of Maharashtra"/>
    <x v="1"/>
    <x v="2"/>
    <m/>
    <x v="2"/>
    <m/>
    <n v="0"/>
    <n v="0"/>
    <n v="0"/>
    <n v="0"/>
  </r>
  <r>
    <n v="282"/>
    <s v="Galaxy Enterprises"/>
    <s v="Sundry Creditors for (Expenses)"/>
    <x v="1"/>
    <x v="1"/>
    <m/>
    <x v="1"/>
    <m/>
    <n v="0"/>
    <n v="0"/>
    <n v="0"/>
    <n v="0"/>
  </r>
  <r>
    <n v="283"/>
    <s v="Garg Computer"/>
    <s v="Punjab"/>
    <x v="1"/>
    <x v="2"/>
    <m/>
    <x v="2"/>
    <m/>
    <n v="0"/>
    <n v="0"/>
    <n v="0"/>
    <n v="0"/>
  </r>
  <r>
    <n v="284"/>
    <s v="Ginni Filaments Limited"/>
    <s v="Sundry Creditors ( Clarus )"/>
    <x v="1"/>
    <x v="1"/>
    <m/>
    <x v="5"/>
    <m/>
    <n v="-23345"/>
    <n v="0"/>
    <n v="0"/>
    <n v="-23345"/>
  </r>
  <r>
    <n v="285"/>
    <s v="Ginni Filaments Ltd (CPD) New"/>
    <s v="Deposits (Asset)"/>
    <x v="0"/>
    <x v="0"/>
    <m/>
    <x v="0"/>
    <m/>
    <n v="220600"/>
    <n v="0"/>
    <n v="0"/>
    <n v="220600"/>
  </r>
  <r>
    <n v="286"/>
    <s v="GLOBAL COMPUTERS"/>
    <s v="SUNDRY CREDITORS (EXPORT)"/>
    <x v="1"/>
    <x v="1"/>
    <m/>
    <x v="3"/>
    <m/>
    <n v="1433"/>
    <n v="0"/>
    <n v="9603"/>
    <n v="-8170"/>
  </r>
  <r>
    <n v="287"/>
    <s v="Globalnet Computers"/>
    <s v="Sundry Creditors for (Expenses)"/>
    <x v="1"/>
    <x v="1"/>
    <m/>
    <x v="1"/>
    <m/>
    <n v="0"/>
    <n v="0"/>
    <n v="0"/>
    <n v="0"/>
  </r>
  <r>
    <n v="288"/>
    <s v="Gratuity"/>
    <s v="FACTORY EXPENSE"/>
    <x v="2"/>
    <x v="3"/>
    <s v="Salary &amp; wages"/>
    <x v="1"/>
    <m/>
    <n v="0"/>
    <n v="0"/>
    <n v="0"/>
    <n v="0"/>
  </r>
  <r>
    <n v="289"/>
    <s v="Greenvision Technologies Private Limited"/>
    <s v="Sundry Debtors"/>
    <x v="1"/>
    <x v="2"/>
    <m/>
    <x v="1"/>
    <m/>
    <n v="0"/>
    <n v="0"/>
    <n v="0"/>
    <n v="0"/>
  </r>
  <r>
    <n v="290"/>
    <s v="Greenvision Technologies Private Limited(TN)"/>
    <s v="Sundry Debtors"/>
    <x v="1"/>
    <x v="2"/>
    <m/>
    <x v="1"/>
    <m/>
    <n v="0"/>
    <n v="0"/>
    <n v="0"/>
    <n v="0"/>
  </r>
  <r>
    <n v="291"/>
    <s v="GSI India"/>
    <s v="Sundry Creditors for (Expenses)"/>
    <x v="1"/>
    <x v="1"/>
    <m/>
    <x v="1"/>
    <m/>
    <n v="0"/>
    <n v="0"/>
    <n v="0"/>
    <n v="0"/>
  </r>
  <r>
    <n v="292"/>
    <s v="GST"/>
    <s v="GST Payable"/>
    <x v="0"/>
    <x v="0"/>
    <m/>
    <x v="0"/>
    <m/>
    <n v="-1382189.58"/>
    <n v="0"/>
    <n v="0"/>
    <n v="-1382189.58"/>
  </r>
  <r>
    <n v="293"/>
    <s v="GST Expense"/>
    <s v="OFFICE EXPENSE"/>
    <x v="2"/>
    <x v="3"/>
    <m/>
    <x v="1"/>
    <m/>
    <n v="0"/>
    <n v="0"/>
    <n v="0"/>
    <n v="0"/>
  </r>
  <r>
    <n v="294"/>
    <s v="GST Receivable"/>
    <s v="Current Assets"/>
    <x v="0"/>
    <x v="0"/>
    <m/>
    <x v="0"/>
    <m/>
    <n v="1649918.95"/>
    <n v="0"/>
    <n v="0"/>
    <n v="1649918.95"/>
  </r>
  <r>
    <n v="295"/>
    <s v="H A Q Sumar Enterprise Security Deposit"/>
    <s v="Security Deposite New Gala Kaman"/>
    <x v="0"/>
    <x v="0"/>
    <m/>
    <x v="0"/>
    <m/>
    <n v="120000"/>
    <n v="0"/>
    <n v="0"/>
    <n v="120000"/>
  </r>
  <r>
    <n v="296"/>
    <s v="H A Q SUMAR ENTERPRISES"/>
    <s v="Sundry Creditors for Factory"/>
    <x v="1"/>
    <x v="1"/>
    <m/>
    <x v="1"/>
    <m/>
    <n v="-50009"/>
    <n v="54640"/>
    <n v="54640"/>
    <n v="-50009"/>
  </r>
  <r>
    <n v="297"/>
    <s v="Hand Pallet Truck"/>
    <s v="Plant &amp; Machinery"/>
    <x v="0"/>
    <x v="0"/>
    <m/>
    <x v="0"/>
    <m/>
    <n v="5241.51"/>
    <n v="0"/>
    <n v="0"/>
    <n v="5241.51"/>
  </r>
  <r>
    <n v="298"/>
    <s v="Origin Terminal Handling Charge"/>
    <s v="SPICE EXPENSE"/>
    <x v="2"/>
    <x v="4"/>
    <s v="Port Expenses"/>
    <x v="4"/>
    <m/>
    <n v="0"/>
    <n v="9500"/>
    <n v="0"/>
    <n v="9500"/>
  </r>
  <r>
    <n v="298"/>
    <s v="Handkerchief Pocket Tissue Converting Machine"/>
    <s v="Plant &amp; Machinery"/>
    <x v="0"/>
    <x v="0"/>
    <m/>
    <x v="0"/>
    <m/>
    <n v="70583.740000000005"/>
    <n v="0"/>
    <n v="0"/>
    <n v="70583.740000000005"/>
  </r>
  <r>
    <n v="299"/>
    <s v="Palsun Maritime (India) Limited"/>
    <s v="SUNDRY CREDITORS (Spice)"/>
    <x v="1"/>
    <x v="1"/>
    <m/>
    <x v="4"/>
    <m/>
    <n v="-17246"/>
    <n v="402716"/>
    <n v="2319667.73"/>
    <n v="-1934197.73"/>
  </r>
  <r>
    <n v="299"/>
    <s v="Handkerchief Pocket Tissue Packing Machine"/>
    <s v="Plant &amp; Machinery"/>
    <x v="0"/>
    <x v="0"/>
    <m/>
    <x v="0"/>
    <m/>
    <n v="11265.99"/>
    <n v="0"/>
    <n v="0"/>
    <n v="11265.99"/>
  </r>
  <r>
    <n v="300"/>
    <s v="Paper Roll (18%)"/>
    <s v="Packaging for Spice"/>
    <x v="2"/>
    <x v="7"/>
    <s v="Purchase"/>
    <x v="4"/>
    <m/>
    <n v="0"/>
    <n v="0"/>
    <n v="0"/>
    <n v="0"/>
  </r>
  <r>
    <n v="300"/>
    <s v="Harsha Enterprises"/>
    <s v="Sundry Creditors for (Expenses)"/>
    <x v="1"/>
    <x v="1"/>
    <m/>
    <x v="1"/>
    <m/>
    <n v="199900"/>
    <n v="0"/>
    <n v="100000"/>
    <n v="99900"/>
  </r>
  <r>
    <n v="301"/>
    <s v="PF Admin Charges"/>
    <s v="ESIC  Payable Office"/>
    <x v="0"/>
    <x v="0"/>
    <m/>
    <x v="0"/>
    <m/>
    <n v="1375"/>
    <n v="0"/>
    <n v="0"/>
    <n v="1375"/>
  </r>
  <r>
    <n v="301"/>
    <s v="HDFC Bank Credit Card 4375465000802029"/>
    <s v="COMMON EXPENSE"/>
    <x v="1"/>
    <x v="1"/>
    <m/>
    <x v="0"/>
    <m/>
    <n v="0"/>
    <n v="13176"/>
    <n v="0"/>
    <n v="13176"/>
  </r>
  <r>
    <n v="302"/>
    <s v="HDFC BANK NEW A/C NO-50200093303339"/>
    <s v="Bank Accounts"/>
    <x v="0"/>
    <x v="0"/>
    <m/>
    <x v="3"/>
    <m/>
    <n v="0"/>
    <n v="0"/>
    <n v="0"/>
    <n v="0"/>
  </r>
  <r>
    <n v="303"/>
    <s v="HDFC Credit Card"/>
    <s v="Sundry Creditors for (Expenses)"/>
    <x v="1"/>
    <x v="1"/>
    <m/>
    <x v="1"/>
    <m/>
    <n v="7796"/>
    <n v="0"/>
    <n v="0"/>
    <n v="7796"/>
  </r>
  <r>
    <n v="304"/>
    <s v="HDFC CREDIT CARD NO. 4375 4650 0002 6306"/>
    <s v="COMMON EXPENSE"/>
    <x v="1"/>
    <x v="1"/>
    <m/>
    <x v="1"/>
    <m/>
    <n v="93"/>
    <n v="29207"/>
    <n v="29300"/>
    <n v="0"/>
  </r>
  <r>
    <n v="305"/>
    <s v="HDFC CREDIT CARD NO. 4375 4650 0011 8822"/>
    <s v="COMMON EXPENSE"/>
    <x v="1"/>
    <x v="1"/>
    <m/>
    <x v="1"/>
    <m/>
    <n v="0"/>
    <n v="0"/>
    <n v="0"/>
    <n v="0"/>
  </r>
  <r>
    <n v="306"/>
    <s v="HDFC CREDIT CARD NO. 4375 4650 0076 0326"/>
    <s v="COMMON EXPENSE"/>
    <x v="1"/>
    <x v="1"/>
    <m/>
    <x v="1"/>
    <m/>
    <n v="0"/>
    <n v="0"/>
    <n v="0"/>
    <n v="0"/>
  </r>
  <r>
    <n v="307"/>
    <s v="HDFC Credit Card-6529 2600 0205 9946"/>
    <s v="Sundry Creditors for (Expenses)"/>
    <x v="1"/>
    <x v="1"/>
    <m/>
    <x v="1"/>
    <m/>
    <n v="0"/>
    <n v="0"/>
    <n v="0"/>
    <n v="0"/>
  </r>
  <r>
    <n v="308"/>
    <s v="HDFC Ergo General Insurance Company Ltd"/>
    <s v="Sundry Creditors for (Expenses)"/>
    <x v="1"/>
    <x v="1"/>
    <m/>
    <x v="1"/>
    <m/>
    <n v="0"/>
    <n v="0"/>
    <n v="0"/>
    <n v="0"/>
  </r>
  <r>
    <n v="309"/>
    <s v="HDFC SECURITIES LIMITED"/>
    <s v="Sundry Creditors for (OFFICE)"/>
    <x v="1"/>
    <x v="1"/>
    <m/>
    <x v="1"/>
    <m/>
    <n v="0"/>
    <n v="0"/>
    <n v="0"/>
    <n v="0"/>
  </r>
  <r>
    <n v="310"/>
    <s v="HDFC SWIGGY CREDIT CARD 5268730004771208"/>
    <s v="Sundry Creditors for (Expenses)"/>
    <x v="1"/>
    <x v="1"/>
    <m/>
    <x v="1"/>
    <m/>
    <n v="0"/>
    <n v="0"/>
    <n v="0"/>
    <n v="0"/>
  </r>
  <r>
    <n v="311"/>
    <s v="Hinglag Packaging LLP"/>
    <s v="Sundry Creditors for Factory"/>
    <x v="1"/>
    <x v="1"/>
    <m/>
    <x v="1"/>
    <m/>
    <n v="0"/>
    <n v="0"/>
    <n v="0"/>
    <n v="0"/>
  </r>
  <r>
    <n v="312"/>
    <s v="Hotel Marine Plaza"/>
    <s v="SUNDRY CREDITORS (EXPORT)"/>
    <x v="1"/>
    <x v="1"/>
    <m/>
    <x v="1"/>
    <m/>
    <n v="0"/>
    <n v="0"/>
    <n v="0"/>
    <n v="0"/>
  </r>
  <r>
    <n v="313"/>
    <s v="House Rent Allowance  - Factory"/>
    <s v="Salary &amp; Wages - Factory"/>
    <x v="2"/>
    <x v="3"/>
    <s v="Salary &amp; wages"/>
    <x v="1"/>
    <m/>
    <n v="0"/>
    <n v="2925"/>
    <n v="0"/>
    <n v="2925"/>
  </r>
  <r>
    <n v="314"/>
    <s v="House Rent Allowance - Bluestreak"/>
    <s v="Salary &amp; Wages - Bluestreak"/>
    <x v="2"/>
    <x v="3"/>
    <s v="Salary &amp; wages"/>
    <x v="2"/>
    <m/>
    <n v="0"/>
    <n v="0"/>
    <n v="0"/>
    <n v="0"/>
  </r>
  <r>
    <n v="315"/>
    <s v="House Rent Allowance - Clarus"/>
    <s v="Salary &amp; Wages - Clarus"/>
    <x v="2"/>
    <x v="3"/>
    <s v="Salary &amp; wages"/>
    <x v="5"/>
    <m/>
    <n v="0"/>
    <n v="0"/>
    <n v="0"/>
    <n v="0"/>
  </r>
  <r>
    <n v="316"/>
    <s v="House Rent Allowance - Office"/>
    <s v="Salary &amp; Wages - Office"/>
    <x v="2"/>
    <x v="3"/>
    <s v="Salary &amp; wages"/>
    <x v="1"/>
    <m/>
    <n v="0"/>
    <n v="22649"/>
    <n v="0"/>
    <n v="22649"/>
  </r>
  <r>
    <n v="317"/>
    <s v="HX-1575B Rewinding &amp; Perforating Kitchen Towel Mach"/>
    <s v="Plant &amp; Machinery"/>
    <x v="0"/>
    <x v="0"/>
    <m/>
    <x v="0"/>
    <m/>
    <n v="532692.65"/>
    <n v="0"/>
    <n v="0"/>
    <n v="532692.65"/>
  </r>
  <r>
    <n v="318"/>
    <s v="HX-1575B Rewinding &amp; Perforation Toilet Roll Machin"/>
    <s v="Plant &amp; Machinery"/>
    <x v="0"/>
    <x v="0"/>
    <m/>
    <x v="0"/>
    <m/>
    <n v="443911.44"/>
    <n v="0"/>
    <n v="0"/>
    <n v="443911.44"/>
  </r>
  <r>
    <n v="319"/>
    <s v="ICE GATE SERVICE CHARGE (EXPORT)"/>
    <s v="EXPORT (EXPENSE)"/>
    <x v="2"/>
    <x v="4"/>
    <s v="Export charges"/>
    <x v="3"/>
    <m/>
    <n v="0"/>
    <n v="0"/>
    <n v="0"/>
    <n v="0"/>
  </r>
  <r>
    <n v="320"/>
    <s v="ICICI BANK LTD. A/C NO-034805006668"/>
    <s v="Bank Accounts"/>
    <x v="0"/>
    <x v="0"/>
    <m/>
    <x v="0"/>
    <m/>
    <n v="127374.74"/>
    <n v="82237465.819999993"/>
    <n v="79552327.950000003"/>
    <n v="2812512.61"/>
  </r>
  <r>
    <n v="321"/>
    <s v="ICICI CESS dummy ledger"/>
    <s v="Duties &amp; Taxes"/>
    <x v="0"/>
    <x v="0"/>
    <m/>
    <x v="0"/>
    <m/>
    <n v="0"/>
    <n v="0"/>
    <n v="0"/>
    <n v="0"/>
  </r>
  <r>
    <n v="322"/>
    <s v="ICICI CGST dummy ledger"/>
    <s v="Duties &amp; Taxes"/>
    <x v="0"/>
    <x v="0"/>
    <m/>
    <x v="0"/>
    <m/>
    <n v="0"/>
    <n v="0"/>
    <n v="0"/>
    <n v="0"/>
  </r>
  <r>
    <n v="323"/>
    <s v="ICICI CREDIT CARD 4315 8126 9298 1004"/>
    <s v="Sundry Creditors for (Expenses)"/>
    <x v="1"/>
    <x v="1"/>
    <m/>
    <x v="1"/>
    <m/>
    <n v="0"/>
    <n v="0"/>
    <n v="0"/>
    <n v="0"/>
  </r>
  <r>
    <n v="324"/>
    <s v="ICICI CREDIT CARD 5241 9393 8697 3009"/>
    <s v="Sundry Creditors for (Expenses)"/>
    <x v="1"/>
    <x v="1"/>
    <m/>
    <x v="1"/>
    <m/>
    <n v="0"/>
    <n v="0"/>
    <n v="0"/>
    <n v="0"/>
  </r>
  <r>
    <n v="325"/>
    <s v="ICICI IGST dummy ledger"/>
    <s v="Duties &amp; Taxes"/>
    <x v="0"/>
    <x v="0"/>
    <m/>
    <x v="0"/>
    <m/>
    <n v="0"/>
    <n v="0"/>
    <n v="0"/>
    <n v="0"/>
  </r>
  <r>
    <n v="326"/>
    <s v="ICICI LOMBARD GENRAL INSURANCE CO. LTD."/>
    <s v="Sundry Creditors for Factory"/>
    <x v="1"/>
    <x v="1"/>
    <m/>
    <x v="1"/>
    <m/>
    <n v="0"/>
    <n v="0"/>
    <n v="0"/>
    <n v="0"/>
  </r>
  <r>
    <n v="327"/>
    <s v="ICICI PRUDENTIAL MUTUAL FUND F.No-31862226"/>
    <s v="MUTUAL FUND INVESTMENT"/>
    <x v="0"/>
    <x v="0"/>
    <m/>
    <x v="0"/>
    <m/>
    <n v="0"/>
    <n v="0"/>
    <n v="0"/>
    <n v="0"/>
  </r>
  <r>
    <n v="328"/>
    <s v="ICICI SGST dummy ledger"/>
    <s v="Duties &amp; Taxes"/>
    <x v="0"/>
    <x v="0"/>
    <m/>
    <x v="0"/>
    <m/>
    <n v="0"/>
    <n v="0"/>
    <n v="0"/>
    <n v="0"/>
  </r>
  <r>
    <n v="329"/>
    <s v="ICICI Suspense A/c"/>
    <s v="Suspense A/c"/>
    <x v="1"/>
    <x v="0"/>
    <m/>
    <x v="1"/>
    <m/>
    <n v="0"/>
    <n v="0"/>
    <n v="0"/>
    <n v="0"/>
  </r>
  <r>
    <n v="330"/>
    <s v="IDFC First Bank Limited"/>
    <s v="Share Investment Anand Rathi"/>
    <x v="0"/>
    <x v="0"/>
    <m/>
    <x v="0"/>
    <m/>
    <n v="0"/>
    <n v="0"/>
    <n v="0"/>
    <n v="0"/>
  </r>
  <r>
    <n v="331"/>
    <s v="IGST 12 %"/>
    <s v="GST Payable"/>
    <x v="0"/>
    <x v="0"/>
    <m/>
    <x v="0"/>
    <m/>
    <n v="3790.08"/>
    <n v="0"/>
    <n v="0"/>
    <n v="3790.08"/>
  </r>
  <r>
    <n v="332"/>
    <s v="IGST 18%"/>
    <s v="GST Payable"/>
    <x v="0"/>
    <x v="0"/>
    <m/>
    <x v="0"/>
    <m/>
    <n v="675475.88"/>
    <n v="123630.03"/>
    <n v="0"/>
    <n v="799105.91"/>
  </r>
  <r>
    <n v="333"/>
    <s v="IGST 5%"/>
    <s v="GST Payable"/>
    <x v="0"/>
    <x v="0"/>
    <m/>
    <x v="0"/>
    <m/>
    <n v="214404.69"/>
    <n v="2038318.32"/>
    <n v="3553930.14"/>
    <n v="-1301207.1299999999"/>
  </r>
  <r>
    <n v="334"/>
    <s v="Image Info Consumables"/>
    <s v="Sundry Debtors Blue Streak Shrikant"/>
    <x v="1"/>
    <x v="2"/>
    <m/>
    <x v="1"/>
    <m/>
    <n v="0"/>
    <n v="0"/>
    <n v="0"/>
    <n v="0"/>
  </r>
  <r>
    <n v="335"/>
    <s v="Income Tax (A S Year 2012-13)"/>
    <s v="Tax Advances"/>
    <x v="0"/>
    <x v="0"/>
    <m/>
    <x v="0"/>
    <m/>
    <n v="1067760"/>
    <n v="0"/>
    <n v="0"/>
    <n v="1067760"/>
  </r>
  <r>
    <n v="336"/>
    <s v="Income Tax Refund ( AY 14-15 )"/>
    <s v="Tax Advances"/>
    <x v="0"/>
    <x v="0"/>
    <m/>
    <x v="0"/>
    <m/>
    <n v="-44770"/>
    <n v="0"/>
    <n v="0"/>
    <n v="-44770"/>
  </r>
  <r>
    <n v="337"/>
    <s v="Indian Oil Axis Bank Credit Card 4386280528394152"/>
    <s v="Sundry Creditors for (Expenses)"/>
    <x v="1"/>
    <x v="1"/>
    <m/>
    <x v="1"/>
    <m/>
    <n v="0"/>
    <n v="0"/>
    <n v="0"/>
    <n v="0"/>
  </r>
  <r>
    <n v="338"/>
    <s v="Indrayani Sales Pvt Ltd"/>
    <s v="SUNDRY DEBTORS BLUESTREAK - AJAYSIR"/>
    <x v="1"/>
    <x v="2"/>
    <m/>
    <x v="2"/>
    <m/>
    <n v="90097"/>
    <n v="0"/>
    <n v="0"/>
    <n v="90097"/>
  </r>
  <r>
    <n v="339"/>
    <s v="Indusind Bank Credit Card No. 4147 5248 7257 6017"/>
    <s v="SUNDRY CREDITORS (EXPORT)"/>
    <x v="1"/>
    <x v="1"/>
    <m/>
    <x v="3"/>
    <m/>
    <n v="0"/>
    <n v="0"/>
    <n v="0"/>
    <n v="0"/>
  </r>
  <r>
    <n v="340"/>
    <s v="Induslnd Bank Credit Card No.3561 4200 0783 9165"/>
    <s v="Sundry Creditors for (Expenses)"/>
    <x v="1"/>
    <x v="1"/>
    <m/>
    <x v="1"/>
    <m/>
    <n v="0"/>
    <n v="0"/>
    <n v="0"/>
    <n v="0"/>
  </r>
  <r>
    <n v="341"/>
    <s v="Induslnd Bank Credit Card No.5376524692827102"/>
    <s v="Sundry Creditors for (Expenses)"/>
    <x v="1"/>
    <x v="1"/>
    <m/>
    <x v="1"/>
    <m/>
    <n v="0"/>
    <n v="0"/>
    <n v="0"/>
    <n v="0"/>
  </r>
  <r>
    <n v="342"/>
    <s v="INDUSTRIAL ENGINEERS DISTRIBUTORS PVT. LTD."/>
    <s v="SUNDRY CREDITORS (EXPORT)"/>
    <x v="1"/>
    <x v="1"/>
    <m/>
    <x v="3"/>
    <m/>
    <n v="0"/>
    <n v="0"/>
    <n v="0"/>
    <n v="0"/>
  </r>
  <r>
    <n v="343"/>
    <s v="INFO EDGE (INDIA) LTD"/>
    <s v="SUNDRY CREDITORS (EXPORT)"/>
    <x v="1"/>
    <x v="1"/>
    <m/>
    <x v="3"/>
    <m/>
    <n v="0"/>
    <n v="0"/>
    <n v="0"/>
    <n v="0"/>
  </r>
  <r>
    <n v="344"/>
    <s v="INFODRIVEINDIA PVT LTD"/>
    <s v="SUNDRY CREDITORS (EXPORT)"/>
    <x v="1"/>
    <x v="1"/>
    <m/>
    <x v="3"/>
    <m/>
    <n v="0"/>
    <n v="0"/>
    <n v="0"/>
    <n v="0"/>
  </r>
  <r>
    <n v="345"/>
    <s v="Infopower Systems"/>
    <s v="ASSAM"/>
    <x v="1"/>
    <x v="2"/>
    <m/>
    <x v="2"/>
    <m/>
    <n v="-12803"/>
    <n v="0"/>
    <n v="0"/>
    <n v="-12803"/>
  </r>
  <r>
    <n v="346"/>
    <s v="Infotech Solution"/>
    <s v="Tamil Nadu"/>
    <x v="1"/>
    <x v="2"/>
    <m/>
    <x v="2"/>
    <m/>
    <n v="0"/>
    <n v="0"/>
    <n v="0"/>
    <n v="0"/>
  </r>
  <r>
    <n v="347"/>
    <s v="Instanet Technologies Private Limited"/>
    <s v="Sundry Creditors for Factory"/>
    <x v="1"/>
    <x v="1"/>
    <m/>
    <x v="1"/>
    <m/>
    <n v="0"/>
    <n v="650"/>
    <n v="650"/>
    <n v="0"/>
  </r>
  <r>
    <n v="348"/>
    <s v="INSURANCE OF EXPORT BILL"/>
    <s v="EXPORT (EXPENSE)"/>
    <x v="2"/>
    <x v="4"/>
    <s v="Insurance expenses"/>
    <x v="3"/>
    <m/>
    <n v="0"/>
    <n v="14837"/>
    <n v="0"/>
    <n v="14837"/>
  </r>
  <r>
    <n v="349"/>
    <s v="Insurance Premium ( Factory )"/>
    <s v="FACTORY EXPENSE"/>
    <x v="2"/>
    <x v="3"/>
    <s v="Insurance expenses"/>
    <x v="1"/>
    <m/>
    <n v="0"/>
    <n v="0"/>
    <n v="0"/>
    <n v="0"/>
  </r>
  <r>
    <n v="350"/>
    <s v="Insurance Premium ( Office )"/>
    <s v="OFFICE EXPENSE"/>
    <x v="2"/>
    <x v="3"/>
    <s v="Insurance expenses"/>
    <x v="1"/>
    <m/>
    <n v="0"/>
    <n v="0"/>
    <n v="0"/>
    <n v="0"/>
  </r>
  <r>
    <n v="351"/>
    <s v="Interest on FD Receivable"/>
    <s v="Current Assets"/>
    <x v="0"/>
    <x v="0"/>
    <m/>
    <x v="0"/>
    <m/>
    <n v="6595"/>
    <n v="0"/>
    <n v="0"/>
    <n v="6595"/>
  </r>
  <r>
    <n v="352"/>
    <s v="Interest on FD with BMC"/>
    <s v="Interest Income"/>
    <x v="2"/>
    <x v="5"/>
    <s v="Interest Income"/>
    <x v="1"/>
    <m/>
    <n v="0"/>
    <n v="0"/>
    <n v="0"/>
    <n v="0"/>
  </r>
  <r>
    <n v="353"/>
    <s v="Interest on FD with ICICI"/>
    <s v="Interest Income"/>
    <x v="2"/>
    <x v="5"/>
    <s v="Interest Income"/>
    <x v="1"/>
    <m/>
    <n v="0"/>
    <n v="0"/>
    <n v="0"/>
    <n v="0"/>
  </r>
  <r>
    <n v="354"/>
    <s v="Interest on FD with UBI"/>
    <s v="Interest Income"/>
    <x v="2"/>
    <x v="5"/>
    <s v="Interest Income"/>
    <x v="1"/>
    <m/>
    <n v="0"/>
    <n v="0"/>
    <n v="0"/>
    <n v="0"/>
  </r>
  <r>
    <n v="355"/>
    <s v="INTEREST ON TDS"/>
    <s v="OFFICE EXPENSE"/>
    <x v="2"/>
    <x v="3"/>
    <s v="Rates &amp; Taxes"/>
    <x v="1"/>
    <m/>
    <n v="0"/>
    <n v="2925"/>
    <n v="0"/>
    <n v="2925"/>
  </r>
  <r>
    <n v="356"/>
    <s v="INTERGLOBE AVIATION LIMITED"/>
    <s v="SUNDRY CREDITORS (EXPORT)"/>
    <x v="1"/>
    <x v="1"/>
    <m/>
    <x v="3"/>
    <m/>
    <n v="0"/>
    <n v="0"/>
    <n v="0"/>
    <n v="0"/>
  </r>
  <r>
    <n v="357"/>
    <s v="Interglobe Aviation Limited - Gujarat"/>
    <s v="SUNDRY CREDITORS (EXPORT)"/>
    <x v="1"/>
    <x v="1"/>
    <m/>
    <x v="3"/>
    <m/>
    <n v="0"/>
    <n v="0"/>
    <n v="0"/>
    <n v="0"/>
  </r>
  <r>
    <n v="358"/>
    <s v="Interglobe Aviation Limited-New Delhi"/>
    <s v="SUNDRY CREDITORS (EXPORT)"/>
    <x v="1"/>
    <x v="1"/>
    <m/>
    <x v="3"/>
    <m/>
    <n v="0"/>
    <n v="0"/>
    <n v="0"/>
    <n v="0"/>
  </r>
  <r>
    <n v="359"/>
    <s v="Internet Charges (A to Z)"/>
    <s v="OFFICE EXPENSE"/>
    <x v="2"/>
    <x v="3"/>
    <s v="Telephone &amp; Internet charges"/>
    <x v="1"/>
    <m/>
    <n v="0"/>
    <n v="942.82"/>
    <n v="0"/>
    <n v="942.82"/>
  </r>
  <r>
    <n v="360"/>
    <s v="Internet Charges Factory"/>
    <s v="FACTORY EXPENSE"/>
    <x v="2"/>
    <x v="3"/>
    <s v="Telephone &amp; Internet charges"/>
    <x v="1"/>
    <m/>
    <n v="0"/>
    <n v="551"/>
    <n v="0"/>
    <n v="551"/>
  </r>
  <r>
    <n v="361"/>
    <s v="Inter-State Purchase (Bluestreak)"/>
    <s v="Purchase Accounts (Blue Streak)"/>
    <x v="2"/>
    <x v="7"/>
    <s v="Purchase"/>
    <x v="2"/>
    <m/>
    <n v="0"/>
    <n v="0"/>
    <n v="0"/>
    <n v="0"/>
  </r>
  <r>
    <n v="362"/>
    <s v="Inter-State Purchase (Clarus)"/>
    <s v="PURCHASE A/C CLARUS"/>
    <x v="2"/>
    <x v="7"/>
    <s v="Purchase"/>
    <x v="5"/>
    <m/>
    <n v="0"/>
    <n v="0"/>
    <n v="0"/>
    <n v="0"/>
  </r>
  <r>
    <n v="363"/>
    <s v="Inverter"/>
    <s v="Plant &amp; Machinery"/>
    <x v="0"/>
    <x v="0"/>
    <m/>
    <x v="0"/>
    <m/>
    <n v="59548.72"/>
    <n v="0"/>
    <n v="0"/>
    <n v="59548.72"/>
  </r>
  <r>
    <n v="364"/>
    <s v="Inverter Battery"/>
    <s v="Fixed Assets"/>
    <x v="0"/>
    <x v="0"/>
    <m/>
    <x v="0"/>
    <m/>
    <n v="6440.68"/>
    <n v="0"/>
    <n v="0"/>
    <n v="6440.68"/>
  </r>
  <r>
    <n v="365"/>
    <s v="Iscon Distributors"/>
    <s v="Uttar Pradesh"/>
    <x v="1"/>
    <x v="2"/>
    <m/>
    <x v="2"/>
    <m/>
    <n v="10201.6"/>
    <n v="0"/>
    <n v="0"/>
    <n v="10201.6"/>
  </r>
  <r>
    <n v="366"/>
    <s v="IT EXPENSE"/>
    <s v="IT EXPENSE"/>
    <x v="0"/>
    <x v="0"/>
    <m/>
    <x v="0"/>
    <m/>
    <n v="0"/>
    <n v="0"/>
    <n v="0"/>
    <n v="0"/>
  </r>
  <r>
    <n v="367"/>
    <s v="J Core"/>
    <s v="Rajasthan"/>
    <x v="1"/>
    <x v="2"/>
    <m/>
    <x v="2"/>
    <m/>
    <n v="6254"/>
    <n v="0"/>
    <n v="0"/>
    <n v="6254"/>
  </r>
  <r>
    <n v="368"/>
    <s v="J.G CHEMICALS LTD"/>
    <s v="Share Investment Anand Rathi"/>
    <x v="0"/>
    <x v="0"/>
    <m/>
    <x v="0"/>
    <m/>
    <n v="0"/>
    <n v="0"/>
    <n v="0"/>
    <n v="0"/>
  </r>
  <r>
    <n v="369"/>
    <s v="JAB Equipments Pvt. Ltd."/>
    <s v="Sundry Creditors for (Expenses)"/>
    <x v="1"/>
    <x v="1"/>
    <m/>
    <x v="1"/>
    <m/>
    <n v="0"/>
    <n v="0"/>
    <n v="0"/>
    <n v="0"/>
  </r>
  <r>
    <n v="370"/>
    <s v="Jaiswal Transport"/>
    <s v="Sundry Creditors (Transports/Logistics)"/>
    <x v="1"/>
    <x v="1"/>
    <m/>
    <x v="1"/>
    <m/>
    <n v="0"/>
    <n v="0"/>
    <n v="0"/>
    <n v="0"/>
  </r>
  <r>
    <n v="371"/>
    <s v="Jina Cosmetics Pvt. Ltd."/>
    <s v="Sundry Creditors ( Blue Streak )"/>
    <x v="1"/>
    <x v="1"/>
    <m/>
    <x v="2"/>
    <m/>
    <n v="0"/>
    <n v="0"/>
    <n v="0"/>
    <n v="0"/>
  </r>
  <r>
    <n v="372"/>
    <s v="Jinshasan Info Sysytem"/>
    <s v="SUNDRY CREDITORS (EXPORT)"/>
    <x v="1"/>
    <x v="1"/>
    <m/>
    <x v="1"/>
    <m/>
    <n v="0"/>
    <n v="0"/>
    <n v="0"/>
    <n v="0"/>
  </r>
  <r>
    <n v="373"/>
    <s v="Kaabeer Global Consultants"/>
    <s v="SUNDRY CREDITORS (EXPORT)"/>
    <x v="1"/>
    <x v="1"/>
    <m/>
    <x v="3"/>
    <m/>
    <n v="0"/>
    <n v="0"/>
    <n v="0"/>
    <n v="0"/>
  </r>
  <r>
    <n v="374"/>
    <s v="Kagaj Digital Gallery"/>
    <s v="Sundry Creditors ( Blue Streak )"/>
    <x v="1"/>
    <x v="1"/>
    <m/>
    <x v="2"/>
    <m/>
    <n v="0"/>
    <n v="0"/>
    <n v="0"/>
    <n v="0"/>
  </r>
  <r>
    <n v="375"/>
    <s v="Kamal Agency"/>
    <s v="SUNDRY DEBTORS (BLUE STREAK)"/>
    <x v="1"/>
    <x v="2"/>
    <m/>
    <x v="2"/>
    <m/>
    <n v="0"/>
    <n v="0"/>
    <n v="0"/>
    <n v="0"/>
  </r>
  <r>
    <n v="376"/>
    <s v="Kaman Police Station"/>
    <s v="SUNDRY DEBTORS (BLUE STREAK)"/>
    <x v="1"/>
    <x v="2"/>
    <m/>
    <x v="2"/>
    <m/>
    <n v="0"/>
    <n v="0"/>
    <n v="0"/>
    <n v="0"/>
  </r>
  <r>
    <n v="377"/>
    <s v="Kanaiyalal M. Vania"/>
    <s v="Sundry Debtor Clarus (Current)"/>
    <x v="1"/>
    <x v="2"/>
    <m/>
    <x v="5"/>
    <m/>
    <n v="0"/>
    <n v="0"/>
    <n v="0"/>
    <n v="0"/>
  </r>
  <r>
    <n v="378"/>
    <s v="Karma Management Global Consulting Solutions Private Limited"/>
    <s v="Sundry Debtors"/>
    <x v="1"/>
    <x v="2"/>
    <m/>
    <x v="1"/>
    <m/>
    <n v="0"/>
    <n v="0"/>
    <n v="0"/>
    <n v="0"/>
  </r>
  <r>
    <n v="379"/>
    <s v="KH 90 SEMI AUTOMATIC STRAPPING MACHINE"/>
    <s v="Plant &amp; Machinery"/>
    <x v="0"/>
    <x v="0"/>
    <m/>
    <x v="0"/>
    <m/>
    <n v="28000"/>
    <n v="0"/>
    <n v="0"/>
    <n v="28000"/>
  </r>
  <r>
    <n v="380"/>
    <s v="KingS It World"/>
    <s v="Tamil Nadu"/>
    <x v="1"/>
    <x v="2"/>
    <m/>
    <x v="2"/>
    <m/>
    <n v="0"/>
    <n v="0"/>
    <n v="0"/>
    <n v="0"/>
  </r>
  <r>
    <n v="381"/>
    <s v="Kisuji Chamber Type Shrink Tunnal"/>
    <s v="Plant &amp; Machinery"/>
    <x v="0"/>
    <x v="0"/>
    <m/>
    <x v="0"/>
    <m/>
    <n v="18341.55"/>
    <n v="0"/>
    <n v="0"/>
    <n v="18341.55"/>
  </r>
  <r>
    <n v="382"/>
    <s v="KOTAK CREDIT CARD"/>
    <s v="Sundry Creditors for (Expenses)"/>
    <x v="1"/>
    <x v="1"/>
    <m/>
    <x v="1"/>
    <m/>
    <n v="0"/>
    <n v="0"/>
    <n v="0"/>
    <n v="0"/>
  </r>
  <r>
    <n v="383"/>
    <s v="Kotak Credit Card No. 4147 6716 0110 0245"/>
    <s v="Sundry Creditors"/>
    <x v="1"/>
    <x v="1"/>
    <m/>
    <x v="1"/>
    <m/>
    <n v="0"/>
    <n v="0"/>
    <n v="0"/>
    <n v="0"/>
  </r>
  <r>
    <n v="384"/>
    <s v="Krupa Electronic"/>
    <s v="SUNDRY DEBTORS BLUESTREAK - AJAYSIR"/>
    <x v="1"/>
    <x v="2"/>
    <m/>
    <x v="2"/>
    <m/>
    <n v="0"/>
    <n v="0"/>
    <n v="0"/>
    <n v="0"/>
  </r>
  <r>
    <n v="385"/>
    <s v="Labelling Machine"/>
    <s v="Plant &amp; Machinery"/>
    <x v="0"/>
    <x v="0"/>
    <m/>
    <x v="0"/>
    <m/>
    <n v="26231.75"/>
    <n v="0"/>
    <n v="0"/>
    <n v="26231.75"/>
  </r>
  <r>
    <n v="386"/>
    <s v="LABOUR JOB EXP (BLUESTREAK)"/>
    <s v="BLUESTREAK (EXPENSES)"/>
    <x v="2"/>
    <x v="3"/>
    <s v="Labour charges"/>
    <x v="2"/>
    <m/>
    <n v="0"/>
    <n v="0"/>
    <n v="0"/>
    <n v="0"/>
  </r>
  <r>
    <n v="387"/>
    <s v="Lalit Computer And Appliances"/>
    <s v="Haryana"/>
    <x v="1"/>
    <x v="2"/>
    <m/>
    <x v="2"/>
    <m/>
    <n v="0"/>
    <n v="0"/>
    <n v="0"/>
    <n v="0"/>
  </r>
  <r>
    <n v="388"/>
    <s v="Late Fee Charges On TDS"/>
    <s v="OFFICE EXPENSE"/>
    <x v="2"/>
    <x v="3"/>
    <s v="Rates &amp; Taxes"/>
    <x v="1"/>
    <m/>
    <n v="0"/>
    <n v="0"/>
    <n v="0"/>
    <n v="0"/>
  </r>
  <r>
    <n v="389"/>
    <s v="LAXMAN PRINTERS &amp; SYSTEM SERVICE"/>
    <s v="Andhra Pradesh"/>
    <x v="1"/>
    <x v="2"/>
    <m/>
    <x v="2"/>
    <m/>
    <n v="0"/>
    <n v="0"/>
    <n v="0"/>
    <n v="0"/>
  </r>
  <r>
    <n v="390"/>
    <s v="Laxmi Computers And Stationers"/>
    <s v="Rest of Maharashtra"/>
    <x v="1"/>
    <x v="2"/>
    <m/>
    <x v="2"/>
    <m/>
    <n v="39766"/>
    <n v="0"/>
    <n v="0"/>
    <n v="39766"/>
  </r>
  <r>
    <n v="391"/>
    <s v="LEASE RENT FACTORY"/>
    <s v="FACTORY EXPENSE"/>
    <x v="2"/>
    <x v="3"/>
    <s v="Rent expenses"/>
    <x v="1"/>
    <m/>
    <n v="0"/>
    <n v="46305"/>
    <n v="0"/>
    <n v="46305"/>
  </r>
  <r>
    <n v="392"/>
    <s v="Leave Encashment - Bluestreak"/>
    <s v="BLUESTREAK (EXPENSES)"/>
    <x v="2"/>
    <x v="3"/>
    <s v="Salary &amp; wages"/>
    <x v="2"/>
    <m/>
    <n v="0"/>
    <n v="0"/>
    <n v="0"/>
    <n v="0"/>
  </r>
  <r>
    <n v="393"/>
    <s v="Leave Encashment - Clarus"/>
    <s v="CLARUS (EXPENSE)"/>
    <x v="2"/>
    <x v="3"/>
    <s v="Salary &amp; wages"/>
    <x v="5"/>
    <m/>
    <n v="0"/>
    <n v="0"/>
    <n v="0"/>
    <n v="0"/>
  </r>
  <r>
    <n v="394"/>
    <s v="Leave Encashment - Factory"/>
    <s v="FACTORY EXPENSE"/>
    <x v="2"/>
    <x v="3"/>
    <s v="Salary &amp; wages"/>
    <x v="1"/>
    <m/>
    <n v="0"/>
    <n v="0"/>
    <n v="0"/>
    <n v="0"/>
  </r>
  <r>
    <n v="395"/>
    <s v="Leave Encashment - Office"/>
    <s v="OFFICE EXPENSE"/>
    <x v="2"/>
    <x v="3"/>
    <s v="Salary &amp; wages"/>
    <x v="1"/>
    <m/>
    <n v="0"/>
    <n v="7480"/>
    <n v="0"/>
    <n v="7480"/>
  </r>
  <r>
    <n v="396"/>
    <s v="Loading / Unloading Charges Factory"/>
    <s v="FACTORY EXPENSE"/>
    <x v="2"/>
    <x v="4"/>
    <s v="Loading &amp; Unloading charges"/>
    <x v="7"/>
    <m/>
    <n v="0"/>
    <n v="0"/>
    <n v="0"/>
    <n v="0"/>
  </r>
  <r>
    <n v="397"/>
    <s v="Local Body Tax Expense"/>
    <s v="EXPORT (EXPENSE)"/>
    <x v="2"/>
    <x v="3"/>
    <s v="Misc Expenses"/>
    <x v="3"/>
    <m/>
    <n v="0"/>
    <n v="0"/>
    <n v="0"/>
    <n v="0"/>
  </r>
  <r>
    <n v="398"/>
    <s v="LOLO CHARGES"/>
    <s v="Direct Expense"/>
    <x v="2"/>
    <x v="4"/>
    <s v="Port Expenses"/>
    <x v="3"/>
    <m/>
    <n v="0"/>
    <n v="0"/>
    <n v="0"/>
    <n v="0"/>
  </r>
  <r>
    <n v="399"/>
    <s v="M/S Jaico"/>
    <s v="Sundry Debtors"/>
    <x v="1"/>
    <x v="2"/>
    <m/>
    <x v="1"/>
    <m/>
    <n v="0"/>
    <n v="0"/>
    <n v="0"/>
    <n v="0"/>
  </r>
  <r>
    <n v="400"/>
    <s v="M/s Prince Traders"/>
    <s v="ADV FROM CUSTOMER"/>
    <x v="0"/>
    <x v="0"/>
    <m/>
    <x v="0"/>
    <m/>
    <n v="-1250000"/>
    <n v="0"/>
    <n v="0"/>
    <n v="-1250000"/>
  </r>
  <r>
    <n v="401"/>
    <s v="MACHINE REPAIRING &amp; OPERETOR CLARUS(EXPENSE)"/>
    <s v="CLARUS (EXPENSE)"/>
    <x v="2"/>
    <x v="3"/>
    <s v="Repairs &amp; maintenance expenses"/>
    <x v="5"/>
    <m/>
    <n v="0"/>
    <n v="18401.57"/>
    <n v="0"/>
    <n v="18401.57"/>
  </r>
  <r>
    <n v="402"/>
    <s v="Mahadev Forex Pvt Ltd"/>
    <s v="SUNDRY CREDITORS (EXPORT)"/>
    <x v="1"/>
    <x v="1"/>
    <m/>
    <x v="3"/>
    <m/>
    <n v="0"/>
    <n v="0"/>
    <n v="0"/>
    <n v="0"/>
  </r>
  <r>
    <n v="403"/>
    <s v="Mahavir Enterprises"/>
    <s v="Sundry Debtor Clarus (Current)"/>
    <x v="1"/>
    <x v="2"/>
    <m/>
    <x v="5"/>
    <m/>
    <n v="0"/>
    <n v="0"/>
    <n v="0"/>
    <n v="0"/>
  </r>
  <r>
    <n v="404"/>
    <s v="Maintenance -OFFICE (URD)"/>
    <s v="OFFICE EXPENSE"/>
    <x v="2"/>
    <x v="3"/>
    <s v="Repairs &amp; maintenance expenses"/>
    <x v="1"/>
    <m/>
    <n v="0"/>
    <n v="0"/>
    <n v="0"/>
    <n v="0"/>
  </r>
  <r>
    <n v="405"/>
    <s v="Manasiya Paper Products Llp"/>
    <s v="Sundry Creditors ( Clarus )"/>
    <x v="1"/>
    <x v="1"/>
    <m/>
    <x v="5"/>
    <m/>
    <n v="0"/>
    <n v="0"/>
    <n v="0"/>
    <n v="0"/>
  </r>
  <r>
    <n v="406"/>
    <s v="Manibhadra Electricals Pvt Ltd"/>
    <s v="SUNDRY CREDITORS (EXPORT)"/>
    <x v="1"/>
    <x v="1"/>
    <m/>
    <x v="3"/>
    <m/>
    <n v="0"/>
    <n v="0"/>
    <n v="0"/>
    <n v="0"/>
  </r>
  <r>
    <n v="407"/>
    <s v="Manish Parmar"/>
    <s v="Sundry Creditors for (Expenses)"/>
    <x v="1"/>
    <x v="1"/>
    <m/>
    <x v="1"/>
    <m/>
    <n v="0"/>
    <n v="0"/>
    <n v="0"/>
    <n v="0"/>
  </r>
  <r>
    <n v="408"/>
    <s v="Manisha Enterprises"/>
    <s v="Jharkhand"/>
    <x v="1"/>
    <x v="2"/>
    <m/>
    <x v="2"/>
    <m/>
    <n v="0"/>
    <n v="0"/>
    <n v="0"/>
    <n v="0"/>
  </r>
  <r>
    <n v="409"/>
    <s v="Manisha Mehta (Loan A/c)"/>
    <s v="Unsecured Loans"/>
    <x v="0"/>
    <x v="0"/>
    <m/>
    <x v="0"/>
    <m/>
    <n v="0"/>
    <n v="0"/>
    <n v="0"/>
    <n v="0"/>
  </r>
  <r>
    <n v="410"/>
    <s v="Manual Induction Sealing Machine-500f"/>
    <s v="Office Equipment"/>
    <x v="0"/>
    <x v="0"/>
    <m/>
    <x v="0"/>
    <m/>
    <n v="7500"/>
    <n v="0"/>
    <n v="0"/>
    <n v="7500"/>
  </r>
  <r>
    <n v="411"/>
    <s v="Mario Industries Private Limited"/>
    <s v="Sundry Creditors ( Blue Streak )"/>
    <x v="1"/>
    <x v="1"/>
    <m/>
    <x v="2"/>
    <m/>
    <n v="-23961"/>
    <n v="0"/>
    <n v="0"/>
    <n v="-23961"/>
  </r>
  <r>
    <n v="412"/>
    <s v="MARKETING EXPENSE (EXPORT)"/>
    <s v="EXPORT (EXPENSE)"/>
    <x v="2"/>
    <x v="3"/>
    <s v="Marketing Expense"/>
    <x v="3"/>
    <m/>
    <n v="0"/>
    <n v="0"/>
    <n v="0"/>
    <n v="0"/>
  </r>
  <r>
    <n v="413"/>
    <s v="Lenovo 81NB00F6IN Laptop"/>
    <s v="Office Equipment"/>
    <x v="0"/>
    <x v="0"/>
    <m/>
    <x v="0"/>
    <m/>
    <n v="26694.92"/>
    <n v="0"/>
    <n v="0"/>
    <n v="26694.92"/>
  </r>
  <r>
    <n v="413"/>
    <s v="MARKETING EXPENSE (IT)"/>
    <s v="IT EXPENSE"/>
    <x v="2"/>
    <x v="3"/>
    <s v="Advertisements costs"/>
    <x v="3"/>
    <m/>
    <n v="0"/>
    <n v="30000"/>
    <n v="0"/>
    <n v="30000"/>
  </r>
  <r>
    <n v="414"/>
    <s v="Maruti Enterprises"/>
    <s v="Uttar Pradesh"/>
    <x v="1"/>
    <x v="2"/>
    <m/>
    <x v="2"/>
    <m/>
    <n v="0"/>
    <n v="0"/>
    <n v="0"/>
    <n v="0"/>
  </r>
  <r>
    <n v="415"/>
    <s v="Mayur Stationers (Kolhapur)"/>
    <s v="Rest of Maharashtra"/>
    <x v="1"/>
    <x v="2"/>
    <m/>
    <x v="2"/>
    <m/>
    <n v="-474"/>
    <n v="0"/>
    <n v="0"/>
    <n v="-474"/>
  </r>
  <r>
    <n v="416"/>
    <s v="Medical - Office"/>
    <s v="Salary &amp; Wages - Office"/>
    <x v="2"/>
    <x v="3"/>
    <s v="Salary &amp; wages"/>
    <x v="1"/>
    <m/>
    <n v="0"/>
    <n v="0"/>
    <n v="0"/>
    <n v="0"/>
  </r>
  <r>
    <n v="417"/>
    <s v="Meet Enterprises"/>
    <s v="Sundry Debtor Clarus (Current)"/>
    <x v="1"/>
    <x v="2"/>
    <m/>
    <x v="5"/>
    <m/>
    <n v="0"/>
    <n v="0"/>
    <n v="0"/>
    <n v="0"/>
  </r>
  <r>
    <n v="418"/>
    <s v="Micro Tab Info Solution"/>
    <s v="SUNDRY CREDITORS (EXPORT)"/>
    <x v="1"/>
    <x v="1"/>
    <m/>
    <x v="3"/>
    <m/>
    <n v="0"/>
    <n v="0"/>
    <n v="0"/>
    <n v="0"/>
  </r>
  <r>
    <n v="419"/>
    <s v="MINAL PLASTIC"/>
    <s v="Sundry Creditors for Factory"/>
    <x v="1"/>
    <x v="1"/>
    <m/>
    <x v="1"/>
    <m/>
    <n v="0"/>
    <n v="0"/>
    <n v="0"/>
    <n v="0"/>
  </r>
  <r>
    <n v="420"/>
    <s v="MJPT &amp; CO LLP"/>
    <s v="Sundry Creditors for (OFFICE)"/>
    <x v="1"/>
    <x v="1"/>
    <m/>
    <x v="1"/>
    <m/>
    <n v="-26320"/>
    <n v="452520"/>
    <n v="447800"/>
    <n v="-21600"/>
  </r>
  <r>
    <n v="421"/>
    <s v="MMK E-KART INDIA PVT. LTD."/>
    <s v="Sundry Creditors for (Expenses)"/>
    <x v="1"/>
    <x v="1"/>
    <m/>
    <x v="1"/>
    <m/>
    <n v="0"/>
    <n v="0"/>
    <n v="0"/>
    <n v="0"/>
  </r>
  <r>
    <n v="422"/>
    <s v="MOBILE &amp; TELEPHONE EXPENSE (EXPORT)"/>
    <s v="EXPORT (EXPENSE)"/>
    <x v="2"/>
    <x v="3"/>
    <s v="Telephone &amp; Internet charges"/>
    <x v="3"/>
    <m/>
    <n v="0"/>
    <n v="4473.46"/>
    <n v="0"/>
    <n v="4473.46"/>
  </r>
  <r>
    <n v="423"/>
    <s v="Mobile Phone"/>
    <s v="Office Equipment"/>
    <x v="0"/>
    <x v="0"/>
    <m/>
    <x v="0"/>
    <m/>
    <n v="336143.22"/>
    <n v="110168.64"/>
    <n v="0"/>
    <n v="446311.86"/>
  </r>
  <r>
    <n v="424"/>
    <s v="Monarch Stationery"/>
    <s v="Sundry Creditors for (Expenses)"/>
    <x v="1"/>
    <x v="1"/>
    <m/>
    <x v="1"/>
    <m/>
    <n v="0"/>
    <n v="0"/>
    <n v="0"/>
    <n v="0"/>
  </r>
  <r>
    <n v="425"/>
    <s v="MOSCHIP TECHNOLOGIES LTD"/>
    <s v="Share Investment Anand Rathi"/>
    <x v="0"/>
    <x v="0"/>
    <m/>
    <x v="0"/>
    <m/>
    <n v="0"/>
    <n v="0"/>
    <n v="0"/>
    <n v="0"/>
  </r>
  <r>
    <n v="426"/>
    <s v="Motor"/>
    <s v="Plant &amp; Machinery"/>
    <x v="0"/>
    <x v="0"/>
    <m/>
    <x v="0"/>
    <m/>
    <n v="3132.28"/>
    <n v="0"/>
    <n v="0"/>
    <n v="3132.28"/>
  </r>
  <r>
    <n v="427"/>
    <s v="MRP Telecom Solutions"/>
    <s v="Sundry Creditors for (Expenses)"/>
    <x v="1"/>
    <x v="1"/>
    <m/>
    <x v="1"/>
    <m/>
    <n v="0"/>
    <n v="0"/>
    <n v="0"/>
    <n v="0"/>
  </r>
  <r>
    <n v="428"/>
    <s v="MUC"/>
    <s v="Direct Expense"/>
    <x v="2"/>
    <x v="4"/>
    <s v="Port Expenses"/>
    <x v="3"/>
    <m/>
    <n v="0"/>
    <n v="0"/>
    <n v="0"/>
    <n v="0"/>
  </r>
  <r>
    <n v="429"/>
    <s v="MUKESH DILIP JADHAV"/>
    <s v="Sundry Creditors for (Expenses)"/>
    <x v="1"/>
    <x v="1"/>
    <m/>
    <x v="1"/>
    <m/>
    <n v="0"/>
    <n v="18510"/>
    <n v="18510"/>
    <n v="0"/>
  </r>
  <r>
    <n v="430"/>
    <s v="Namah IP Solutions"/>
    <s v="Sundry Creditors for (Expenses)"/>
    <x v="1"/>
    <x v="1"/>
    <m/>
    <x v="1"/>
    <m/>
    <n v="0"/>
    <n v="0"/>
    <n v="0"/>
    <n v="0"/>
  </r>
  <r>
    <n v="431"/>
    <s v="Napkin Tissue Machine Model No. MH-200"/>
    <s v="Plant &amp; Machinery"/>
    <x v="0"/>
    <x v="0"/>
    <m/>
    <x v="0"/>
    <m/>
    <n v="145129.1"/>
    <n v="0"/>
    <n v="0"/>
    <n v="145129.1"/>
  </r>
  <r>
    <n v="432"/>
    <s v="Napkin Tissue Machine Model No. MH-300"/>
    <s v="Plant &amp; Machinery"/>
    <x v="0"/>
    <x v="0"/>
    <m/>
    <x v="0"/>
    <m/>
    <n v="241882.11"/>
    <n v="0"/>
    <n v="0"/>
    <n v="241882.11"/>
  </r>
  <r>
    <n v="433"/>
    <s v="Napkin Tissue Machine Model No. MH-330"/>
    <s v="Plant &amp; Machinery"/>
    <x v="0"/>
    <x v="0"/>
    <m/>
    <x v="0"/>
    <m/>
    <n v="338635.12"/>
    <n v="0"/>
    <n v="0"/>
    <n v="338635.12"/>
  </r>
  <r>
    <n v="434"/>
    <s v="Naren Traders"/>
    <s v="Sundry Debtor Clarus (Current)"/>
    <x v="1"/>
    <x v="2"/>
    <m/>
    <x v="5"/>
    <m/>
    <n v="300"/>
    <n v="0"/>
    <n v="0"/>
    <n v="300"/>
  </r>
  <r>
    <n v="435"/>
    <s v="Naresh Steel Industries Pvt.Ltd."/>
    <s v="Sundry Debtor Clarus (Current)"/>
    <x v="1"/>
    <x v="2"/>
    <m/>
    <x v="5"/>
    <m/>
    <n v="0"/>
    <n v="0"/>
    <n v="0"/>
    <n v="0"/>
  </r>
  <r>
    <n v="436"/>
    <s v="Nasika"/>
    <s v="Sundry Debtor Clarus (Current)"/>
    <x v="1"/>
    <x v="2"/>
    <m/>
    <x v="5"/>
    <m/>
    <n v="0"/>
    <n v="0"/>
    <n v="0"/>
    <n v="0"/>
  </r>
  <r>
    <n v="437"/>
    <s v="Neha Enterprises"/>
    <s v="Madhya Pradesh"/>
    <x v="1"/>
    <x v="2"/>
    <m/>
    <x v="2"/>
    <m/>
    <n v="0"/>
    <n v="0"/>
    <n v="0"/>
    <n v="0"/>
  </r>
  <r>
    <n v="438"/>
    <s v="Neoteric Infomatique Ltd"/>
    <s v="Unsecured Loans"/>
    <x v="0"/>
    <x v="0"/>
    <m/>
    <x v="0"/>
    <m/>
    <n v="0"/>
    <n v="0"/>
    <n v="0"/>
    <n v="0"/>
  </r>
  <r>
    <n v="439"/>
    <s v="New Way Imports"/>
    <s v="Sundry Creditors ( Blue Streak )"/>
    <x v="1"/>
    <x v="1"/>
    <m/>
    <x v="2"/>
    <m/>
    <n v="0"/>
    <n v="0"/>
    <n v="0"/>
    <n v="0"/>
  </r>
  <r>
    <n v="440"/>
    <s v="Nexus Elite Lifestyle Private Limited"/>
    <s v="SUNDRY CREDITORS (EXPORT)"/>
    <x v="1"/>
    <x v="1"/>
    <m/>
    <x v="3"/>
    <m/>
    <n v="21588"/>
    <n v="617630"/>
    <n v="1199284"/>
    <n v="-560066"/>
  </r>
  <r>
    <n v="441"/>
    <s v="Nowtransit Cargo Pvt Ltd"/>
    <s v="Sundry Creditors (Transports/Logistics)"/>
    <x v="1"/>
    <x v="1"/>
    <m/>
    <x v="1"/>
    <m/>
    <n v="0"/>
    <n v="0"/>
    <n v="0"/>
    <n v="0"/>
  </r>
  <r>
    <n v="442"/>
    <s v="Nyrwana"/>
    <s v="Sundry Creditors for (Expenses)"/>
    <x v="1"/>
    <x v="1"/>
    <m/>
    <x v="1"/>
    <m/>
    <n v="0"/>
    <n v="0"/>
    <n v="0"/>
    <n v="0"/>
  </r>
  <r>
    <n v="443"/>
    <s v="Office Equipment"/>
    <s v="Office Equipment"/>
    <x v="0"/>
    <x v="0"/>
    <m/>
    <x v="0"/>
    <m/>
    <n v="-331909.33"/>
    <n v="0"/>
    <n v="0"/>
    <n v="-331909.33"/>
  </r>
  <r>
    <n v="444"/>
    <s v="OM FREIGHT FORWARDERS PRIVATE LIMITED"/>
    <s v="SUNDRY CREDITORS (EXPORT)"/>
    <x v="1"/>
    <x v="1"/>
    <m/>
    <x v="3"/>
    <m/>
    <n v="0"/>
    <n v="0"/>
    <n v="0"/>
    <n v="0"/>
  </r>
  <r>
    <n v="445"/>
    <s v="Om Jishnu Computers"/>
    <s v="Tamil Nadu"/>
    <x v="1"/>
    <x v="2"/>
    <m/>
    <x v="2"/>
    <m/>
    <n v="0"/>
    <n v="0"/>
    <n v="0"/>
    <n v="0"/>
  </r>
  <r>
    <n v="446"/>
    <s v="Omkar Latake Loan A/c"/>
    <s v="Staff Loan - Blue Streak"/>
    <x v="0"/>
    <x v="0"/>
    <m/>
    <x v="0"/>
    <m/>
    <n v="7623"/>
    <n v="0"/>
    <n v="0"/>
    <n v="7623"/>
  </r>
  <r>
    <n v="447"/>
    <s v="ON WHEEL CLEARANCE"/>
    <s v="Direct Expense"/>
    <x v="2"/>
    <x v="4"/>
    <s v="Port Expenses"/>
    <x v="3"/>
    <m/>
    <n v="0"/>
    <n v="0"/>
    <n v="0"/>
    <n v="0"/>
  </r>
  <r>
    <n v="448"/>
    <s v="Onetouch Computer  Services"/>
    <s v="Haryana"/>
    <x v="1"/>
    <x v="2"/>
    <m/>
    <x v="2"/>
    <m/>
    <n v="0"/>
    <n v="0"/>
    <n v="0"/>
    <n v="0"/>
  </r>
  <r>
    <n v="449"/>
    <s v="Opal Infotech"/>
    <s v="SUNDRY CREDITORS (EXPORT)"/>
    <x v="1"/>
    <x v="1"/>
    <m/>
    <x v="3"/>
    <m/>
    <n v="0"/>
    <n v="0"/>
    <n v="0"/>
    <n v="0"/>
  </r>
  <r>
    <n v="450"/>
    <s v="OTHER SERVICE CHARGES-CHA"/>
    <s v="EXPORT (EXPENSE)"/>
    <x v="2"/>
    <x v="4"/>
    <s v="Freight &amp; Shipping charges"/>
    <x v="3"/>
    <m/>
    <n v="0"/>
    <n v="4770"/>
    <n v="0"/>
    <n v="4770"/>
  </r>
  <r>
    <n v="451"/>
    <s v="OTHER SERVICE CHARGES-FRT(BL SURRENDER CHARGES)"/>
    <s v="EXPORT (EXPENSE)"/>
    <x v="2"/>
    <x v="4"/>
    <s v="Freight &amp; Shipping charges"/>
    <x v="3"/>
    <m/>
    <n v="0"/>
    <n v="0"/>
    <n v="0"/>
    <n v="0"/>
  </r>
  <r>
    <n v="452"/>
    <s v="Oxytech International"/>
    <s v="SUNDRY DEBTORS BLUESTREAK - AJAYSIR"/>
    <x v="1"/>
    <x v="2"/>
    <m/>
    <x v="2"/>
    <m/>
    <n v="1821"/>
    <n v="0"/>
    <n v="0"/>
    <n v="1821"/>
  </r>
  <r>
    <n v="453"/>
    <s v="Ozone Secutech Pvt. Ltd. (Amazon)"/>
    <s v="Sundry Creditors for (Expenses)"/>
    <x v="1"/>
    <x v="1"/>
    <m/>
    <x v="1"/>
    <m/>
    <n v="0"/>
    <n v="0"/>
    <n v="0"/>
    <n v="0"/>
  </r>
  <r>
    <n v="454"/>
    <s v="P S Shah Panwala"/>
    <s v="Sundry Debtor Clarus (Current)"/>
    <x v="1"/>
    <x v="2"/>
    <m/>
    <x v="5"/>
    <m/>
    <n v="999.87"/>
    <n v="0"/>
    <n v="0"/>
    <n v="999.87"/>
  </r>
  <r>
    <n v="455"/>
    <s v="Packing Machine"/>
    <s v="Plant &amp; Machinery"/>
    <x v="0"/>
    <x v="0"/>
    <m/>
    <x v="0"/>
    <m/>
    <n v="53157.96"/>
    <n v="0"/>
    <n v="0"/>
    <n v="53157.96"/>
  </r>
  <r>
    <n v="456"/>
    <s v="PARAS R BHAYANI"/>
    <s v="SUNDRY CREDITORS (EXPORT)"/>
    <x v="1"/>
    <x v="1"/>
    <m/>
    <x v="3"/>
    <m/>
    <n v="0"/>
    <n v="0"/>
    <n v="0"/>
    <n v="0"/>
  </r>
  <r>
    <n v="457"/>
    <s v="Parekh Market Premises Co Op Society Ltd"/>
    <s v="Sundry Creditors for (Expenses)"/>
    <x v="1"/>
    <x v="1"/>
    <m/>
    <x v="1"/>
    <m/>
    <n v="0"/>
    <n v="0"/>
    <n v="0"/>
    <n v="0"/>
  </r>
  <r>
    <n v="458"/>
    <s v="PARIS COMPUTERS"/>
    <s v="SUNDRY DEBTORS BLUESTREAK - AJAYSIR"/>
    <x v="1"/>
    <x v="2"/>
    <m/>
    <x v="2"/>
    <m/>
    <n v="0"/>
    <n v="0"/>
    <n v="0"/>
    <n v="0"/>
  </r>
  <r>
    <n v="459"/>
    <s v="Part Payment Against Appeal for - 2004-05"/>
    <s v="Tax Advances"/>
    <x v="0"/>
    <x v="0"/>
    <m/>
    <x v="0"/>
    <m/>
    <n v="110000"/>
    <n v="0"/>
    <n v="0"/>
    <n v="110000"/>
  </r>
  <r>
    <n v="460"/>
    <s v="Perfect Rescue Force Pvt Ltd"/>
    <s v="SUNDRY DEBTORS BLUESTREAK - AJAYSIR"/>
    <x v="1"/>
    <x v="2"/>
    <m/>
    <x v="2"/>
    <m/>
    <n v="0"/>
    <n v="0"/>
    <n v="0"/>
    <n v="0"/>
  </r>
  <r>
    <n v="461"/>
    <s v="Peristaltic Pump"/>
    <s v="Plant &amp; Machinery"/>
    <x v="0"/>
    <x v="0"/>
    <m/>
    <x v="0"/>
    <m/>
    <n v="50264.1"/>
    <n v="0"/>
    <n v="0"/>
    <n v="50264.1"/>
  </r>
  <r>
    <n v="462"/>
    <s v="Petty Cash - Factory"/>
    <s v="Cash-in-Hand"/>
    <x v="0"/>
    <x v="0"/>
    <m/>
    <x v="0"/>
    <m/>
    <n v="2601"/>
    <n v="0"/>
    <n v="400"/>
    <n v="2201"/>
  </r>
  <r>
    <n v="463"/>
    <s v="Petty Cash - Office"/>
    <s v="Cash-in-Hand"/>
    <x v="0"/>
    <x v="0"/>
    <m/>
    <x v="0"/>
    <m/>
    <n v="24176"/>
    <n v="100000"/>
    <n v="74884"/>
    <n v="49292"/>
  </r>
  <r>
    <n v="464"/>
    <s v="PF Administration Charges A/c # 22"/>
    <s v="ESIC  Payable Office"/>
    <x v="0"/>
    <x v="0"/>
    <m/>
    <x v="0"/>
    <m/>
    <n v="0"/>
    <n v="75"/>
    <n v="0"/>
    <n v="75"/>
  </r>
  <r>
    <n v="465"/>
    <s v="PF of Employees"/>
    <s v="ESIC  Payable Office"/>
    <x v="0"/>
    <x v="0"/>
    <m/>
    <x v="0"/>
    <m/>
    <n v="0"/>
    <n v="0"/>
    <n v="0"/>
    <n v="0"/>
  </r>
  <r>
    <n v="466"/>
    <s v="PF of Employer"/>
    <s v="Indirect Expenses"/>
    <x v="2"/>
    <x v="3"/>
    <s v="Salary &amp; wages"/>
    <x v="1"/>
    <m/>
    <n v="0"/>
    <n v="0"/>
    <n v="0"/>
    <n v="0"/>
  </r>
  <r>
    <n v="467"/>
    <s v="Plant &amp; Machinary"/>
    <s v="Plant &amp; Machinery"/>
    <x v="0"/>
    <x v="0"/>
    <m/>
    <x v="0"/>
    <m/>
    <n v="-3597664.52"/>
    <n v="0"/>
    <n v="0"/>
    <n v="-3597664.52"/>
  </r>
  <r>
    <n v="468"/>
    <s v="Plus Plus Unified Engaugement Services Pvt Ltd"/>
    <s v="ADV FROM CUSTOMER"/>
    <x v="0"/>
    <x v="0"/>
    <m/>
    <x v="0"/>
    <m/>
    <n v="-10000000"/>
    <n v="0"/>
    <n v="0"/>
    <n v="-10000000"/>
  </r>
  <r>
    <n v="469"/>
    <s v="PM Corporations Baroda"/>
    <s v="Sundry Debtor Clarus (Current)"/>
    <x v="1"/>
    <x v="2"/>
    <m/>
    <x v="5"/>
    <m/>
    <n v="0"/>
    <n v="0"/>
    <n v="0"/>
    <n v="0"/>
  </r>
  <r>
    <n v="470"/>
    <s v="Pocket Tissue Machine"/>
    <s v="Plant &amp; Machinery"/>
    <x v="0"/>
    <x v="0"/>
    <m/>
    <x v="0"/>
    <m/>
    <n v="83193.78"/>
    <n v="0"/>
    <n v="0"/>
    <n v="83193.78"/>
  </r>
  <r>
    <n v="471"/>
    <s v="Posty Infotech"/>
    <s v="SUNDRY CREDITORS (EXPORT)"/>
    <x v="1"/>
    <x v="1"/>
    <m/>
    <x v="3"/>
    <m/>
    <n v="0"/>
    <n v="2360"/>
    <n v="4720"/>
    <n v="-2360"/>
  </r>
  <r>
    <n v="472"/>
    <s v="Power Press with Motor"/>
    <s v="Plant &amp; Machinery"/>
    <x v="0"/>
    <x v="0"/>
    <m/>
    <x v="0"/>
    <m/>
    <n v="2421.91"/>
    <n v="0"/>
    <n v="0"/>
    <n v="2421.91"/>
  </r>
  <r>
    <n v="473"/>
    <s v="Jamiat Ulama-I-Hind Halal Trust"/>
    <s v="SUNDRY CREDITORS (Spice)"/>
    <x v="1"/>
    <x v="1"/>
    <m/>
    <x v="4"/>
    <m/>
    <n v="0"/>
    <n v="0"/>
    <n v="0"/>
    <n v="0"/>
  </r>
  <r>
    <n v="473"/>
    <s v="Prabhat Computer"/>
    <s v="Sundry Creditors ( Blue Streak )"/>
    <x v="1"/>
    <x v="1"/>
    <m/>
    <x v="2"/>
    <m/>
    <n v="0"/>
    <n v="0"/>
    <n v="0"/>
    <n v="0"/>
  </r>
  <r>
    <n v="474"/>
    <s v="Om Sai Transport"/>
    <s v="SUNDRY CREDITORS (Spice)"/>
    <x v="1"/>
    <x v="1"/>
    <m/>
    <x v="4"/>
    <m/>
    <n v="0"/>
    <n v="0"/>
    <n v="0"/>
    <n v="0"/>
  </r>
  <r>
    <n v="474"/>
    <s v="Prajakta Hadpe Loan A/c"/>
    <s v="STAFF LOAN - OFFICE"/>
    <x v="0"/>
    <x v="0"/>
    <m/>
    <x v="0"/>
    <m/>
    <n v="0"/>
    <n v="0"/>
    <n v="0"/>
    <n v="0"/>
  </r>
  <r>
    <n v="475"/>
    <s v="PRAMAN SECURITIES"/>
    <s v="SUNDRY DEBTORS BLUESTREAK - AJAYSIR"/>
    <x v="1"/>
    <x v="2"/>
    <m/>
    <x v="2"/>
    <m/>
    <n v="0"/>
    <n v="0"/>
    <n v="0"/>
    <n v="0"/>
  </r>
  <r>
    <n v="476"/>
    <s v="Pranav Enterprises"/>
    <s v="Sundry Debtor Clarus"/>
    <x v="1"/>
    <x v="2"/>
    <m/>
    <x v="5"/>
    <m/>
    <n v="0"/>
    <n v="0"/>
    <n v="0"/>
    <n v="0"/>
  </r>
  <r>
    <n v="477"/>
    <s v="Prash Enterprises"/>
    <s v="SUNDRY DEBTORS BLUESTREAK - AJAYSIR"/>
    <x v="1"/>
    <x v="2"/>
    <m/>
    <x v="2"/>
    <m/>
    <n v="0"/>
    <n v="0"/>
    <n v="0"/>
    <n v="0"/>
  </r>
  <r>
    <n v="478"/>
    <s v="Prepaid Expense"/>
    <s v="Current Assets"/>
    <x v="0"/>
    <x v="0"/>
    <m/>
    <x v="0"/>
    <m/>
    <n v="24097.17"/>
    <n v="0"/>
    <n v="0"/>
    <n v="24097.17"/>
  </r>
  <r>
    <n v="479"/>
    <s v="PRIDE PACKAGING"/>
    <s v="Sundry Creditors ( Blue Streak )"/>
    <x v="1"/>
    <x v="1"/>
    <m/>
    <x v="2"/>
    <m/>
    <n v="0"/>
    <n v="0"/>
    <n v="0"/>
    <n v="0"/>
  </r>
  <r>
    <n v="480"/>
    <s v="Prime Computers"/>
    <s v="Madhya Pradesh"/>
    <x v="1"/>
    <x v="2"/>
    <m/>
    <x v="2"/>
    <m/>
    <n v="17420"/>
    <n v="0"/>
    <n v="0"/>
    <n v="17420"/>
  </r>
  <r>
    <n v="481"/>
    <s v="Prince Traders"/>
    <s v="Sundry Creditors ( Clarus )"/>
    <x v="1"/>
    <x v="1"/>
    <m/>
    <x v="5"/>
    <m/>
    <n v="0"/>
    <n v="0"/>
    <n v="0"/>
    <n v="0"/>
  </r>
  <r>
    <n v="482"/>
    <s v="Print Office Solution"/>
    <s v="SUNDRY DEBTORS BLUESTREAK - AJAYSIR"/>
    <x v="1"/>
    <x v="2"/>
    <m/>
    <x v="2"/>
    <m/>
    <n v="0"/>
    <n v="0"/>
    <n v="0"/>
    <n v="0"/>
  </r>
  <r>
    <n v="483"/>
    <s v="Printing &amp; Stationery (12%)"/>
    <s v="OFFICE EXPENSE"/>
    <x v="2"/>
    <x v="3"/>
    <s v="Printing &amp; Stationery"/>
    <x v="1"/>
    <m/>
    <n v="0"/>
    <n v="0"/>
    <n v="0"/>
    <n v="0"/>
  </r>
  <r>
    <n v="484"/>
    <s v="Printing &amp; Stationery (18%) (Export)"/>
    <s v="EXPORT (EXPENSE)"/>
    <x v="2"/>
    <x v="3"/>
    <s v="Printing &amp; Stationery"/>
    <x v="3"/>
    <m/>
    <n v="0"/>
    <n v="0"/>
    <n v="0"/>
    <n v="0"/>
  </r>
  <r>
    <n v="485"/>
    <s v="Printing &amp; Stationery (18%) (Office)"/>
    <s v="OFFICE EXPENSE"/>
    <x v="2"/>
    <x v="3"/>
    <s v="Printing &amp; Stationery"/>
    <x v="1"/>
    <m/>
    <n v="0"/>
    <n v="2410"/>
    <n v="0"/>
    <n v="2410"/>
  </r>
  <r>
    <n v="486"/>
    <s v="Pristine Care Products Pvt Ltd (Tambadmal)"/>
    <s v="Sundry Debtors"/>
    <x v="1"/>
    <x v="2"/>
    <m/>
    <x v="1"/>
    <m/>
    <n v="0"/>
    <n v="0"/>
    <n v="0"/>
    <n v="0"/>
  </r>
  <r>
    <n v="487"/>
    <s v="Pristine Care Products Pvt. Ltd. (H.O.)"/>
    <s v="Sundry Debtors"/>
    <x v="1"/>
    <x v="2"/>
    <m/>
    <x v="1"/>
    <m/>
    <n v="0"/>
    <n v="0"/>
    <n v="0"/>
    <n v="0"/>
  </r>
  <r>
    <n v="488"/>
    <s v="Priyal IT Solution"/>
    <s v="Rajasthan"/>
    <x v="1"/>
    <x v="2"/>
    <m/>
    <x v="2"/>
    <m/>
    <n v="0"/>
    <n v="0"/>
    <n v="0"/>
    <n v="0"/>
  </r>
  <r>
    <n v="489"/>
    <s v="Profession Tax - Employees  - Factory"/>
    <s v="Duties &amp; Taxes"/>
    <x v="0"/>
    <x v="0"/>
    <m/>
    <x v="0"/>
    <m/>
    <n v="-2500"/>
    <n v="1700"/>
    <n v="200"/>
    <n v="-1000"/>
  </r>
  <r>
    <n v="490"/>
    <s v="Profession Tax - Employees - Bluestreak"/>
    <s v="Duties &amp; Taxes"/>
    <x v="0"/>
    <x v="0"/>
    <m/>
    <x v="0"/>
    <m/>
    <n v="0"/>
    <n v="0"/>
    <n v="0"/>
    <n v="0"/>
  </r>
  <r>
    <n v="491"/>
    <s v="Profession Tax - Employees - Clarus"/>
    <s v="Duties &amp; Taxes"/>
    <x v="0"/>
    <x v="0"/>
    <m/>
    <x v="0"/>
    <m/>
    <n v="-800"/>
    <n v="800"/>
    <n v="0"/>
    <n v="0"/>
  </r>
  <r>
    <n v="492"/>
    <s v="Profession Tax - Employees - Office"/>
    <s v="Duties &amp; Taxes"/>
    <x v="0"/>
    <x v="0"/>
    <m/>
    <x v="0"/>
    <m/>
    <n v="-2400"/>
    <n v="4400"/>
    <n v="400"/>
    <n v="1600"/>
  </r>
  <r>
    <n v="493"/>
    <s v="Profession Tax Payable"/>
    <s v="Duties &amp; Taxes"/>
    <x v="0"/>
    <x v="0"/>
    <m/>
    <x v="0"/>
    <m/>
    <n v="1225"/>
    <n v="0"/>
    <n v="0"/>
    <n v="1225"/>
  </r>
  <r>
    <n v="494"/>
    <s v="Professional Charges (URD)"/>
    <s v="OFFICE EXPENSE"/>
    <x v="2"/>
    <x v="3"/>
    <s v="Professional charges"/>
    <x v="1"/>
    <m/>
    <n v="0"/>
    <n v="0"/>
    <n v="0"/>
    <n v="0"/>
  </r>
  <r>
    <n v="495"/>
    <s v="Professional Fees (18%)"/>
    <s v="COMMON EXPENSE"/>
    <x v="2"/>
    <x v="3"/>
    <s v="Professional charges"/>
    <x v="1"/>
    <m/>
    <n v="0"/>
    <n v="20000"/>
    <n v="0"/>
    <n v="20000"/>
  </r>
  <r>
    <n v="496"/>
    <s v="Profit &amp; Loss A/c"/>
    <s v="_x0004_ Primary"/>
    <x v="0"/>
    <x v="0"/>
    <m/>
    <x v="0"/>
    <m/>
    <n v="88047692.739999995"/>
    <n v="0"/>
    <n v="0"/>
    <n v="88047692.739999995"/>
  </r>
  <r>
    <n v="497"/>
    <s v="Profit on Sale of Investment"/>
    <s v="Indirect Incomes"/>
    <x v="2"/>
    <x v="5"/>
    <s v="Profit on sale of Investment "/>
    <x v="6"/>
    <m/>
    <n v="0"/>
    <n v="0"/>
    <n v="0"/>
    <n v="0"/>
  </r>
  <r>
    <n v="498"/>
    <s v="Provision For Audit Fees"/>
    <s v="Liabilities for Expenses"/>
    <x v="0"/>
    <x v="0"/>
    <m/>
    <x v="0"/>
    <m/>
    <n v="-54000"/>
    <n v="0"/>
    <n v="0"/>
    <n v="-54000"/>
  </r>
  <r>
    <n v="499"/>
    <s v="Provision for Income TAx (A.Y. 2010-11)"/>
    <s v="Provisions"/>
    <x v="0"/>
    <x v="0"/>
    <m/>
    <x v="0"/>
    <m/>
    <n v="-125000"/>
    <n v="0"/>
    <n v="0"/>
    <n v="-125000"/>
  </r>
  <r>
    <n v="500"/>
    <s v="Provision for Income Tax (A.Y. 2011-12)"/>
    <s v="Provisions"/>
    <x v="0"/>
    <x v="0"/>
    <m/>
    <x v="0"/>
    <m/>
    <n v="-450000"/>
    <n v="0"/>
    <n v="0"/>
    <n v="-450000"/>
  </r>
  <r>
    <n v="501"/>
    <s v="Provision for Income Tax (A.Y.2008-09)"/>
    <s v="Provisions"/>
    <x v="0"/>
    <x v="0"/>
    <m/>
    <x v="0"/>
    <m/>
    <n v="-200000"/>
    <n v="0"/>
    <n v="0"/>
    <n v="-200000"/>
  </r>
  <r>
    <n v="502"/>
    <s v="Purchase A/c (Blue Streak)"/>
    <s v="Purchase Accounts (Blue Streak)"/>
    <x v="2"/>
    <x v="7"/>
    <s v="Purchase"/>
    <x v="2"/>
    <m/>
    <n v="0"/>
    <n v="0"/>
    <n v="0"/>
    <n v="0"/>
  </r>
  <r>
    <n v="503"/>
    <s v="PURCHASE A/C (CLARUS)"/>
    <s v="PURCHASE A/C CLARUS"/>
    <x v="2"/>
    <x v="7"/>
    <s v="Purchase"/>
    <x v="5"/>
    <m/>
    <n v="0"/>
    <n v="28434.720000000001"/>
    <n v="0"/>
    <n v="28434.720000000001"/>
  </r>
  <r>
    <n v="504"/>
    <s v="Purchase A/c (EXPORT)"/>
    <s v="Purchase A/c (EXPORT)"/>
    <x v="2"/>
    <x v="7"/>
    <s v="Purchase"/>
    <x v="3"/>
    <m/>
    <n v="0"/>
    <n v="0"/>
    <n v="0"/>
    <n v="0"/>
  </r>
  <r>
    <n v="505"/>
    <s v="Purchase A/c (Factory)"/>
    <s v="Purchase Accounts"/>
    <x v="2"/>
    <x v="7"/>
    <s v="Purchase"/>
    <x v="1"/>
    <m/>
    <n v="0"/>
    <n v="0"/>
    <n v="0"/>
    <n v="0"/>
  </r>
  <r>
    <n v="506"/>
    <s v="Purchase A/c (IT)"/>
    <s v="Purchase A/c (IT)"/>
    <x v="2"/>
    <x v="7"/>
    <s v="Purchase"/>
    <x v="3"/>
    <m/>
    <n v="0"/>
    <n v="0"/>
    <n v="0"/>
    <n v="0"/>
  </r>
  <r>
    <n v="507"/>
    <s v="Purchase A/c (Office)"/>
    <s v="Purchase Accounts"/>
    <x v="2"/>
    <x v="7"/>
    <s v="Purchase"/>
    <x v="1"/>
    <m/>
    <n v="0"/>
    <n v="16540"/>
    <n v="0"/>
    <n v="16540"/>
  </r>
  <r>
    <n v="508"/>
    <s v="Purchase A/c (Spice)"/>
    <s v="Purchase Accounts (Spice)"/>
    <x v="2"/>
    <x v="7"/>
    <s v="Purchase"/>
    <x v="4"/>
    <m/>
    <n v="0"/>
    <n v="48357904.5"/>
    <n v="161460"/>
    <n v="48196444.5"/>
  </r>
  <r>
    <n v="509"/>
    <s v="Quantumi Link Communication Pvt. Ltd."/>
    <s v="Sundry Creditors for (Expenses)"/>
    <x v="1"/>
    <x v="1"/>
    <m/>
    <x v="1"/>
    <m/>
    <n v="0"/>
    <n v="0"/>
    <n v="0"/>
    <n v="0"/>
  </r>
  <r>
    <n v="510"/>
    <s v="QUICK SALES"/>
    <s v="Sundry Creditors for (Expenses)"/>
    <x v="1"/>
    <x v="1"/>
    <m/>
    <x v="1"/>
    <m/>
    <n v="0"/>
    <n v="0"/>
    <n v="0"/>
    <n v="0"/>
  </r>
  <r>
    <n v="511"/>
    <s v="Qutbi Hardware Mart"/>
    <s v="Sundry Creditors for (Expenses)"/>
    <x v="1"/>
    <x v="1"/>
    <m/>
    <x v="1"/>
    <m/>
    <n v="0"/>
    <n v="0"/>
    <n v="0"/>
    <n v="0"/>
  </r>
  <r>
    <n v="512"/>
    <s v="R P Trading Corporation"/>
    <s v="Sundry Debtor Clarus"/>
    <x v="1"/>
    <x v="2"/>
    <m/>
    <x v="5"/>
    <m/>
    <n v="0"/>
    <n v="0"/>
    <n v="0"/>
    <n v="0"/>
  </r>
  <r>
    <n v="513"/>
    <s v="RAAG CONSULTANTS"/>
    <s v="Sundry Creditors for (OFFICE)"/>
    <x v="1"/>
    <x v="1"/>
    <m/>
    <x v="1"/>
    <m/>
    <n v="0"/>
    <n v="0"/>
    <n v="0"/>
    <n v="0"/>
  </r>
  <r>
    <n v="514"/>
    <s v="Rahul"/>
    <s v="SUNDRY DEBTORS (BLUE STREAK)"/>
    <x v="1"/>
    <x v="2"/>
    <m/>
    <x v="2"/>
    <m/>
    <n v="0"/>
    <n v="0"/>
    <n v="0"/>
    <n v="0"/>
  </r>
  <r>
    <n v="515"/>
    <s v="RAHUL GROVER"/>
    <s v="Sundry Creditors for (OFFICE)"/>
    <x v="1"/>
    <x v="1"/>
    <m/>
    <x v="1"/>
    <m/>
    <n v="0"/>
    <n v="0"/>
    <n v="0"/>
    <n v="0"/>
  </r>
  <r>
    <n v="516"/>
    <s v="Rakesh Singh - Loan A/c"/>
    <s v="STAFF LOAN - FACTORY"/>
    <x v="0"/>
    <x v="0"/>
    <m/>
    <x v="0"/>
    <m/>
    <n v="66000"/>
    <n v="0"/>
    <n v="0"/>
    <n v="66000"/>
  </r>
  <r>
    <n v="517"/>
    <s v="Rams Computech"/>
    <s v="Tamil Nadu"/>
    <x v="1"/>
    <x v="2"/>
    <m/>
    <x v="2"/>
    <m/>
    <n v="0"/>
    <n v="0"/>
    <n v="0"/>
    <n v="0"/>
  </r>
  <r>
    <n v="518"/>
    <s v="Ranjan Marketing"/>
    <s v="Chhattishgarh"/>
    <x v="1"/>
    <x v="2"/>
    <m/>
    <x v="2"/>
    <m/>
    <n v="0"/>
    <n v="0"/>
    <n v="0"/>
    <n v="0"/>
  </r>
  <r>
    <n v="519"/>
    <s v="RAPID DIGITAL"/>
    <s v="Sundry Creditors for (Expenses)"/>
    <x v="1"/>
    <x v="1"/>
    <m/>
    <x v="1"/>
    <m/>
    <n v="-43120"/>
    <n v="43120"/>
    <n v="0"/>
    <n v="0"/>
  </r>
  <r>
    <n v="520"/>
    <s v="RBL Bank 5243 7319 3359 9421"/>
    <s v="Sundry Creditors for (Expenses)"/>
    <x v="1"/>
    <x v="1"/>
    <m/>
    <x v="1"/>
    <m/>
    <n v="0"/>
    <n v="0"/>
    <n v="0"/>
    <n v="0"/>
  </r>
  <r>
    <n v="521"/>
    <s v="Seal Charges - Spice"/>
    <s v="SPICE EXPENSE"/>
    <x v="2"/>
    <x v="4"/>
    <s v="Freight &amp; Shipping charges"/>
    <x v="4"/>
    <m/>
    <n v="0"/>
    <n v="7873.08"/>
    <n v="0"/>
    <n v="7873.08"/>
  </r>
  <r>
    <n v="521"/>
    <s v="Realm Marketing"/>
    <s v="Sundry Creditors for (Expenses)"/>
    <x v="1"/>
    <x v="1"/>
    <m/>
    <x v="1"/>
    <m/>
    <n v="0"/>
    <n v="115000"/>
    <n v="129999"/>
    <n v="-14999"/>
  </r>
  <r>
    <n v="522"/>
    <s v="Rediff.Com India Limited"/>
    <s v="Sundry Creditors for (Expenses)"/>
    <x v="1"/>
    <x v="1"/>
    <m/>
    <x v="1"/>
    <m/>
    <n v="0"/>
    <n v="0"/>
    <n v="0"/>
    <n v="0"/>
  </r>
  <r>
    <n v="523"/>
    <s v="Reliance Jio Digital Life ( Mobile Serv )"/>
    <s v="Sundry Creditors for (Expenses)"/>
    <x v="1"/>
    <x v="1"/>
    <m/>
    <x v="1"/>
    <m/>
    <n v="293.82"/>
    <n v="1491.94"/>
    <n v="1491.94"/>
    <n v="293.82"/>
  </r>
  <r>
    <n v="524"/>
    <s v="Reliance Jio Fiber (A to Z)"/>
    <s v="Sundry Creditors for (Expenses)"/>
    <x v="1"/>
    <x v="1"/>
    <m/>
    <x v="1"/>
    <m/>
    <n v="0"/>
    <n v="942.82"/>
    <n v="942.82"/>
    <n v="0"/>
  </r>
  <r>
    <n v="525"/>
    <s v="Reliance Jio Infocomm Limited"/>
    <s v="Sundry Creditors for (Expenses)"/>
    <x v="1"/>
    <x v="1"/>
    <m/>
    <x v="1"/>
    <m/>
    <n v="0"/>
    <n v="0"/>
    <n v="0"/>
    <n v="0"/>
  </r>
  <r>
    <n v="526"/>
    <s v="RENEWAL &amp; SUBSCRIPTION FEE (BLUESTREAK)"/>
    <s v="BLUESTREAK (EXPENSES)"/>
    <x v="2"/>
    <x v="3"/>
    <s v="Subscription fees"/>
    <x v="2"/>
    <m/>
    <n v="0"/>
    <n v="0"/>
    <n v="0"/>
    <n v="0"/>
  </r>
  <r>
    <n v="527"/>
    <s v="RENEWAL &amp; SUBSCRIPTION FEE (CLARUS)"/>
    <s v="CLARUS (EXPENSE)"/>
    <x v="2"/>
    <x v="3"/>
    <s v="Subscription fees"/>
    <x v="5"/>
    <m/>
    <n v="0"/>
    <n v="0"/>
    <n v="0"/>
    <n v="0"/>
  </r>
  <r>
    <n v="528"/>
    <s v="RENEWAL &amp; SUBSCRIPTION FEE (OFFICE)"/>
    <s v="OFFICE EXPENSE"/>
    <x v="2"/>
    <x v="3"/>
    <s v="Subscription fees"/>
    <x v="1"/>
    <m/>
    <n v="0"/>
    <n v="0"/>
    <n v="0"/>
    <n v="0"/>
  </r>
  <r>
    <n v="529"/>
    <s v="Rent, Rates &amp; Taxes (Fountainhead Exports)"/>
    <s v="OFFICE EXPENSE"/>
    <x v="2"/>
    <x v="3"/>
    <s v="Rent expenses"/>
    <x v="1"/>
    <m/>
    <n v="0"/>
    <n v="179550"/>
    <n v="0"/>
    <n v="179550"/>
  </r>
  <r>
    <n v="530"/>
    <s v="Rent, Rates &amp; Taxes (URD)(TAMBADMAL)"/>
    <s v="BLUESTREAK (EXPENSES)"/>
    <x v="2"/>
    <x v="3"/>
    <s v="Rent expenses"/>
    <x v="2"/>
    <m/>
    <n v="0"/>
    <n v="0"/>
    <n v="0"/>
    <n v="0"/>
  </r>
  <r>
    <n v="531"/>
    <s v="Reserve &amp; Surplus"/>
    <s v="Current Liablities"/>
    <x v="0"/>
    <x v="0"/>
    <m/>
    <x v="0"/>
    <m/>
    <n v="0"/>
    <n v="0"/>
    <n v="0"/>
    <n v="0"/>
  </r>
  <r>
    <n v="532"/>
    <s v="Retailez Private Limited"/>
    <s v="Sundry Creditors for (Expenses)"/>
    <x v="1"/>
    <x v="1"/>
    <m/>
    <x v="1"/>
    <m/>
    <n v="0"/>
    <n v="0"/>
    <n v="0"/>
    <n v="0"/>
  </r>
  <r>
    <n v="533"/>
    <s v="Roopang Infocare"/>
    <s v="Statewise"/>
    <x v="1"/>
    <x v="2"/>
    <m/>
    <x v="2"/>
    <m/>
    <n v="0"/>
    <n v="0"/>
    <n v="0"/>
    <n v="0"/>
  </r>
  <r>
    <n v="534"/>
    <s v="Rounding Off"/>
    <s v="COMMON EXPENSE"/>
    <x v="2"/>
    <x v="3"/>
    <s v="Misc Expenses"/>
    <x v="1"/>
    <m/>
    <n v="0"/>
    <n v="12.4"/>
    <n v="23.85"/>
    <n v="-11.45"/>
  </r>
  <r>
    <n v="535"/>
    <s v="Royal Computer"/>
    <s v="Chhattishgarh"/>
    <x v="1"/>
    <x v="2"/>
    <m/>
    <x v="2"/>
    <m/>
    <n v="51094"/>
    <n v="0"/>
    <n v="0"/>
    <n v="51094"/>
  </r>
  <r>
    <n v="536"/>
    <s v="Ruchi Plast"/>
    <s v="Sundry Creditors ( Blue Streak )"/>
    <x v="1"/>
    <x v="1"/>
    <m/>
    <x v="2"/>
    <m/>
    <n v="0"/>
    <n v="0"/>
    <n v="0"/>
    <n v="0"/>
  </r>
  <r>
    <n v="537"/>
    <s v="S R Computers"/>
    <s v="Telangana"/>
    <x v="1"/>
    <x v="2"/>
    <m/>
    <x v="2"/>
    <m/>
    <n v="-1180"/>
    <n v="0"/>
    <n v="0"/>
    <n v="-1180"/>
  </r>
  <r>
    <n v="538"/>
    <s v="S. A. Tax (FBT) A.Y. 09-10"/>
    <s v="Tax Advances"/>
    <x v="0"/>
    <x v="0"/>
    <m/>
    <x v="0"/>
    <m/>
    <n v="1870"/>
    <n v="0"/>
    <n v="0"/>
    <n v="1870"/>
  </r>
  <r>
    <n v="539"/>
    <s v="S. S. Tank"/>
    <s v="Plant &amp; Machinery"/>
    <x v="0"/>
    <x v="0"/>
    <m/>
    <x v="0"/>
    <m/>
    <n v="8490.99"/>
    <n v="0"/>
    <n v="0"/>
    <n v="8490.99"/>
  </r>
  <r>
    <n v="540"/>
    <s v="S.A. Tax (I.T.) A.Y. 200-10"/>
    <s v="Tax Advances"/>
    <x v="0"/>
    <x v="0"/>
    <m/>
    <x v="0"/>
    <m/>
    <n v="6580"/>
    <n v="0"/>
    <n v="0"/>
    <n v="6580"/>
  </r>
  <r>
    <n v="541"/>
    <s v="S.B.AGENCIES"/>
    <s v="Rajasthan"/>
    <x v="1"/>
    <x v="2"/>
    <m/>
    <x v="2"/>
    <m/>
    <n v="0"/>
    <n v="0"/>
    <n v="0"/>
    <n v="0"/>
  </r>
  <r>
    <n v="542"/>
    <s v="S.K Enterprises ( U.P )"/>
    <s v="Uttar Pradesh"/>
    <x v="1"/>
    <x v="2"/>
    <m/>
    <x v="2"/>
    <m/>
    <n v="0"/>
    <n v="0"/>
    <n v="0"/>
    <n v="0"/>
  </r>
  <r>
    <n v="543"/>
    <s v="Sadguru Water Supplier"/>
    <s v="Sundry Creditors for (Expenses)"/>
    <x v="1"/>
    <x v="1"/>
    <m/>
    <x v="1"/>
    <m/>
    <n v="0"/>
    <n v="0"/>
    <n v="0"/>
    <n v="0"/>
  </r>
  <r>
    <n v="544"/>
    <s v="Sai Communication"/>
    <s v="SUNDRY CREDITORS (EXPORT)"/>
    <x v="1"/>
    <x v="1"/>
    <m/>
    <x v="3"/>
    <m/>
    <n v="279"/>
    <n v="0"/>
    <n v="304"/>
    <n v="-25"/>
  </r>
  <r>
    <n v="545"/>
    <s v="Sai Siddhi Consultancy"/>
    <s v="Sundry Creditors for (Expenses)"/>
    <x v="1"/>
    <x v="1"/>
    <m/>
    <x v="1"/>
    <m/>
    <n v="-1000"/>
    <n v="2000"/>
    <n v="2000"/>
    <n v="-1000"/>
  </r>
  <r>
    <n v="546"/>
    <s v="Sai Systems &amp; Communications"/>
    <s v="Andhra Pradesh"/>
    <x v="1"/>
    <x v="2"/>
    <m/>
    <x v="2"/>
    <m/>
    <n v="0"/>
    <n v="0"/>
    <n v="0"/>
    <n v="0"/>
  </r>
  <r>
    <n v="547"/>
    <s v="Salary Payable"/>
    <s v="Current Liablities"/>
    <x v="0"/>
    <x v="0"/>
    <m/>
    <x v="0"/>
    <m/>
    <n v="-606233"/>
    <n v="610835"/>
    <n v="584007"/>
    <n v="-579405"/>
  </r>
  <r>
    <n v="548"/>
    <s v="SALES"/>
    <s v="SALES CLARUS"/>
    <x v="2"/>
    <x v="6"/>
    <s v="Sales"/>
    <x v="5"/>
    <m/>
    <n v="0"/>
    <n v="0"/>
    <n v="28434.720000000001"/>
    <n v="-28434.720000000001"/>
  </r>
  <r>
    <n v="549"/>
    <s v="Sales - Zero Rated"/>
    <s v="Sales Accounts"/>
    <x v="2"/>
    <x v="6"/>
    <s v="Sales"/>
    <x v="1"/>
    <m/>
    <n v="0"/>
    <n v="0"/>
    <n v="0"/>
    <n v="0"/>
  </r>
  <r>
    <n v="550"/>
    <s v="SALES BLUE STREAK"/>
    <s v="SALES BLUESTREAK"/>
    <x v="2"/>
    <x v="6"/>
    <s v="Sales"/>
    <x v="2"/>
    <m/>
    <n v="0"/>
    <n v="0"/>
    <n v="0"/>
    <n v="0"/>
  </r>
  <r>
    <n v="551"/>
    <s v="SALES EXPORT"/>
    <s v="SALES EXPORT"/>
    <x v="2"/>
    <x v="6"/>
    <s v="Sales"/>
    <x v="3"/>
    <m/>
    <n v="0"/>
    <n v="0"/>
    <n v="0"/>
    <n v="0"/>
  </r>
  <r>
    <n v="552"/>
    <s v="SALES FREIGHT CHG - BLUE STREAK"/>
    <s v="SALES BLUESTREAK"/>
    <x v="2"/>
    <x v="6"/>
    <s v="Sales"/>
    <x v="2"/>
    <m/>
    <n v="0"/>
    <n v="0"/>
    <n v="0"/>
    <n v="0"/>
  </r>
  <r>
    <n v="553"/>
    <s v="SALES FREIGHT CHG - BLUE STREAK 12%"/>
    <s v="SALES BLUESTREAK"/>
    <x v="2"/>
    <x v="6"/>
    <s v="Sales"/>
    <x v="2"/>
    <m/>
    <n v="0"/>
    <n v="0"/>
    <n v="0"/>
    <n v="0"/>
  </r>
  <r>
    <n v="554"/>
    <s v="SALES IT"/>
    <s v="SALES IT"/>
    <x v="2"/>
    <x v="6"/>
    <s v="Sales"/>
    <x v="3"/>
    <m/>
    <n v="0"/>
    <n v="0"/>
    <n v="0"/>
    <n v="0"/>
  </r>
  <r>
    <n v="555"/>
    <s v="SALES SPICE"/>
    <s v="Sales Spice"/>
    <x v="2"/>
    <x v="6"/>
    <s v="Sales"/>
    <x v="4"/>
    <m/>
    <n v="0"/>
    <n v="6827434.4000000004"/>
    <n v="81857931.269999996"/>
    <n v="-75030496.870000005"/>
  </r>
  <r>
    <n v="556"/>
    <s v="Sandeep Enterprises"/>
    <s v="Sundry Debtor Clarus (Current)"/>
    <x v="1"/>
    <x v="2"/>
    <m/>
    <x v="5"/>
    <m/>
    <n v="0"/>
    <n v="0"/>
    <n v="0"/>
    <n v="0"/>
  </r>
  <r>
    <n v="557"/>
    <s v="Sandeep Forms Centre"/>
    <s v="West Bengal"/>
    <x v="1"/>
    <x v="0"/>
    <m/>
    <x v="2"/>
    <m/>
    <n v="0"/>
    <n v="0"/>
    <n v="0"/>
    <n v="0"/>
  </r>
  <r>
    <n v="558"/>
    <s v="Sanjay S. Mehta"/>
    <s v="Sundry Debtor Clarus (Current)"/>
    <x v="1"/>
    <x v="2"/>
    <m/>
    <x v="5"/>
    <m/>
    <n v="-2360"/>
    <n v="0"/>
    <n v="0"/>
    <n v="-2360"/>
  </r>
  <r>
    <n v="559"/>
    <s v="Saravana Systems"/>
    <s v="Tamil Nadu"/>
    <x v="1"/>
    <x v="2"/>
    <m/>
    <x v="2"/>
    <m/>
    <n v="31996"/>
    <n v="0"/>
    <n v="0"/>
    <n v="31996"/>
  </r>
  <r>
    <n v="560"/>
    <s v="SAUDI ARABIAN AIRLINES"/>
    <s v="SUNDRY CREDITORS (EXPORT)"/>
    <x v="1"/>
    <x v="1"/>
    <m/>
    <x v="3"/>
    <m/>
    <n v="0"/>
    <n v="0"/>
    <n v="0"/>
    <n v="0"/>
  </r>
  <r>
    <n v="561"/>
    <s v="Scan Barcode Solutions"/>
    <s v="Sundry Creditors ( Blue Streak )"/>
    <x v="1"/>
    <x v="1"/>
    <m/>
    <x v="2"/>
    <m/>
    <n v="0"/>
    <n v="0"/>
    <n v="0"/>
    <n v="0"/>
  </r>
  <r>
    <n v="562"/>
    <s v="SEA CHARGES"/>
    <s v="EXPORT (EXPENSE)"/>
    <x v="2"/>
    <x v="4"/>
    <s v="Freight &amp; Shipping charges"/>
    <x v="3"/>
    <m/>
    <n v="0"/>
    <n v="47503.63"/>
    <n v="0"/>
    <n v="47503.63"/>
  </r>
  <r>
    <n v="563"/>
    <s v="SEA FREIGHT CHARGES-FRT"/>
    <s v="EXPORT (EXPENSE)"/>
    <x v="2"/>
    <x v="4"/>
    <s v="Freight &amp; Shipping charges"/>
    <x v="3"/>
    <m/>
    <n v="0"/>
    <n v="0"/>
    <n v="0"/>
    <n v="0"/>
  </r>
  <r>
    <n v="564"/>
    <s v="SEAL CHARGES"/>
    <s v="Direct Expense"/>
    <x v="2"/>
    <x v="4"/>
    <s v="Port Expenses"/>
    <x v="3"/>
    <m/>
    <n v="0"/>
    <n v="0"/>
    <n v="0"/>
    <n v="0"/>
  </r>
  <r>
    <n v="565"/>
    <s v="Security Deposit (Jio Mobile Service)"/>
    <s v="Security Deposit (Jio Mobile Service)"/>
    <x v="1"/>
    <x v="0"/>
    <m/>
    <x v="0"/>
    <m/>
    <n v="4000"/>
    <n v="0"/>
    <n v="0"/>
    <n v="4000"/>
  </r>
  <r>
    <n v="566"/>
    <s v="Seema Agencies"/>
    <s v="Sundry Debtor Clarus"/>
    <x v="1"/>
    <x v="2"/>
    <m/>
    <x v="5"/>
    <m/>
    <n v="0"/>
    <n v="0"/>
    <n v="0"/>
    <n v="0"/>
  </r>
  <r>
    <n v="567"/>
    <s v="Seema Enterprises"/>
    <s v="Sundry Debtor Clarus"/>
    <x v="1"/>
    <x v="2"/>
    <m/>
    <x v="5"/>
    <m/>
    <n v="0"/>
    <n v="0"/>
    <n v="0"/>
    <n v="0"/>
  </r>
  <r>
    <n v="568"/>
    <s v="Self Assessment Tax (A.Y. 2010-11)"/>
    <s v="Tax Advances"/>
    <x v="0"/>
    <x v="0"/>
    <m/>
    <x v="0"/>
    <m/>
    <n v="1530"/>
    <n v="0"/>
    <n v="0"/>
    <n v="1530"/>
  </r>
  <r>
    <n v="569"/>
    <s v="Self Assessment Tax (A.Y. 2011-12)"/>
    <s v="Tax Advances"/>
    <x v="0"/>
    <x v="0"/>
    <m/>
    <x v="0"/>
    <m/>
    <n v="433850"/>
    <n v="0"/>
    <n v="0"/>
    <n v="433850"/>
  </r>
  <r>
    <n v="570"/>
    <s v="Self Assessment Tax (A.Y. 2021-22)"/>
    <s v="Tax Advances"/>
    <x v="0"/>
    <x v="0"/>
    <m/>
    <x v="0"/>
    <m/>
    <n v="653050"/>
    <n v="0"/>
    <n v="0"/>
    <n v="653050"/>
  </r>
  <r>
    <n v="571"/>
    <s v="Seraphic Products"/>
    <s v="Sundry Creditors ( Clarus )"/>
    <x v="1"/>
    <x v="1"/>
    <m/>
    <x v="5"/>
    <m/>
    <n v="0"/>
    <n v="0"/>
    <n v="0"/>
    <n v="0"/>
  </r>
  <r>
    <n v="572"/>
    <s v="Service Charges (Export)"/>
    <s v="EXPORT (EXPENSE)"/>
    <x v="2"/>
    <x v="4"/>
    <s v="Freight &amp; Shipping charges"/>
    <x v="3"/>
    <m/>
    <n v="0"/>
    <n v="0"/>
    <n v="0"/>
    <n v="0"/>
  </r>
  <r>
    <n v="573"/>
    <s v="SGST 14%"/>
    <s v="GST Payable"/>
    <x v="0"/>
    <x v="0"/>
    <m/>
    <x v="0"/>
    <m/>
    <n v="0"/>
    <n v="0"/>
    <n v="0"/>
    <n v="0"/>
  </r>
  <r>
    <n v="574"/>
    <s v="SGST 2.5%"/>
    <s v="GST Payable"/>
    <x v="0"/>
    <x v="0"/>
    <m/>
    <x v="0"/>
    <m/>
    <n v="348252.15999999997"/>
    <n v="324787.86"/>
    <n v="0"/>
    <n v="673040.02"/>
  </r>
  <r>
    <n v="575"/>
    <s v="SGST 6%"/>
    <s v="GST Payable"/>
    <x v="0"/>
    <x v="0"/>
    <m/>
    <x v="0"/>
    <m/>
    <n v="-1329.9"/>
    <n v="0"/>
    <n v="0"/>
    <n v="-1329.9"/>
  </r>
  <r>
    <n v="576"/>
    <s v="SGST 9%"/>
    <s v="GST Payable"/>
    <x v="0"/>
    <x v="0"/>
    <m/>
    <x v="0"/>
    <m/>
    <n v="367217.96"/>
    <n v="400078"/>
    <n v="1847559.12"/>
    <n v="-1080263.1599999999"/>
  </r>
  <r>
    <n v="577"/>
    <s v="SGST PAYABLE UNDER RCM"/>
    <s v="Reverse Charges Mechanisam"/>
    <x v="0"/>
    <x v="0"/>
    <m/>
    <x v="0"/>
    <m/>
    <n v="0"/>
    <n v="1500"/>
    <n v="0"/>
    <n v="1500"/>
  </r>
  <r>
    <n v="578"/>
    <s v="Sharad Suresh Bhavake - Loan A/c"/>
    <s v="STAFF LOAN - FACTORY"/>
    <x v="0"/>
    <x v="0"/>
    <m/>
    <x v="0"/>
    <m/>
    <n v="0"/>
    <n v="0"/>
    <n v="0"/>
    <n v="0"/>
  </r>
  <r>
    <n v="579"/>
    <s v="Share - Adani Wilmar Limited"/>
    <s v="Share Investment Anand Rathi"/>
    <x v="1"/>
    <x v="0"/>
    <m/>
    <x v="6"/>
    <m/>
    <n v="0"/>
    <n v="0"/>
    <n v="0"/>
    <n v="0"/>
  </r>
  <r>
    <n v="580"/>
    <s v="Share - Aditya Birla Fashion"/>
    <s v="Share Investment Anand Rathi"/>
    <x v="0"/>
    <x v="0"/>
    <m/>
    <x v="0"/>
    <m/>
    <n v="0"/>
    <n v="0"/>
    <n v="0"/>
    <n v="0"/>
  </r>
  <r>
    <n v="581"/>
    <s v="Share - Aditya Birla Lifestyle Brands"/>
    <s v="Share Investment Anand Rathi"/>
    <x v="0"/>
    <x v="0"/>
    <m/>
    <x v="0"/>
    <m/>
    <n v="0"/>
    <n v="0"/>
    <n v="0"/>
    <n v="0"/>
  </r>
  <r>
    <n v="582"/>
    <s v="Share - Bandhan Bank Limited"/>
    <s v="Share Investment Anand Rathi"/>
    <x v="0"/>
    <x v="0"/>
    <m/>
    <x v="0"/>
    <m/>
    <n v="0"/>
    <n v="0"/>
    <n v="0"/>
    <n v="0"/>
  </r>
  <r>
    <n v="583"/>
    <s v="Share - Bank of Maharastra"/>
    <s v="Share Investment Anand Rathi"/>
    <x v="0"/>
    <x v="0"/>
    <m/>
    <x v="0"/>
    <m/>
    <n v="0"/>
    <n v="0"/>
    <n v="0"/>
    <n v="0"/>
  </r>
  <r>
    <n v="584"/>
    <s v="Share - BHARAT ELECTRONICS LTD"/>
    <s v="Share Investment Anand Rathi"/>
    <x v="0"/>
    <x v="0"/>
    <m/>
    <x v="0"/>
    <m/>
    <n v="0"/>
    <n v="0"/>
    <n v="0"/>
    <n v="0"/>
  </r>
  <r>
    <n v="585"/>
    <s v="Share - Bhel"/>
    <s v="Share Investment Anand Rathi"/>
    <x v="0"/>
    <x v="0"/>
    <m/>
    <x v="0"/>
    <m/>
    <n v="0"/>
    <n v="0"/>
    <n v="0"/>
    <n v="0"/>
  </r>
  <r>
    <n v="586"/>
    <s v="Share - Dalmia Bharat Sug In"/>
    <s v="Share Investment Anand Rathi"/>
    <x v="0"/>
    <x v="0"/>
    <m/>
    <x v="0"/>
    <m/>
    <n v="0"/>
    <n v="0"/>
    <n v="0"/>
    <n v="0"/>
  </r>
  <r>
    <n v="587"/>
    <s v="Share - Engineers India Ltd"/>
    <s v="Share Investment Anand Rathi"/>
    <x v="0"/>
    <x v="0"/>
    <m/>
    <x v="0"/>
    <m/>
    <n v="0"/>
    <n v="0"/>
    <n v="0"/>
    <n v="0"/>
  </r>
  <r>
    <n v="588"/>
    <s v="Share - HDFC Life Ins.Co Ltd"/>
    <s v="Share Investment Anand Rathi"/>
    <x v="0"/>
    <x v="0"/>
    <m/>
    <x v="0"/>
    <m/>
    <n v="0"/>
    <n v="0"/>
    <n v="0"/>
    <n v="0"/>
  </r>
  <r>
    <n v="589"/>
    <s v="Share - Hero Motocorp Limited"/>
    <s v="Share Investment Anand Rathi"/>
    <x v="0"/>
    <x v="0"/>
    <m/>
    <x v="0"/>
    <m/>
    <n v="0"/>
    <n v="0"/>
    <n v="0"/>
    <n v="0"/>
  </r>
  <r>
    <n v="590"/>
    <s v="Share - Hindustan Copper Ltd"/>
    <s v="Share Investment Anand Rathi"/>
    <x v="0"/>
    <x v="0"/>
    <m/>
    <x v="0"/>
    <m/>
    <n v="0"/>
    <n v="0"/>
    <n v="0"/>
    <n v="0"/>
  </r>
  <r>
    <n v="591"/>
    <s v="Share - Indiabulls HSG Finance Ltd"/>
    <s v="Share Investment Anand Rathi"/>
    <x v="0"/>
    <x v="0"/>
    <m/>
    <x v="0"/>
    <m/>
    <n v="0"/>
    <n v="0"/>
    <n v="0"/>
    <n v="0"/>
  </r>
  <r>
    <n v="592"/>
    <s v="Share - ITD Cementation India Ltd"/>
    <s v="Share Investment Anand Rathi"/>
    <x v="0"/>
    <x v="0"/>
    <m/>
    <x v="0"/>
    <m/>
    <n v="0"/>
    <n v="0"/>
    <n v="0"/>
    <n v="0"/>
  </r>
  <r>
    <n v="593"/>
    <s v="Share - Jaiprakash Power Venture"/>
    <s v="Share Investment Anand Rathi"/>
    <x v="0"/>
    <x v="0"/>
    <m/>
    <x v="0"/>
    <m/>
    <n v="0"/>
    <n v="0"/>
    <n v="0"/>
    <n v="0"/>
  </r>
  <r>
    <n v="594"/>
    <s v="Share - Jindal Drilling Ind."/>
    <s v="Share Investment Anand Rathi"/>
    <x v="0"/>
    <x v="0"/>
    <m/>
    <x v="0"/>
    <m/>
    <n v="0"/>
    <n v="0"/>
    <n v="0"/>
    <n v="0"/>
  </r>
  <r>
    <n v="595"/>
    <s v="Share - JSW Infra"/>
    <s v="Share Investment Anand Rathi"/>
    <x v="0"/>
    <x v="0"/>
    <m/>
    <x v="0"/>
    <m/>
    <n v="0"/>
    <n v="0"/>
    <n v="0"/>
    <n v="0"/>
  </r>
  <r>
    <n v="596"/>
    <s v="Share - Kajaria Ceramics Ltd"/>
    <s v="Share Investment Anand Rathi"/>
    <x v="0"/>
    <x v="0"/>
    <m/>
    <x v="0"/>
    <m/>
    <n v="0"/>
    <n v="0"/>
    <n v="0"/>
    <n v="0"/>
  </r>
  <r>
    <n v="597"/>
    <s v="Share - Kotak Mahindra Bank"/>
    <s v="Share Investment Anand Rathi"/>
    <x v="0"/>
    <x v="0"/>
    <m/>
    <x v="0"/>
    <m/>
    <n v="0"/>
    <n v="0"/>
    <n v="0"/>
    <n v="0"/>
  </r>
  <r>
    <n v="598"/>
    <s v="share - L&amp;T Finance Ltd_x000d__x000a_"/>
    <s v="Share Investment Anand Rathi"/>
    <x v="0"/>
    <x v="0"/>
    <m/>
    <x v="0"/>
    <m/>
    <n v="0"/>
    <n v="0"/>
    <n v="0"/>
    <n v="0"/>
  </r>
  <r>
    <n v="599"/>
    <s v="Share - NHPC Ltd"/>
    <s v="Share Investment Anand Rathi"/>
    <x v="0"/>
    <x v="0"/>
    <m/>
    <x v="0"/>
    <m/>
    <n v="0"/>
    <n v="0"/>
    <n v="0"/>
    <n v="0"/>
  </r>
  <r>
    <n v="600"/>
    <s v="Share - Nippon Amc"/>
    <s v="Share Investment Anand Rathi"/>
    <x v="0"/>
    <x v="0"/>
    <m/>
    <x v="0"/>
    <m/>
    <n v="0"/>
    <n v="0"/>
    <n v="0"/>
    <n v="0"/>
  </r>
  <r>
    <n v="601"/>
    <s v="Share - NTPC Ltd"/>
    <s v="Share Investment Anand Rathi"/>
    <x v="0"/>
    <x v="0"/>
    <m/>
    <x v="0"/>
    <m/>
    <n v="0"/>
    <n v="0"/>
    <n v="0"/>
    <n v="0"/>
  </r>
  <r>
    <n v="602"/>
    <s v="Share - PVRINOX"/>
    <s v="Share Investment Anand Rathi"/>
    <x v="0"/>
    <x v="0"/>
    <m/>
    <x v="0"/>
    <m/>
    <n v="0"/>
    <n v="0"/>
    <n v="0"/>
    <n v="0"/>
  </r>
  <r>
    <n v="603"/>
    <s v="Share - Sammaan Capital Limited"/>
    <s v="Share Investment Anand Rathi"/>
    <x v="0"/>
    <x v="0"/>
    <m/>
    <x v="0"/>
    <m/>
    <n v="0"/>
    <n v="0"/>
    <n v="0"/>
    <n v="0"/>
  </r>
  <r>
    <n v="604"/>
    <s v="Share - Spicejet Ltd"/>
    <s v="Share Investment Anand Rathi"/>
    <x v="0"/>
    <x v="0"/>
    <m/>
    <x v="0"/>
    <m/>
    <n v="0"/>
    <n v="0"/>
    <n v="0"/>
    <n v="0"/>
  </r>
  <r>
    <n v="605"/>
    <s v="Share - Steel Authority of India"/>
    <s v="Share Investment Anand Rathi"/>
    <x v="0"/>
    <x v="0"/>
    <m/>
    <x v="0"/>
    <m/>
    <n v="0"/>
    <n v="0"/>
    <n v="0"/>
    <n v="0"/>
  </r>
  <r>
    <n v="606"/>
    <s v="Share - Subex Ltd"/>
    <s v="Share Investment Anand Rathi"/>
    <x v="0"/>
    <x v="0"/>
    <m/>
    <x v="0"/>
    <m/>
    <n v="0"/>
    <n v="0"/>
    <n v="0"/>
    <n v="0"/>
  </r>
  <r>
    <n v="607"/>
    <s v="Share - Suraj Estate Develop"/>
    <s v="Share Investment Anand Rathi"/>
    <x v="0"/>
    <x v="0"/>
    <m/>
    <x v="0"/>
    <m/>
    <n v="0"/>
    <n v="0"/>
    <n v="0"/>
    <n v="0"/>
  </r>
  <r>
    <n v="608"/>
    <s v="Share - Tejas Network Limited"/>
    <s v="Share Investment Anand Rathi"/>
    <x v="0"/>
    <x v="0"/>
    <m/>
    <x v="0"/>
    <m/>
    <n v="0"/>
    <n v="0"/>
    <n v="0"/>
    <n v="0"/>
  </r>
  <r>
    <n v="609"/>
    <s v="Share - UPL Limited"/>
    <s v="Share Investment Anand Rathi"/>
    <x v="0"/>
    <x v="0"/>
    <m/>
    <x v="0"/>
    <m/>
    <n v="0"/>
    <n v="0"/>
    <n v="0"/>
    <n v="0"/>
  </r>
  <r>
    <n v="610"/>
    <s v="Share - Vedant Fashions Limited"/>
    <s v="Share Investment Anand Rathi"/>
    <x v="0"/>
    <x v="0"/>
    <m/>
    <x v="0"/>
    <m/>
    <n v="0"/>
    <n v="0"/>
    <n v="0"/>
    <n v="0"/>
  </r>
  <r>
    <n v="611"/>
    <s v="Share - VIP Industries Limited"/>
    <s v="Share Investment Anand Rathi"/>
    <x v="0"/>
    <x v="0"/>
    <m/>
    <x v="0"/>
    <m/>
    <n v="0"/>
    <n v="0"/>
    <n v="0"/>
    <n v="0"/>
  </r>
  <r>
    <n v="612"/>
    <s v="Share - Yes Bank Ltd"/>
    <s v="Share Investment Anand Rathi"/>
    <x v="0"/>
    <x v="0"/>
    <m/>
    <x v="0"/>
    <m/>
    <n v="0"/>
    <n v="0"/>
    <n v="0"/>
    <n v="0"/>
  </r>
  <r>
    <n v="613"/>
    <s v="share- Galaxy Surfactants Ltd"/>
    <s v="Share Investment Anand Rathi"/>
    <x v="0"/>
    <x v="0"/>
    <m/>
    <x v="0"/>
    <m/>
    <n v="0"/>
    <n v="0"/>
    <n v="0"/>
    <n v="0"/>
  </r>
  <r>
    <n v="614"/>
    <s v="Share -Hindustan Construction"/>
    <s v="Share Investment Anand Rathi"/>
    <x v="0"/>
    <x v="0"/>
    <m/>
    <x v="0"/>
    <m/>
    <n v="0"/>
    <n v="0"/>
    <n v="0"/>
    <n v="0"/>
  </r>
  <r>
    <n v="615"/>
    <s v="Share -Thomas Cook ( India )"/>
    <s v="Share Investment Anand Rathi"/>
    <x v="0"/>
    <x v="0"/>
    <m/>
    <x v="0"/>
    <m/>
    <n v="0"/>
    <n v="0"/>
    <n v="0"/>
    <n v="0"/>
  </r>
  <r>
    <n v="616"/>
    <s v="SHIFTING/LOADING/UNLOADING CHARGES-CHA"/>
    <s v="EXPORT (EXPENSE)"/>
    <x v="2"/>
    <x v="4"/>
    <s v="Loading &amp; Unloading charges"/>
    <x v="3"/>
    <m/>
    <n v="0"/>
    <n v="0"/>
    <n v="0"/>
    <n v="0"/>
  </r>
  <r>
    <n v="617"/>
    <s v="Shiv Enterprise Pune"/>
    <s v="Sundry Creditors for (Expenses)"/>
    <x v="1"/>
    <x v="1"/>
    <m/>
    <x v="1"/>
    <m/>
    <n v="0"/>
    <n v="0"/>
    <n v="0"/>
    <n v="0"/>
  </r>
  <r>
    <n v="618"/>
    <s v="Shiv Enterprises (Chandigarh)"/>
    <s v="Sundry Creditors for (Expenses)"/>
    <x v="1"/>
    <x v="1"/>
    <m/>
    <x v="1"/>
    <m/>
    <n v="0"/>
    <n v="0"/>
    <n v="0"/>
    <n v="0"/>
  </r>
  <r>
    <n v="619"/>
    <s v="Shiva Agencies"/>
    <s v="Uttar Pradesh"/>
    <x v="1"/>
    <x v="2"/>
    <m/>
    <x v="2"/>
    <m/>
    <n v="0"/>
    <n v="0"/>
    <n v="0"/>
    <n v="0"/>
  </r>
  <r>
    <n v="620"/>
    <s v="Shivaye Exim Pvt. Ltd."/>
    <s v="SUNDRY CREDITORS (EXPORT)"/>
    <x v="1"/>
    <x v="1"/>
    <m/>
    <x v="1"/>
    <m/>
    <n v="0"/>
    <n v="0"/>
    <n v="0"/>
    <n v="0"/>
  </r>
  <r>
    <n v="621"/>
    <s v="Short Term Capital Gain"/>
    <s v="Indirect Incomes"/>
    <x v="2"/>
    <x v="5"/>
    <s v="Short term Capital Gain "/>
    <x v="6"/>
    <m/>
    <n v="0"/>
    <n v="0"/>
    <n v="0"/>
    <n v="0"/>
  </r>
  <r>
    <n v="622"/>
    <s v="Shree Balaji Infosolution"/>
    <s v="Chhattishgarh"/>
    <x v="1"/>
    <x v="2"/>
    <m/>
    <x v="2"/>
    <m/>
    <n v="0"/>
    <n v="0"/>
    <n v="0"/>
    <n v="0"/>
  </r>
  <r>
    <n v="623"/>
    <s v="Shree Enterprises"/>
    <s v="Sundry Creditors for (Expenses)"/>
    <x v="1"/>
    <x v="1"/>
    <m/>
    <x v="1"/>
    <m/>
    <n v="0"/>
    <n v="0"/>
    <n v="0"/>
    <n v="0"/>
  </r>
  <r>
    <n v="624"/>
    <s v="Shree H"/>
    <s v="Statewise"/>
    <x v="1"/>
    <x v="2"/>
    <m/>
    <x v="2"/>
    <m/>
    <n v="0"/>
    <n v="0"/>
    <n v="0"/>
    <n v="0"/>
  </r>
  <r>
    <n v="625"/>
    <s v="Shree Harsh Peripherals Pvt. Ltd."/>
    <s v="Statewise"/>
    <x v="1"/>
    <x v="2"/>
    <m/>
    <x v="2"/>
    <m/>
    <n v="0"/>
    <n v="0"/>
    <n v="0"/>
    <n v="0"/>
  </r>
  <r>
    <n v="626"/>
    <s v="Shree Paper Mart"/>
    <s v="Legal Case"/>
    <x v="1"/>
    <x v="2"/>
    <m/>
    <x v="2"/>
    <m/>
    <n v="0"/>
    <n v="0"/>
    <n v="0"/>
    <n v="0"/>
  </r>
  <r>
    <n v="627"/>
    <s v="Shree Samarth Enterprises"/>
    <s v="Sundry Debtor Clarus (Current)"/>
    <x v="1"/>
    <x v="2"/>
    <m/>
    <x v="5"/>
    <m/>
    <n v="0"/>
    <n v="0"/>
    <n v="0"/>
    <n v="0"/>
  </r>
  <r>
    <n v="628"/>
    <s v="Shree Shantadurga Medical Agencies"/>
    <s v="Sundry Debtor Clarus (Current)"/>
    <x v="1"/>
    <x v="2"/>
    <m/>
    <x v="5"/>
    <m/>
    <n v="-464"/>
    <n v="0"/>
    <n v="0"/>
    <n v="-464"/>
  </r>
  <r>
    <n v="629"/>
    <s v="SHREE SHEMKARI INFOSYS"/>
    <s v="Sundry Creditors for (OFFICE)"/>
    <x v="1"/>
    <x v="1"/>
    <m/>
    <x v="1"/>
    <m/>
    <n v="-226"/>
    <n v="0"/>
    <n v="0"/>
    <n v="-226"/>
  </r>
  <r>
    <n v="630"/>
    <s v="SHREE SHYAM EXPRESS GOODS CARRIER"/>
    <s v="SUNDRY CREDITORS (EXPORT)"/>
    <x v="1"/>
    <x v="1"/>
    <m/>
    <x v="3"/>
    <m/>
    <n v="0"/>
    <n v="0"/>
    <n v="0"/>
    <n v="0"/>
  </r>
  <r>
    <n v="631"/>
    <s v="Shree Vinayak Sales"/>
    <s v="Sundry Debtor Clarus (Current)"/>
    <x v="1"/>
    <x v="2"/>
    <m/>
    <x v="5"/>
    <m/>
    <n v="0"/>
    <n v="0"/>
    <n v="0"/>
    <n v="0"/>
  </r>
  <r>
    <n v="632"/>
    <s v="Shreya Vyass"/>
    <s v="SUNDRY CREDITORS (EXPORT)"/>
    <x v="1"/>
    <x v="1"/>
    <m/>
    <x v="3"/>
    <m/>
    <n v="-10000"/>
    <n v="10000"/>
    <n v="0"/>
    <n v="0"/>
  </r>
  <r>
    <n v="633"/>
    <s v="Siddharth Shah Loan A/c"/>
    <s v="STAFF LOAN - OFFICE"/>
    <x v="0"/>
    <x v="0"/>
    <m/>
    <x v="0"/>
    <m/>
    <n v="0"/>
    <n v="0"/>
    <n v="0"/>
    <n v="0"/>
  </r>
  <r>
    <n v="634"/>
    <s v="Bill Of Lading - Spice"/>
    <s v="SPICE EXPENSE"/>
    <x v="2"/>
    <x v="4"/>
    <s v="Freight &amp; Shipping charges"/>
    <x v="4"/>
    <m/>
    <n v="0"/>
    <n v="46800"/>
    <n v="0"/>
    <n v="46800"/>
  </r>
  <r>
    <n v="634"/>
    <s v="Singapore Airlines Ltd."/>
    <s v="SUNDRY CREDITORS (EXPORT)"/>
    <x v="1"/>
    <x v="1"/>
    <m/>
    <x v="3"/>
    <m/>
    <n v="0"/>
    <n v="0"/>
    <n v="0"/>
    <n v="0"/>
  </r>
  <r>
    <n v="635"/>
    <s v="BL Surrender / Seaway Charges - Spice"/>
    <s v="SPICE EXPENSE"/>
    <x v="2"/>
    <x v="4"/>
    <s v="Port Expenses"/>
    <x v="4"/>
    <m/>
    <n v="0"/>
    <n v="5768.65"/>
    <n v="0"/>
    <n v="5768.65"/>
  </r>
  <r>
    <n v="635"/>
    <s v="Siri Enterprises - Vijaywada"/>
    <s v="Andhra Pradesh"/>
    <x v="1"/>
    <x v="2"/>
    <m/>
    <x v="2"/>
    <m/>
    <n v="78824"/>
    <n v="0"/>
    <n v="0"/>
    <n v="78824"/>
  </r>
  <r>
    <n v="636"/>
    <s v="Bombay Mercantile Co.Op Bank-002110100081335"/>
    <s v="Bank Accounts"/>
    <x v="0"/>
    <x v="0"/>
    <m/>
    <x v="0"/>
    <m/>
    <n v="9166.5499999999993"/>
    <n v="0"/>
    <n v="0.18"/>
    <n v="9166.3700000000008"/>
  </r>
  <r>
    <n v="636"/>
    <s v="Sitima Engineers Ltd."/>
    <s v="Export"/>
    <x v="1"/>
    <x v="2"/>
    <m/>
    <x v="3"/>
    <m/>
    <n v="0"/>
    <n v="0"/>
    <n v="0"/>
    <n v="0"/>
  </r>
  <r>
    <n v="637"/>
    <s v="Brokerage-Spice"/>
    <s v="SPICE EXPENSE"/>
    <x v="2"/>
    <x v="3"/>
    <s v="Brokerage and commission"/>
    <x v="4"/>
    <m/>
    <n v="0"/>
    <n v="0"/>
    <n v="0"/>
    <n v="0"/>
  </r>
  <r>
    <n v="637"/>
    <s v="Sky Limit Foodtek"/>
    <s v="SUNDRY CREDITORS (EXPORT)"/>
    <x v="1"/>
    <x v="1"/>
    <m/>
    <x v="3"/>
    <m/>
    <n v="0"/>
    <n v="0"/>
    <n v="0"/>
    <n v="0"/>
  </r>
  <r>
    <n v="638"/>
    <s v="Canon ICMF 272DW Laser Printer"/>
    <s v="Office Equipment"/>
    <x v="0"/>
    <x v="0"/>
    <m/>
    <x v="0"/>
    <m/>
    <n v="31932.2"/>
    <n v="0"/>
    <n v="0"/>
    <n v="31932.2"/>
  </r>
  <r>
    <n v="638"/>
    <s v="Skyland International Pvt Ltd"/>
    <s v="Sundry Creditors ( Clarus )"/>
    <x v="1"/>
    <x v="1"/>
    <m/>
    <x v="5"/>
    <m/>
    <n v="0"/>
    <n v="0"/>
    <n v="0"/>
    <n v="0"/>
  </r>
  <r>
    <n v="639"/>
    <s v="Cargo Data Declaration - Spice"/>
    <s v="SPICE EXPENSE"/>
    <x v="2"/>
    <x v="4"/>
    <s v="Freight &amp; Shipping charges"/>
    <x v="4"/>
    <m/>
    <n v="0"/>
    <n v="15332"/>
    <n v="0"/>
    <n v="15332"/>
  </r>
  <r>
    <n v="639"/>
    <s v="Smart Imaging Technology"/>
    <s v="Sundry Creditors ( Blue Streak )"/>
    <x v="1"/>
    <x v="1"/>
    <m/>
    <x v="2"/>
    <m/>
    <n v="0"/>
    <n v="0"/>
    <n v="0"/>
    <n v="0"/>
  </r>
  <r>
    <n v="640"/>
    <s v="Container Desiccant"/>
    <s v="SPICE EXPENSE"/>
    <x v="2"/>
    <x v="3"/>
    <s v="Port Expenses"/>
    <x v="4"/>
    <m/>
    <n v="0"/>
    <n v="0"/>
    <n v="0"/>
    <n v="0"/>
  </r>
  <r>
    <n v="640"/>
    <s v="Softech"/>
    <s v="Karnataka"/>
    <x v="1"/>
    <x v="2"/>
    <m/>
    <x v="2"/>
    <m/>
    <n v="0"/>
    <n v="0"/>
    <n v="0"/>
    <n v="0"/>
  </r>
  <r>
    <n v="641"/>
    <s v="Document Charges - Spice"/>
    <s v="SPICE EXPENSE"/>
    <x v="2"/>
    <x v="4"/>
    <s v="Port Expenses"/>
    <x v="4"/>
    <m/>
    <n v="0"/>
    <n v="3500"/>
    <n v="0"/>
    <n v="3500"/>
  </r>
  <r>
    <n v="641"/>
    <s v="Softech Solution"/>
    <s v="Sundry Creditors for (Expenses)"/>
    <x v="1"/>
    <x v="1"/>
    <m/>
    <x v="1"/>
    <m/>
    <n v="0"/>
    <n v="0"/>
    <n v="0"/>
    <n v="0"/>
  </r>
  <r>
    <n v="642"/>
    <s v="Electricity Charges - Vashi Turbhe (Spice)"/>
    <s v="SPICE EXPENSE"/>
    <x v="2"/>
    <x v="3"/>
    <s v="Electricity charges"/>
    <x v="4"/>
    <m/>
    <n v="0"/>
    <n v="1160"/>
    <n v="0"/>
    <n v="1160"/>
  </r>
  <r>
    <n v="642"/>
    <s v="Software Installation/Upgradation - Clarus"/>
    <s v="Computers"/>
    <x v="0"/>
    <x v="0"/>
    <m/>
    <x v="0"/>
    <m/>
    <n v="13800"/>
    <n v="0"/>
    <n v="0"/>
    <n v="13800"/>
  </r>
  <r>
    <n v="643"/>
    <s v="ENG SHENG SDN BHD"/>
    <s v="Sundry Debtors Spice"/>
    <x v="1"/>
    <x v="2"/>
    <m/>
    <x v="4"/>
    <m/>
    <n v="5781725.4299999997"/>
    <n v="11053138"/>
    <n v="10672477.939999999"/>
    <n v="6162385.4900000002"/>
  </r>
  <r>
    <n v="643"/>
    <s v="SOMAIYA CARRIERS"/>
    <s v="SUNDRY CREDITORS (EXPORT)"/>
    <x v="1"/>
    <x v="1"/>
    <m/>
    <x v="3"/>
    <m/>
    <n v="0"/>
    <n v="0"/>
    <n v="0"/>
    <n v="0"/>
  </r>
  <r>
    <n v="644"/>
    <s v="Equipment Surcharge - Spice"/>
    <s v="SPICE EXPENSE"/>
    <x v="2"/>
    <x v="4"/>
    <s v="Freight &amp; Shipping charges"/>
    <x v="4"/>
    <m/>
    <n v="0"/>
    <n v="2800"/>
    <n v="0"/>
    <n v="2800"/>
  </r>
  <r>
    <n v="644"/>
    <s v="Special Allowance A"/>
    <s v="Salary &amp; Wages"/>
    <x v="2"/>
    <x v="3"/>
    <s v="Salary &amp; wages"/>
    <x v="1"/>
    <m/>
    <n v="0"/>
    <n v="0"/>
    <n v="0"/>
    <n v="0"/>
  </r>
  <r>
    <n v="645"/>
    <s v="Exhibition"/>
    <s v="SPICE EXPENSE"/>
    <x v="2"/>
    <x v="3"/>
    <s v="Exhibitions costs"/>
    <x v="4"/>
    <m/>
    <n v="0"/>
    <n v="0"/>
    <n v="0"/>
    <n v="0"/>
  </r>
  <r>
    <n v="645"/>
    <s v="Special Allowance A - Bluestreak"/>
    <s v="Salary &amp; Wages - Bluestreak"/>
    <x v="2"/>
    <x v="3"/>
    <s v="Salary &amp; wages"/>
    <x v="2"/>
    <m/>
    <n v="0"/>
    <n v="0"/>
    <n v="0"/>
    <n v="0"/>
  </r>
  <r>
    <n v="646"/>
    <s v="FD WITH ICICI BANK FD NO.034813016530"/>
    <s v="FDR WITH ICICI BANK"/>
    <x v="0"/>
    <x v="0"/>
    <m/>
    <x v="0"/>
    <m/>
    <n v="4289384.88"/>
    <n v="0"/>
    <n v="0"/>
    <n v="4289384.88"/>
  </r>
  <r>
    <n v="646"/>
    <s v="Special Allowance A - Clarus"/>
    <s v="Salary &amp; Wages - Clarus"/>
    <x v="2"/>
    <x v="3"/>
    <s v="Salary &amp; wages"/>
    <x v="5"/>
    <m/>
    <n v="0"/>
    <n v="0"/>
    <n v="0"/>
    <n v="0"/>
  </r>
  <r>
    <n v="647"/>
    <s v="FD WITH ICICI BANK FD NO.034813016531"/>
    <s v="FDR WITH ICICI BANK"/>
    <x v="0"/>
    <x v="0"/>
    <m/>
    <x v="0"/>
    <m/>
    <n v="-4716"/>
    <n v="0"/>
    <n v="0"/>
    <n v="-4716"/>
  </r>
  <r>
    <n v="647"/>
    <s v="Special Allowance A  -Factory"/>
    <s v="Salary &amp; Wages - Factory"/>
    <x v="2"/>
    <x v="3"/>
    <s v="Salary &amp; wages"/>
    <x v="1"/>
    <m/>
    <n v="0"/>
    <n v="0"/>
    <n v="0"/>
    <n v="0"/>
  </r>
  <r>
    <n v="648"/>
    <s v="FD WITH ICICI BANK FD NO.034813016532"/>
    <s v="FDR WITH ICICI BANK"/>
    <x v="0"/>
    <x v="0"/>
    <m/>
    <x v="0"/>
    <m/>
    <n v="-4716"/>
    <n v="0"/>
    <n v="0"/>
    <n v="-4716"/>
  </r>
  <r>
    <n v="648"/>
    <s v="SPICE EXPENSE"/>
    <s v="SPICE EXPENSE"/>
    <x v="0"/>
    <x v="0"/>
    <m/>
    <x v="0"/>
    <m/>
    <n v="0"/>
    <n v="0"/>
    <n v="0"/>
    <n v="0"/>
  </r>
  <r>
    <n v="649"/>
    <s v="FD WITH ICICI BANK FD NO.034813016533"/>
    <s v="FDR WITH ICICI BANK"/>
    <x v="0"/>
    <x v="0"/>
    <m/>
    <x v="0"/>
    <m/>
    <n v="-4298"/>
    <n v="0"/>
    <n v="0"/>
    <n v="-4298"/>
  </r>
  <r>
    <n v="649"/>
    <s v="Spices Boa Exhibitions"/>
    <s v="SUNDRY CREDITORS (EXPORT)"/>
    <x v="1"/>
    <x v="1"/>
    <m/>
    <x v="3"/>
    <m/>
    <n v="0"/>
    <n v="0"/>
    <n v="0"/>
    <n v="0"/>
  </r>
  <r>
    <n v="650"/>
    <s v="FD WITH ICICI BANK FD NO.034813016534"/>
    <s v="FDR WITH ICICI BANK"/>
    <x v="0"/>
    <x v="0"/>
    <m/>
    <x v="0"/>
    <m/>
    <n v="-3401"/>
    <n v="0"/>
    <n v="0"/>
    <n v="-3401"/>
  </r>
  <r>
    <n v="650"/>
    <s v="SPICES BOARD"/>
    <s v="SUNDRY CREDITORS (EXPORT)"/>
    <x v="1"/>
    <x v="1"/>
    <m/>
    <x v="3"/>
    <m/>
    <n v="0"/>
    <n v="211575.85"/>
    <n v="211575.85"/>
    <n v="0"/>
  </r>
  <r>
    <n v="651"/>
    <s v="FD WITH ICICI BANK FD NO-34813016283"/>
    <s v="FDR WITH ICICI BANK"/>
    <x v="0"/>
    <x v="0"/>
    <m/>
    <x v="0"/>
    <m/>
    <n v="275304.76"/>
    <n v="0"/>
    <n v="197992.8"/>
    <n v="77311.960000000006"/>
  </r>
  <r>
    <n v="651"/>
    <s v="Sri Ganesh Systems"/>
    <s v="SUNDRY CREDITORS (EXPORT)"/>
    <x v="1"/>
    <x v="1"/>
    <m/>
    <x v="3"/>
    <m/>
    <n v="0"/>
    <n v="0"/>
    <n v="0"/>
    <n v="0"/>
  </r>
  <r>
    <n v="652"/>
    <s v="FD WITH ICICI BANK FD NO-34813016284"/>
    <s v="FDR WITH ICICI BANK"/>
    <x v="0"/>
    <x v="0"/>
    <m/>
    <x v="0"/>
    <m/>
    <n v="-5955"/>
    <n v="0"/>
    <n v="0"/>
    <n v="-5955"/>
  </r>
  <r>
    <n v="652"/>
    <s v="SRI Technologies"/>
    <s v="Haryana"/>
    <x v="1"/>
    <x v="2"/>
    <m/>
    <x v="2"/>
    <m/>
    <n v="-1387"/>
    <n v="0"/>
    <n v="0"/>
    <n v="-1387"/>
  </r>
  <r>
    <n v="653"/>
    <s v="FD WITH ICICI BANK FD NO-34813016285"/>
    <s v="FDR WITH ICICI BANK"/>
    <x v="0"/>
    <x v="0"/>
    <m/>
    <x v="0"/>
    <m/>
    <n v="-5954"/>
    <n v="0"/>
    <n v="0"/>
    <n v="-5954"/>
  </r>
  <r>
    <n v="653"/>
    <s v="SRK Enterprises"/>
    <s v="Tamil Nadu"/>
    <x v="1"/>
    <x v="2"/>
    <m/>
    <x v="2"/>
    <m/>
    <n v="0"/>
    <n v="0"/>
    <n v="0"/>
    <n v="0"/>
  </r>
  <r>
    <n v="654"/>
    <s v="FD WITH ICICI BANK FD NO-34813016286"/>
    <s v="FDR WITH ICICI BANK"/>
    <x v="0"/>
    <x v="0"/>
    <m/>
    <x v="0"/>
    <m/>
    <n v="-5955"/>
    <n v="0"/>
    <n v="0"/>
    <n v="-5955"/>
  </r>
  <r>
    <n v="654"/>
    <s v="Stabilizer"/>
    <s v="Plant &amp; Machinery"/>
    <x v="0"/>
    <x v="0"/>
    <m/>
    <x v="0"/>
    <m/>
    <n v="830"/>
    <n v="0"/>
    <n v="0"/>
    <n v="830"/>
  </r>
  <r>
    <n v="655"/>
    <s v="FD WITH ICICI BANK FD NO-34813016287"/>
    <s v="FDR WITH ICICI BANK"/>
    <x v="0"/>
    <x v="0"/>
    <m/>
    <x v="0"/>
    <m/>
    <n v="-5899"/>
    <n v="0"/>
    <n v="0"/>
    <n v="-5899"/>
  </r>
  <r>
    <n v="655"/>
    <s v="Staff Welfare - Factory"/>
    <s v="FACTORY EXPENSE"/>
    <x v="2"/>
    <x v="3"/>
    <s v="Staff welfare expenses"/>
    <x v="1"/>
    <m/>
    <n v="0"/>
    <n v="9850"/>
    <n v="0"/>
    <n v="9850"/>
  </r>
  <r>
    <n v="656"/>
    <s v="FD WITH ICICI BANK FD NO-34813016288"/>
    <s v="FDR WITH ICICI BANK"/>
    <x v="0"/>
    <x v="0"/>
    <m/>
    <x v="0"/>
    <m/>
    <n v="-3557"/>
    <n v="0"/>
    <n v="0"/>
    <n v="-3557"/>
  </r>
  <r>
    <n v="656"/>
    <s v="Staff Welfare - Office"/>
    <s v="OFFICE EXPENSE"/>
    <x v="2"/>
    <x v="3"/>
    <s v="Staff welfare expenses"/>
    <x v="1"/>
    <m/>
    <n v="0"/>
    <n v="5192"/>
    <n v="0"/>
    <n v="5192"/>
  </r>
  <r>
    <n v="657"/>
    <s v="FD WITH ICICI BANK FD NO-34813016289"/>
    <s v="FDR WITH ICICI BANK"/>
    <x v="0"/>
    <x v="0"/>
    <m/>
    <x v="0"/>
    <m/>
    <n v="-2226"/>
    <n v="0"/>
    <n v="0"/>
    <n v="-2226"/>
  </r>
  <r>
    <n v="657"/>
    <s v="Star World Computers"/>
    <s v="Delhi"/>
    <x v="1"/>
    <x v="2"/>
    <m/>
    <x v="2"/>
    <m/>
    <n v="0"/>
    <n v="0"/>
    <n v="0"/>
    <n v="0"/>
  </r>
  <r>
    <n v="658"/>
    <s v="FD WITH ICICI BANK FD NO-34813016290"/>
    <s v="FDR WITH ICICI BANK"/>
    <x v="0"/>
    <x v="0"/>
    <m/>
    <x v="0"/>
    <m/>
    <n v="-2108"/>
    <n v="0"/>
    <n v="0"/>
    <n v="-2108"/>
  </r>
  <r>
    <n v="658"/>
    <s v="State Bank Of India"/>
    <s v="Bank Accounts"/>
    <x v="0"/>
    <x v="0"/>
    <m/>
    <x v="0"/>
    <m/>
    <n v="0"/>
    <n v="0"/>
    <n v="0"/>
    <n v="0"/>
  </r>
  <r>
    <n v="659"/>
    <s v="FD WITH ICICI BANK FD NO-34813016291"/>
    <s v="FDR WITH ICICI BANK"/>
    <x v="0"/>
    <x v="0"/>
    <m/>
    <x v="0"/>
    <m/>
    <n v="-2113"/>
    <n v="0"/>
    <n v="0"/>
    <n v="-2113"/>
  </r>
  <r>
    <n v="659"/>
    <s v="Sundry Debit Balance Write Off (BS)"/>
    <s v="BLUESTREAK (EXPENSES)"/>
    <x v="2"/>
    <x v="3"/>
    <s v="Misc Expenses"/>
    <x v="2"/>
    <m/>
    <n v="0"/>
    <n v="0"/>
    <n v="0"/>
    <n v="0"/>
  </r>
  <r>
    <n v="660"/>
    <s v="FD WITH ICICI BANK FD NO-34813016292"/>
    <s v="FDR WITH ICICI BANK"/>
    <x v="0"/>
    <x v="0"/>
    <m/>
    <x v="0"/>
    <m/>
    <n v="-2139"/>
    <n v="0"/>
    <n v="0"/>
    <n v="-2139"/>
  </r>
  <r>
    <n v="660"/>
    <s v="Sundry Expenses - Factory"/>
    <s v="FACTORY EXPENSE"/>
    <x v="2"/>
    <x v="3"/>
    <s v="Misc Expenses"/>
    <x v="1"/>
    <m/>
    <n v="0"/>
    <n v="0"/>
    <n v="0"/>
    <n v="0"/>
  </r>
  <r>
    <n v="661"/>
    <s v="FD WITH ICICI BANK FD NO-34813016293"/>
    <s v="FDR WITH ICICI BANK"/>
    <x v="0"/>
    <x v="0"/>
    <m/>
    <x v="0"/>
    <m/>
    <n v="-1814"/>
    <n v="0"/>
    <n v="0"/>
    <n v="-1814"/>
  </r>
  <r>
    <n v="661"/>
    <s v="Sundry Expense-Office"/>
    <s v="OFFICE EXPENSE"/>
    <x v="2"/>
    <x v="3"/>
    <s v="Misc Expenses"/>
    <x v="1"/>
    <m/>
    <n v="0"/>
    <n v="4452"/>
    <n v="0"/>
    <n v="4452"/>
  </r>
  <r>
    <n v="662"/>
    <s v="FD WITH ICICI BANK FD NO-34813016294"/>
    <s v="FDR WITH ICICI BANK"/>
    <x v="0"/>
    <x v="0"/>
    <m/>
    <x v="0"/>
    <m/>
    <n v="-1687"/>
    <n v="0"/>
    <n v="0"/>
    <n v="-1687"/>
  </r>
  <r>
    <n v="662"/>
    <s v="Sunrise Systems"/>
    <s v="Rajasthan"/>
    <x v="1"/>
    <x v="2"/>
    <m/>
    <x v="2"/>
    <m/>
    <n v="0"/>
    <n v="0"/>
    <n v="0"/>
    <n v="0"/>
  </r>
  <r>
    <n v="663"/>
    <s v="FD WITH ICICI BANK FD NO-34813016295"/>
    <s v="FDR WITH ICICI BANK"/>
    <x v="0"/>
    <x v="0"/>
    <m/>
    <x v="0"/>
    <m/>
    <n v="-1388"/>
    <n v="0"/>
    <n v="0"/>
    <n v="-1388"/>
  </r>
  <r>
    <n v="663"/>
    <s v="Suspense Account"/>
    <s v="Suspense A/c"/>
    <x v="0"/>
    <x v="0"/>
    <m/>
    <x v="0"/>
    <m/>
    <n v="0"/>
    <n v="0"/>
    <n v="5000"/>
    <n v="-5000"/>
  </r>
  <r>
    <n v="664"/>
    <s v="FD WITH ICICI BANK FD NO-34813016296"/>
    <s v="FDR WITH ICICI BANK"/>
    <x v="0"/>
    <x v="0"/>
    <m/>
    <x v="0"/>
    <m/>
    <n v="-1295"/>
    <n v="0"/>
    <n v="0"/>
    <n v="-1295"/>
  </r>
  <r>
    <n v="664"/>
    <s v="SUZLON ENERGY LTD"/>
    <s v="Share Investment Anand Rathi"/>
    <x v="0"/>
    <x v="0"/>
    <m/>
    <x v="0"/>
    <m/>
    <n v="0"/>
    <n v="0"/>
    <n v="0"/>
    <n v="0"/>
  </r>
  <r>
    <n v="665"/>
    <s v="FD WITH ICICI BANK FD NO-34813016297"/>
    <s v="FDR WITH ICICI BANK"/>
    <x v="0"/>
    <x v="0"/>
    <m/>
    <x v="0"/>
    <m/>
    <n v="-1197"/>
    <n v="0"/>
    <n v="0"/>
    <n v="-1197"/>
  </r>
  <r>
    <n v="665"/>
    <s v="Swiggy Ltd (Shares)"/>
    <s v="Share Investment Swiggy Ltd"/>
    <x v="0"/>
    <x v="0"/>
    <m/>
    <x v="0"/>
    <m/>
    <n v="-15713.54"/>
    <n v="0"/>
    <n v="0"/>
    <n v="-15713.54"/>
  </r>
  <r>
    <n v="666"/>
    <s v="T D S ON BANK FDR INTEREST A/Y 2015 16"/>
    <s v="Tax Advances"/>
    <x v="0"/>
    <x v="0"/>
    <m/>
    <x v="0"/>
    <m/>
    <n v="8567"/>
    <n v="0"/>
    <n v="0"/>
    <n v="8567"/>
  </r>
  <r>
    <n v="667"/>
    <s v="T K Transport Company"/>
    <s v="Sundry Creditors (Transports/Logistics)"/>
    <x v="1"/>
    <x v="1"/>
    <m/>
    <x v="1"/>
    <m/>
    <n v="0"/>
    <n v="0"/>
    <n v="0"/>
    <n v="0"/>
  </r>
  <r>
    <n v="668"/>
    <s v="Tax Paid Ag Reverse Charge"/>
    <s v="GST Payable"/>
    <x v="0"/>
    <x v="0"/>
    <m/>
    <x v="0"/>
    <m/>
    <n v="0"/>
    <n v="0"/>
    <n v="0"/>
    <n v="0"/>
  </r>
  <r>
    <n v="669"/>
    <s v="TCS RECEIVABLE F.Y 20-21 @ 0.075%"/>
    <s v="Tax Advances"/>
    <x v="0"/>
    <x v="0"/>
    <m/>
    <x v="0"/>
    <m/>
    <n v="11041.2"/>
    <n v="0"/>
    <n v="0"/>
    <n v="11041.2"/>
  </r>
  <r>
    <n v="670"/>
    <s v="TCS RECEIVABLE F.Y 2022-23 @ 0.075%"/>
    <s v="TDS RECIEVABLE AY 2023-24"/>
    <x v="0"/>
    <x v="0"/>
    <m/>
    <x v="0"/>
    <m/>
    <n v="5744"/>
    <n v="0"/>
    <n v="0"/>
    <n v="5744"/>
  </r>
  <r>
    <n v="671"/>
    <s v="TCS RECEIVABLE F.Y 21-22 @ 0.075%"/>
    <s v="Tax Advances"/>
    <x v="0"/>
    <x v="0"/>
    <m/>
    <x v="0"/>
    <m/>
    <n v="-916"/>
    <n v="0"/>
    <n v="0"/>
    <n v="-916"/>
  </r>
  <r>
    <n v="672"/>
    <s v="TDR NO-318803020015038"/>
    <s v="NEW FDR WITH UBI BANK AGST BANK GURANTEE"/>
    <x v="0"/>
    <x v="0"/>
    <m/>
    <x v="0"/>
    <m/>
    <n v="288246"/>
    <n v="0"/>
    <n v="0"/>
    <n v="288246"/>
  </r>
  <r>
    <n v="673"/>
    <s v="TDR NO-318803020015039"/>
    <s v="NEW FDR WITH UBI BANK AGST BANK GURANTEE"/>
    <x v="0"/>
    <x v="0"/>
    <m/>
    <x v="0"/>
    <m/>
    <n v="162000"/>
    <n v="0"/>
    <n v="0"/>
    <n v="162000"/>
  </r>
  <r>
    <n v="674"/>
    <s v="TDR NO-318803020015040"/>
    <s v="NEW FDR WITH UBI BANK AGST BANK GURANTEE"/>
    <x v="0"/>
    <x v="0"/>
    <m/>
    <x v="0"/>
    <m/>
    <n v="41707"/>
    <n v="0"/>
    <n v="0"/>
    <n v="41707"/>
  </r>
  <r>
    <n v="675"/>
    <s v="TDR NO-318803020015041"/>
    <s v="NEW FDR WITH UBI BANK AGST BANK GURANTEE"/>
    <x v="0"/>
    <x v="0"/>
    <m/>
    <x v="0"/>
    <m/>
    <n v="162000"/>
    <n v="0"/>
    <n v="0"/>
    <n v="162000"/>
  </r>
  <r>
    <n v="676"/>
    <s v="TDR NO-318803020015042"/>
    <s v="NEW FDR WITH UBI BANK AGST BANK GURANTEE"/>
    <x v="0"/>
    <x v="0"/>
    <m/>
    <x v="0"/>
    <m/>
    <n v="20000"/>
    <n v="0"/>
    <n v="0"/>
    <n v="20000"/>
  </r>
  <r>
    <n v="677"/>
    <s v="TDR NO-318803020015043"/>
    <s v="NEW FDR WITH UBI BANK AGST BANK GURANTEE"/>
    <x v="0"/>
    <x v="0"/>
    <m/>
    <x v="0"/>
    <m/>
    <n v="400000"/>
    <n v="0"/>
    <n v="0"/>
    <n v="400000"/>
  </r>
  <r>
    <n v="678"/>
    <s v="TDS on Contractor Payment - Company-194C"/>
    <s v="TDS &amp; TCS PAYABLE"/>
    <x v="0"/>
    <x v="0"/>
    <m/>
    <x v="0"/>
    <m/>
    <n v="-2687"/>
    <n v="0"/>
    <n v="2900"/>
    <n v="-5587"/>
  </r>
  <r>
    <n v="679"/>
    <s v="TDS on Contractor Payment - Non Company-194C"/>
    <s v="TDS &amp; TCS PAYABLE"/>
    <x v="0"/>
    <x v="0"/>
    <m/>
    <x v="0"/>
    <m/>
    <n v="-1241"/>
    <n v="2140"/>
    <n v="0"/>
    <n v="899"/>
  </r>
  <r>
    <n v="680"/>
    <s v="TDS ON DIVIDEND-194"/>
    <s v="TDS RECIEVABLE AY 2024-25"/>
    <x v="0"/>
    <x v="0"/>
    <m/>
    <x v="0"/>
    <m/>
    <n v="40"/>
    <n v="0"/>
    <n v="0"/>
    <n v="40"/>
  </r>
  <r>
    <n v="681"/>
    <s v="TDS ON INTEREST A.Y.2016-17"/>
    <s v="Tax Advances"/>
    <x v="0"/>
    <x v="0"/>
    <m/>
    <x v="0"/>
    <m/>
    <n v="9046"/>
    <n v="0"/>
    <n v="0"/>
    <n v="9046"/>
  </r>
  <r>
    <n v="682"/>
    <s v="TDS ON INTEREST A.Y.2018-19"/>
    <s v="Tax Advances"/>
    <x v="0"/>
    <x v="0"/>
    <m/>
    <x v="0"/>
    <m/>
    <n v="12311"/>
    <n v="0"/>
    <n v="0"/>
    <n v="12311"/>
  </r>
  <r>
    <n v="683"/>
    <s v="TDS ON INTEREST A.Y.2019-20"/>
    <s v="Tax Advances"/>
    <x v="0"/>
    <x v="0"/>
    <m/>
    <x v="0"/>
    <m/>
    <n v="12543"/>
    <n v="0"/>
    <n v="0"/>
    <n v="12543"/>
  </r>
  <r>
    <n v="684"/>
    <s v="TDS ON INTEREST A.Y.2020-21"/>
    <s v="Tax Advances"/>
    <x v="0"/>
    <x v="0"/>
    <m/>
    <x v="0"/>
    <m/>
    <n v="9190"/>
    <n v="0"/>
    <n v="0"/>
    <n v="9190"/>
  </r>
  <r>
    <n v="685"/>
    <s v="TDS ON INTEREST A.Y.2021-22"/>
    <s v="Tax Advances"/>
    <x v="0"/>
    <x v="0"/>
    <m/>
    <x v="0"/>
    <m/>
    <n v="6800"/>
    <n v="0"/>
    <n v="0"/>
    <n v="6800"/>
  </r>
  <r>
    <n v="686"/>
    <s v="TDS ON INTEREST A.Y.2022-23"/>
    <s v="Tax Advances"/>
    <x v="0"/>
    <x v="0"/>
    <m/>
    <x v="0"/>
    <m/>
    <n v="9136"/>
    <n v="0"/>
    <n v="0"/>
    <n v="9136"/>
  </r>
  <r>
    <n v="687"/>
    <s v="TDS ON INTEREST A.Y.2023-24"/>
    <s v="TDS RECIEVABLE AY 2023-24"/>
    <x v="0"/>
    <x v="0"/>
    <m/>
    <x v="0"/>
    <m/>
    <n v="7537"/>
    <n v="0"/>
    <n v="0"/>
    <n v="7537"/>
  </r>
  <r>
    <n v="688"/>
    <s v="TDS ON INTEREST A.Y.2024-25"/>
    <s v="TDS RECIEVABLE AY 2024-25"/>
    <x v="0"/>
    <x v="0"/>
    <m/>
    <x v="0"/>
    <m/>
    <n v="6887"/>
    <n v="0"/>
    <n v="0"/>
    <n v="6887"/>
  </r>
  <r>
    <n v="689"/>
    <s v="TDS on Interest on FD (A Y 2014-15)"/>
    <s v="Tax Advances"/>
    <x v="0"/>
    <x v="0"/>
    <m/>
    <x v="0"/>
    <m/>
    <n v="7437"/>
    <n v="0"/>
    <n v="0"/>
    <n v="7437"/>
  </r>
  <r>
    <n v="690"/>
    <s v="TDS on Interest on FD (A.Y. 2008-09)"/>
    <s v="Tax Advances"/>
    <x v="0"/>
    <x v="0"/>
    <m/>
    <x v="0"/>
    <m/>
    <n v="31077"/>
    <n v="0"/>
    <n v="0"/>
    <n v="31077"/>
  </r>
  <r>
    <n v="691"/>
    <s v="TDS on Interest on FD (A.Y. 2009-10)"/>
    <s v="Tax Advances"/>
    <x v="0"/>
    <x v="0"/>
    <m/>
    <x v="0"/>
    <m/>
    <n v="21584"/>
    <n v="0"/>
    <n v="0"/>
    <n v="21584"/>
  </r>
  <r>
    <n v="692"/>
    <s v="TDS on Interest on FD (A.Y. 2010-11)"/>
    <s v="Tax Advances"/>
    <x v="0"/>
    <x v="0"/>
    <m/>
    <x v="0"/>
    <m/>
    <n v="7122"/>
    <n v="0"/>
    <n v="0"/>
    <n v="7122"/>
  </r>
  <r>
    <n v="693"/>
    <s v="TDS on Interest on FD (A.Y. 2011-12)"/>
    <s v="Tax Advances"/>
    <x v="0"/>
    <x v="0"/>
    <m/>
    <x v="0"/>
    <m/>
    <n v="4428"/>
    <n v="0"/>
    <n v="0"/>
    <n v="4428"/>
  </r>
  <r>
    <n v="694"/>
    <s v="TDS on Interest on FD (A.Y. 2012-13)"/>
    <s v="Tax Advances"/>
    <x v="0"/>
    <x v="0"/>
    <m/>
    <x v="0"/>
    <m/>
    <n v="5130"/>
    <n v="0"/>
    <n v="0"/>
    <n v="5130"/>
  </r>
  <r>
    <n v="695"/>
    <s v="TDS on Interest on FD (A.Y. 2013-14)"/>
    <s v="Tax Advances"/>
    <x v="0"/>
    <x v="0"/>
    <m/>
    <x v="0"/>
    <m/>
    <n v="5963"/>
    <n v="0"/>
    <n v="0"/>
    <n v="5963"/>
  </r>
  <r>
    <n v="696"/>
    <s v="TDS on Interest on Loan Received (A.Y . 2012-13)"/>
    <s v="Tax Advances"/>
    <x v="0"/>
    <x v="0"/>
    <m/>
    <x v="0"/>
    <m/>
    <n v="43414"/>
    <n v="0"/>
    <n v="0"/>
    <n v="43414"/>
  </r>
  <r>
    <n v="697"/>
    <s v="TDS on Interest on Loan Received (A.Y. 2008-09)"/>
    <s v="Tax Advances"/>
    <x v="0"/>
    <x v="0"/>
    <m/>
    <x v="0"/>
    <m/>
    <n v="23704"/>
    <n v="0"/>
    <n v="0"/>
    <n v="23704"/>
  </r>
  <r>
    <n v="698"/>
    <s v="TDS on Interest on Loan Received (A.Y. 2011-12)"/>
    <s v="Tax Advances"/>
    <x v="0"/>
    <x v="0"/>
    <m/>
    <x v="0"/>
    <m/>
    <n v="9567"/>
    <n v="0"/>
    <n v="0"/>
    <n v="9567"/>
  </r>
  <r>
    <n v="699"/>
    <s v="TDS on Payments (A.Y. 2009-10)"/>
    <s v="Tax Advances"/>
    <x v="0"/>
    <x v="0"/>
    <m/>
    <x v="0"/>
    <m/>
    <n v="943"/>
    <n v="0"/>
    <n v="0"/>
    <n v="943"/>
  </r>
  <r>
    <n v="700"/>
    <s v="TDS on Professional Charges"/>
    <s v="TDS &amp; TCS PAYABLE"/>
    <x v="0"/>
    <x v="0"/>
    <m/>
    <x v="0"/>
    <m/>
    <n v="0"/>
    <n v="0"/>
    <n v="0"/>
    <n v="0"/>
  </r>
  <r>
    <n v="701"/>
    <s v="Tds on Professional Fees U/s 194J"/>
    <s v="TDS &amp; TCS PAYABLE"/>
    <x v="0"/>
    <x v="0"/>
    <m/>
    <x v="0"/>
    <m/>
    <n v="-2000"/>
    <n v="2000"/>
    <n v="2000"/>
    <n v="-2000"/>
  </r>
  <r>
    <n v="702"/>
    <s v="TDS ON PROPERTY SALE"/>
    <s v="TDS RECIEVABLE AY 2023-24"/>
    <x v="0"/>
    <x v="0"/>
    <m/>
    <x v="0"/>
    <m/>
    <n v="135000"/>
    <n v="0"/>
    <n v="0"/>
    <n v="135000"/>
  </r>
  <r>
    <n v="703"/>
    <s v="TDS ON PURCHASE 0.10% (194Q)"/>
    <s v="TDS &amp; TCS PAYABLE"/>
    <x v="0"/>
    <x v="0"/>
    <m/>
    <x v="0"/>
    <m/>
    <n v="-76840"/>
    <n v="76840"/>
    <n v="11684"/>
    <n v="-11684"/>
  </r>
  <r>
    <n v="704"/>
    <s v="TDS on Rent (A.Y. 2013-14)"/>
    <s v="Tax Advances"/>
    <x v="0"/>
    <x v="0"/>
    <m/>
    <x v="0"/>
    <m/>
    <n v="49500"/>
    <n v="0"/>
    <n v="0"/>
    <n v="49500"/>
  </r>
  <r>
    <n v="705"/>
    <s v="TDS on Rent (A.Y. 2015-16)"/>
    <s v="Tax Advances"/>
    <x v="0"/>
    <x v="0"/>
    <m/>
    <x v="0"/>
    <m/>
    <n v="54000"/>
    <n v="0"/>
    <n v="0"/>
    <n v="54000"/>
  </r>
  <r>
    <n v="706"/>
    <s v="TDS on Rent (A.Y.2014-15)"/>
    <s v="Tax Advances"/>
    <x v="0"/>
    <x v="0"/>
    <m/>
    <x v="0"/>
    <m/>
    <n v="45000"/>
    <n v="0"/>
    <n v="0"/>
    <n v="45000"/>
  </r>
  <r>
    <n v="707"/>
    <s v="TDS on Rent (A.Y.2016 -17)"/>
    <s v="Tax Advances"/>
    <x v="0"/>
    <x v="0"/>
    <m/>
    <x v="0"/>
    <m/>
    <n v="63000"/>
    <n v="0"/>
    <n v="0"/>
    <n v="63000"/>
  </r>
  <r>
    <n v="708"/>
    <s v="Tds on Rent on Car-194I"/>
    <s v="TDS &amp; TCS PAYABLE"/>
    <x v="1"/>
    <x v="0"/>
    <m/>
    <x v="1"/>
    <m/>
    <n v="0"/>
    <n v="0"/>
    <n v="0"/>
    <n v="0"/>
  </r>
  <r>
    <n v="709"/>
    <s v="TDS on Rent-194I"/>
    <s v="TDS &amp; TCS PAYABLE"/>
    <x v="0"/>
    <x v="0"/>
    <m/>
    <x v="0"/>
    <m/>
    <n v="-25386"/>
    <n v="25386"/>
    <n v="25386"/>
    <n v="-25386"/>
  </r>
  <r>
    <n v="710"/>
    <s v="Tds Receivable A.Y 2020-21"/>
    <s v="Tax Advances"/>
    <x v="0"/>
    <x v="0"/>
    <m/>
    <x v="0"/>
    <m/>
    <n v="54000"/>
    <n v="0"/>
    <n v="0"/>
    <n v="54000"/>
  </r>
  <r>
    <n v="711"/>
    <s v="Tds Receivable A.Y 2021-22"/>
    <s v="Tax Advances"/>
    <x v="0"/>
    <x v="0"/>
    <m/>
    <x v="0"/>
    <m/>
    <n v="63942"/>
    <n v="0"/>
    <n v="0"/>
    <n v="63942"/>
  </r>
  <r>
    <n v="712"/>
    <s v="Tds Receivable A.Y 2025-26"/>
    <s v="TDS RECIEVABLE AY 2025-26"/>
    <x v="0"/>
    <x v="0"/>
    <m/>
    <x v="0"/>
    <m/>
    <n v="157052.5"/>
    <n v="0"/>
    <n v="0"/>
    <n v="157052.5"/>
  </r>
  <r>
    <n v="713"/>
    <s v="Tds Receivable A.Y 2026-27"/>
    <s v="Tax Advances"/>
    <x v="0"/>
    <x v="0"/>
    <m/>
    <x v="0"/>
    <m/>
    <n v="14020.62"/>
    <n v="340000"/>
    <n v="0"/>
    <n v="354020.62"/>
  </r>
  <r>
    <n v="714"/>
    <s v="TDS Receivable A.Y. 2022-2023"/>
    <s v="Tax Advances"/>
    <x v="0"/>
    <x v="0"/>
    <m/>
    <x v="0"/>
    <m/>
    <n v="93296"/>
    <n v="0"/>
    <n v="0"/>
    <n v="93296"/>
  </r>
  <r>
    <n v="715"/>
    <s v="TDS Receivable A.Y. 2023-24"/>
    <s v="TDS RECIEVABLE AY 2023-24"/>
    <x v="0"/>
    <x v="0"/>
    <m/>
    <x v="0"/>
    <m/>
    <n v="3864"/>
    <n v="0"/>
    <n v="0"/>
    <n v="3864"/>
  </r>
  <r>
    <n v="716"/>
    <s v="Tech Plus"/>
    <s v="SUNDRY CREDITORS (EXPORT)"/>
    <x v="1"/>
    <x v="1"/>
    <m/>
    <x v="3"/>
    <m/>
    <n v="0"/>
    <n v="0"/>
    <n v="0"/>
    <n v="0"/>
  </r>
  <r>
    <n v="717"/>
    <s v="Tele, Fax &amp; E-Mail"/>
    <s v="Telephone Charges A/c Office"/>
    <x v="2"/>
    <x v="3"/>
    <s v="Telephone &amp; Internet charges"/>
    <x v="1"/>
    <m/>
    <n v="0"/>
    <n v="0"/>
    <n v="0"/>
    <n v="0"/>
  </r>
  <r>
    <n v="718"/>
    <s v="Tele, Fax &amp; E-Mail (GST 18%)(OFFICE)"/>
    <s v="OFFICE EXPENSE"/>
    <x v="2"/>
    <x v="3"/>
    <s v="Telephone &amp; Internet charges"/>
    <x v="1"/>
    <m/>
    <n v="0"/>
    <n v="1264.3599999999999"/>
    <n v="0"/>
    <n v="1264.3599999999999"/>
  </r>
  <r>
    <n v="719"/>
    <s v="Tele, Fax &amp; E-Mail -OFFICE (URD)"/>
    <s v="OFFICE EXPENSE"/>
    <x v="2"/>
    <x v="3"/>
    <s v="Telephone &amp; Internet charges"/>
    <x v="1"/>
    <m/>
    <n v="0"/>
    <n v="0"/>
    <n v="0"/>
    <n v="0"/>
  </r>
  <r>
    <n v="720"/>
    <s v="Telephone Deposit"/>
    <s v="Deposits (Asset)"/>
    <x v="0"/>
    <x v="0"/>
    <m/>
    <x v="0"/>
    <m/>
    <n v="5534"/>
    <n v="0"/>
    <n v="0"/>
    <n v="5534"/>
  </r>
  <r>
    <n v="721"/>
    <s v="TERMINAL HANDLING CHARGES-FRT"/>
    <s v="EXPORT (EXPENSE)"/>
    <x v="2"/>
    <x v="4"/>
    <s v="Port Expenses"/>
    <x v="3"/>
    <m/>
    <n v="0"/>
    <n v="0"/>
    <n v="0"/>
    <n v="0"/>
  </r>
  <r>
    <n v="722"/>
    <s v="Thai Airways International Public Company Limited"/>
    <s v="SUNDRY CREDITORS (EXPORT)"/>
    <x v="1"/>
    <x v="1"/>
    <m/>
    <x v="3"/>
    <m/>
    <n v="0"/>
    <n v="0"/>
    <n v="0"/>
    <n v="0"/>
  </r>
  <r>
    <n v="723"/>
    <s v="Tissue Box Packing Machine"/>
    <s v="Plant &amp; Machinery"/>
    <x v="0"/>
    <x v="0"/>
    <m/>
    <x v="0"/>
    <m/>
    <n v="14083.35"/>
    <n v="0"/>
    <n v="0"/>
    <n v="14083.35"/>
  </r>
  <r>
    <n v="724"/>
    <s v="Toilet Rolls Converting Machine"/>
    <s v="Plant &amp; Machinery"/>
    <x v="0"/>
    <x v="0"/>
    <m/>
    <x v="0"/>
    <m/>
    <n v="83269.97"/>
    <n v="0"/>
    <n v="0"/>
    <n v="83269.97"/>
  </r>
  <r>
    <n v="725"/>
    <s v="TOLL FREE CHARGES"/>
    <s v="Indirect Expenses"/>
    <x v="2"/>
    <x v="4"/>
    <s v="Port Expenses"/>
    <x v="3"/>
    <m/>
    <n v="0"/>
    <n v="0"/>
    <n v="0"/>
    <n v="0"/>
  </r>
  <r>
    <n v="726"/>
    <s v="Toner Filling Machine"/>
    <s v="Plant &amp; Machinery"/>
    <x v="0"/>
    <x v="0"/>
    <m/>
    <x v="0"/>
    <m/>
    <n v="115300"/>
    <n v="0"/>
    <n v="0"/>
    <n v="115300"/>
  </r>
  <r>
    <n v="727"/>
    <s v="Tools &amp; Equipment"/>
    <s v="Plant &amp; Machinery"/>
    <x v="0"/>
    <x v="0"/>
    <m/>
    <x v="0"/>
    <m/>
    <n v="55087.64"/>
    <n v="0"/>
    <n v="0"/>
    <n v="55087.64"/>
  </r>
  <r>
    <n v="728"/>
    <s v="Top Print Cartridge (Delhi)"/>
    <s v="Delhi"/>
    <x v="1"/>
    <x v="2"/>
    <m/>
    <x v="2"/>
    <m/>
    <n v="-50000"/>
    <n v="0"/>
    <n v="0"/>
    <n v="-50000"/>
  </r>
  <r>
    <n v="729"/>
    <s v="Tours &amp; Travals Air Ticket &amp; Visa Expense (EXPORT)"/>
    <s v="EXPORT (EXPENSE)"/>
    <x v="2"/>
    <x v="3"/>
    <s v="Travelling expenses"/>
    <x v="3"/>
    <m/>
    <n v="0"/>
    <n v="0"/>
    <n v="0"/>
    <n v="0"/>
  </r>
  <r>
    <n v="730"/>
    <s v="Tours &amp; Travals Air Ticket &amp; Visa Expense (MD EXP)"/>
    <s v="OFFICE EXPENSE"/>
    <x v="2"/>
    <x v="3"/>
    <s v="Travelling expenses"/>
    <x v="1"/>
    <m/>
    <n v="0"/>
    <n v="0"/>
    <n v="0"/>
    <n v="0"/>
  </r>
  <r>
    <n v="731"/>
    <s v="Tours &amp; Travals Air Ticket Expense @18%(Exports)"/>
    <s v="EXPORT (EXPENSE)"/>
    <x v="2"/>
    <x v="3"/>
    <s v="Travelling expenses"/>
    <x v="3"/>
    <m/>
    <n v="0"/>
    <n v="0"/>
    <n v="0"/>
    <n v="0"/>
  </r>
  <r>
    <n v="732"/>
    <s v="Tours &amp; Travals Air Ticket Expense @5%(Exports)"/>
    <s v="EXPORT (EXPENSE)"/>
    <x v="2"/>
    <x v="3"/>
    <s v="Travelling expenses"/>
    <x v="3"/>
    <m/>
    <n v="0"/>
    <n v="0"/>
    <n v="0"/>
    <n v="0"/>
  </r>
  <r>
    <n v="733"/>
    <s v="TRADE MARK"/>
    <s v="Fixed Assets"/>
    <x v="0"/>
    <x v="0"/>
    <m/>
    <x v="0"/>
    <m/>
    <n v="20736.8"/>
    <n v="0"/>
    <n v="0"/>
    <n v="20736.8"/>
  </r>
  <r>
    <n v="734"/>
    <s v="Trade Promotion Council Of India"/>
    <s v="SUNDRY CREDITORS (EXPORT)"/>
    <x v="1"/>
    <x v="1"/>
    <m/>
    <x v="3"/>
    <m/>
    <n v="0"/>
    <n v="0"/>
    <n v="0"/>
    <n v="0"/>
  </r>
  <r>
    <n v="735"/>
    <s v="Transcorp Enterprises Limited"/>
    <s v="SUNDRY CREDITORS (EXPORT)"/>
    <x v="1"/>
    <x v="1"/>
    <m/>
    <x v="3"/>
    <m/>
    <n v="0"/>
    <n v="0"/>
    <n v="0"/>
    <n v="0"/>
  </r>
  <r>
    <n v="736"/>
    <s v="Transport Allowance"/>
    <s v="Salary &amp; Wages - Office"/>
    <x v="2"/>
    <x v="3"/>
    <s v="Salary &amp; wages"/>
    <x v="1"/>
    <m/>
    <n v="0"/>
    <n v="1200"/>
    <n v="0"/>
    <n v="1200"/>
  </r>
  <r>
    <n v="737"/>
    <s v="Transport Allowance - Bluestreak"/>
    <s v="Salary &amp; Wages - Bluestreak"/>
    <x v="2"/>
    <x v="3"/>
    <s v="Salary &amp; wages"/>
    <x v="2"/>
    <m/>
    <n v="0"/>
    <n v="0"/>
    <n v="0"/>
    <n v="0"/>
  </r>
  <r>
    <n v="738"/>
    <s v="Transport Allowance - Clarus"/>
    <s v="Salary &amp; Wages - Clarus"/>
    <x v="2"/>
    <x v="3"/>
    <s v="Salary &amp; wages"/>
    <x v="5"/>
    <m/>
    <n v="0"/>
    <n v="0"/>
    <n v="0"/>
    <n v="0"/>
  </r>
  <r>
    <n v="739"/>
    <s v="Transport Allowance - Factory"/>
    <s v="Salary &amp; Wages - Factory"/>
    <x v="2"/>
    <x v="3"/>
    <s v="Salary &amp; wages"/>
    <x v="1"/>
    <m/>
    <n v="0"/>
    <n v="0"/>
    <n v="0"/>
    <n v="0"/>
  </r>
  <r>
    <n v="740"/>
    <s v="TRANSPORT CHARGES EXPORT"/>
    <s v="EXPORT (EXPENSE)"/>
    <x v="2"/>
    <x v="3"/>
    <s v="Transportation"/>
    <x v="3"/>
    <m/>
    <n v="0"/>
    <n v="0"/>
    <n v="0"/>
    <n v="0"/>
  </r>
  <r>
    <n v="741"/>
    <s v="TRANSPORTATION CHARGE (EXPORT) RCM"/>
    <s v="EXPORT (EXPENSE)"/>
    <x v="2"/>
    <x v="3"/>
    <s v="Transportation"/>
    <x v="3"/>
    <m/>
    <n v="0"/>
    <n v="0"/>
    <n v="0"/>
    <n v="0"/>
  </r>
  <r>
    <n v="742"/>
    <s v="TRAVELING EXPENSES ( OFFICE )"/>
    <s v="OFFICE EXPENSE"/>
    <x v="2"/>
    <x v="3"/>
    <s v="Travelling expenses"/>
    <x v="1"/>
    <m/>
    <n v="0"/>
    <n v="42651"/>
    <n v="0"/>
    <n v="42651"/>
  </r>
  <r>
    <n v="743"/>
    <s v="TRAVELING INSURANCE (EXPORT)"/>
    <s v="EXPORT (EXPENSE)"/>
    <x v="2"/>
    <x v="3"/>
    <s v="Insurance expenses"/>
    <x v="3"/>
    <m/>
    <n v="0"/>
    <n v="7012"/>
    <n v="0"/>
    <n v="7012"/>
  </r>
  <r>
    <n v="744"/>
    <s v="Trillizo Holding Limited (Loan A/c)"/>
    <s v="Unsecured Loans"/>
    <x v="0"/>
    <x v="0"/>
    <m/>
    <x v="0"/>
    <m/>
    <n v="-508890"/>
    <n v="0"/>
    <n v="0"/>
    <n v="-508890"/>
  </r>
  <r>
    <n v="745"/>
    <s v="Triveni Copy Systems"/>
    <s v="Rest of Maharashtra"/>
    <x v="1"/>
    <x v="2"/>
    <m/>
    <x v="2"/>
    <m/>
    <n v="0"/>
    <n v="0"/>
    <n v="0"/>
    <n v="0"/>
  </r>
  <r>
    <n v="746"/>
    <s v="Tstar Aerosol"/>
    <s v="Sundry Creditors ( Clarus )"/>
    <x v="1"/>
    <x v="1"/>
    <m/>
    <x v="5"/>
    <m/>
    <n v="113723"/>
    <n v="0"/>
    <n v="0"/>
    <n v="113723"/>
  </r>
  <r>
    <n v="747"/>
    <s v="Tulip Sales"/>
    <s v="Sundry Creditors for (Expenses)"/>
    <x v="1"/>
    <x v="1"/>
    <m/>
    <x v="1"/>
    <m/>
    <n v="0"/>
    <n v="0"/>
    <n v="0"/>
    <n v="0"/>
  </r>
  <r>
    <n v="748"/>
    <s v="U.K.SALES"/>
    <s v="Sundry Debtor Clarus (Current)"/>
    <x v="1"/>
    <x v="2"/>
    <m/>
    <x v="5"/>
    <m/>
    <n v="0"/>
    <n v="0"/>
    <n v="0"/>
    <n v="0"/>
  </r>
  <r>
    <n v="749"/>
    <s v="Ultra International Ltd"/>
    <s v="Sundry Creditors ( Clarus )"/>
    <x v="1"/>
    <x v="1"/>
    <m/>
    <x v="5"/>
    <m/>
    <n v="0"/>
    <n v="0"/>
    <n v="0"/>
    <n v="0"/>
  </r>
  <r>
    <n v="750"/>
    <s v="UNI TRAANS LOG PRIVATE LIMITED"/>
    <s v="SUNDRY CREDITORS (EXPORT)"/>
    <x v="1"/>
    <x v="1"/>
    <m/>
    <x v="3"/>
    <m/>
    <n v="-220301"/>
    <n v="0"/>
    <n v="0"/>
    <n v="-220301"/>
  </r>
  <r>
    <n v="751"/>
    <s v="Union Bank of India"/>
    <s v="Bank Accounts"/>
    <x v="0"/>
    <x v="0"/>
    <m/>
    <x v="0"/>
    <m/>
    <n v="87510.79"/>
    <n v="5000"/>
    <n v="0"/>
    <n v="92510.79"/>
  </r>
  <r>
    <n v="752"/>
    <s v="Vandana Electronics"/>
    <s v="Andhra Pradesh"/>
    <x v="1"/>
    <x v="2"/>
    <m/>
    <x v="2"/>
    <m/>
    <n v="0"/>
    <n v="0"/>
    <n v="0"/>
    <n v="0"/>
  </r>
  <r>
    <n v="753"/>
    <s v="Vandana Greeting &amp; Gift"/>
    <s v="Sundry Debtor Clarus (Old)"/>
    <x v="1"/>
    <x v="2"/>
    <m/>
    <x v="5"/>
    <m/>
    <n v="0"/>
    <n v="0"/>
    <n v="0"/>
    <n v="0"/>
  </r>
  <r>
    <n v="754"/>
    <s v="Vanita Mehta (Loan A/c)"/>
    <s v="Unsecured Loans"/>
    <x v="0"/>
    <x v="0"/>
    <m/>
    <x v="0"/>
    <m/>
    <n v="0"/>
    <n v="0"/>
    <n v="0"/>
    <n v="0"/>
  </r>
  <r>
    <n v="755"/>
    <s v="Varsha Agencies"/>
    <s v="Sundry Debtor Clarus (Current)"/>
    <x v="1"/>
    <x v="2"/>
    <m/>
    <x v="5"/>
    <m/>
    <n v="0"/>
    <n v="0"/>
    <n v="0"/>
    <n v="0"/>
  </r>
  <r>
    <n v="756"/>
    <s v="Vasai Virar City Municipal Corporation"/>
    <s v="Sundry Creditors for (Expenses)"/>
    <x v="1"/>
    <x v="1"/>
    <m/>
    <x v="1"/>
    <m/>
    <n v="0"/>
    <n v="0"/>
    <n v="0"/>
    <n v="0"/>
  </r>
  <r>
    <n v="757"/>
    <s v="Vat Refund Claimed (F.Y. 2008-09)"/>
    <s v="Tax Advances"/>
    <x v="0"/>
    <x v="0"/>
    <m/>
    <x v="0"/>
    <m/>
    <n v="2555.34"/>
    <n v="0"/>
    <n v="0"/>
    <n v="2555.34"/>
  </r>
  <r>
    <n v="758"/>
    <s v="Vat Refund Claimed (F.Y. 2009-10)"/>
    <s v="Tax Advances"/>
    <x v="0"/>
    <x v="0"/>
    <m/>
    <x v="0"/>
    <m/>
    <n v="1251"/>
    <n v="0"/>
    <n v="0"/>
    <n v="1251"/>
  </r>
  <r>
    <n v="759"/>
    <s v="VEER BHAVANI HARDWARE"/>
    <s v="Sundry Creditors for Factory"/>
    <x v="1"/>
    <x v="1"/>
    <m/>
    <x v="1"/>
    <m/>
    <n v="0"/>
    <n v="0"/>
    <n v="0"/>
    <n v="0"/>
  </r>
  <r>
    <n v="760"/>
    <s v="VGM CHARGES-FRT"/>
    <s v="EXPORT (EXPENSE)"/>
    <x v="2"/>
    <x v="4"/>
    <s v="Port Expenses"/>
    <x v="3"/>
    <m/>
    <n v="0"/>
    <n v="0"/>
    <n v="0"/>
    <n v="0"/>
  </r>
  <r>
    <n v="761"/>
    <s v="Vijeta Marketing"/>
    <s v="Madhya Pradesh"/>
    <x v="1"/>
    <x v="2"/>
    <m/>
    <x v="2"/>
    <m/>
    <n v="0"/>
    <n v="0"/>
    <n v="0"/>
    <n v="0"/>
  </r>
  <r>
    <n v="762"/>
    <s v="Vijex &amp; Company"/>
    <s v="Tamil Nadu"/>
    <x v="1"/>
    <x v="2"/>
    <m/>
    <x v="2"/>
    <m/>
    <n v="-507408"/>
    <n v="0"/>
    <n v="0"/>
    <n v="-507408"/>
  </r>
  <r>
    <n v="763"/>
    <s v="Vinay Construction"/>
    <s v="SUNDRY DEBTORS BLUESTREAK - AJAYSIR"/>
    <x v="1"/>
    <x v="2"/>
    <m/>
    <x v="2"/>
    <m/>
    <n v="0"/>
    <n v="0"/>
    <n v="0"/>
    <n v="0"/>
  </r>
  <r>
    <n v="764"/>
    <s v="Vinay Rajkant Jha - Loan A/c"/>
    <s v="STAFF LOAN - CLARUS"/>
    <x v="0"/>
    <x v="0"/>
    <m/>
    <x v="0"/>
    <m/>
    <n v="0"/>
    <n v="0"/>
    <n v="0"/>
    <n v="0"/>
  </r>
  <r>
    <n v="765"/>
    <s v="Vinayak sales Corporation"/>
    <s v="Madhya Pradesh"/>
    <x v="1"/>
    <x v="2"/>
    <m/>
    <x v="2"/>
    <m/>
    <n v="0"/>
    <n v="0"/>
    <n v="0"/>
    <n v="0"/>
  </r>
  <r>
    <n v="766"/>
    <s v="Vinayaka Computer Consumables"/>
    <s v="Tamil Nadu"/>
    <x v="1"/>
    <x v="2"/>
    <m/>
    <x v="2"/>
    <m/>
    <n v="64900"/>
    <n v="0"/>
    <n v="0"/>
    <n v="64900"/>
  </r>
  <r>
    <n v="767"/>
    <s v="VINTRON INFOTECH"/>
    <s v="Tamil Nadu"/>
    <x v="1"/>
    <x v="2"/>
    <m/>
    <x v="2"/>
    <m/>
    <n v="0"/>
    <n v="0"/>
    <n v="0"/>
    <n v="0"/>
  </r>
  <r>
    <n v="768"/>
    <s v="Water Purifier"/>
    <s v="Office Equipment"/>
    <x v="0"/>
    <x v="0"/>
    <m/>
    <x v="0"/>
    <m/>
    <n v="24377.53"/>
    <n v="0"/>
    <n v="0"/>
    <n v="24377.53"/>
  </r>
  <r>
    <n v="769"/>
    <s v="We Recommend"/>
    <s v="SUNDRY CREDITORS (EXPORT)"/>
    <x v="1"/>
    <x v="1"/>
    <m/>
    <x v="3"/>
    <m/>
    <n v="0"/>
    <n v="0"/>
    <n v="0"/>
    <n v="0"/>
  </r>
  <r>
    <n v="770"/>
    <s v="Weight Measuring Machine"/>
    <s v="Office Equipment"/>
    <x v="0"/>
    <x v="0"/>
    <m/>
    <x v="0"/>
    <m/>
    <n v="1185.5899999999999"/>
    <n v="0"/>
    <n v="0"/>
    <n v="1185.5899999999999"/>
  </r>
  <r>
    <n v="771"/>
    <s v="Wet Napkin Paper Packing Machine"/>
    <s v="Plant &amp; Machinery"/>
    <x v="0"/>
    <x v="0"/>
    <m/>
    <x v="0"/>
    <m/>
    <n v="226431.53"/>
    <n v="0"/>
    <n v="0"/>
    <n v="226431.53"/>
  </r>
  <r>
    <n v="772"/>
    <s v="Wide Infotech India Ltd."/>
    <s v="Sundry Creditors for (Expenses)"/>
    <x v="1"/>
    <x v="1"/>
    <m/>
    <x v="1"/>
    <m/>
    <n v="0"/>
    <n v="0"/>
    <n v="0"/>
    <n v="0"/>
  </r>
  <r>
    <n v="773"/>
    <s v="Winman Software India LLP"/>
    <s v="Sundry Creditors for (Expenses)"/>
    <x v="1"/>
    <x v="1"/>
    <m/>
    <x v="1"/>
    <m/>
    <n v="0"/>
    <n v="0"/>
    <n v="0"/>
    <n v="0"/>
  </r>
  <r>
    <n v="774"/>
    <s v="Workindia"/>
    <s v="Sundry Creditors for (Expenses)"/>
    <x v="1"/>
    <x v="1"/>
    <m/>
    <x v="1"/>
    <m/>
    <n v="0"/>
    <n v="0"/>
    <n v="0"/>
    <n v="0"/>
  </r>
  <r>
    <n v="775"/>
    <s v="Write Off"/>
    <s v="COMMON EXPENSE"/>
    <x v="2"/>
    <x v="3"/>
    <s v="Bad debt"/>
    <x v="1"/>
    <m/>
    <n v="0"/>
    <n v="0"/>
    <n v="0"/>
    <n v="0"/>
  </r>
  <r>
    <n v="776"/>
    <s v="Yogesh Acholkar"/>
    <s v="Sundry Creditors ( Blue Streak )"/>
    <x v="1"/>
    <x v="1"/>
    <m/>
    <x v="2"/>
    <m/>
    <n v="0"/>
    <n v="0"/>
    <n v="0"/>
    <n v="0"/>
  </r>
  <r>
    <n v="777"/>
    <s v="Yunay Enterprises"/>
    <s v="Sundry Debtor Clarus (Current)"/>
    <x v="1"/>
    <x v="2"/>
    <m/>
    <x v="5"/>
    <m/>
    <n v="566"/>
    <n v="0"/>
    <n v="0"/>
    <n v="566"/>
  </r>
  <r>
    <n v="778"/>
    <s v="Zain Traders and Co."/>
    <s v="Sundry Debtor Clarus (Current)"/>
    <x v="1"/>
    <x v="2"/>
    <m/>
    <x v="5"/>
    <m/>
    <n v="107429.98"/>
    <n v="33553"/>
    <n v="26235"/>
    <n v="114747.98"/>
  </r>
  <r>
    <n v="779"/>
    <s v="ZEE ENTERTAINMENT"/>
    <s v="Share Investment Anand Rathi"/>
    <x v="0"/>
    <x v="0"/>
    <m/>
    <x v="0"/>
    <m/>
    <n v="0"/>
    <n v="0"/>
    <n v="0"/>
    <n v="0"/>
  </r>
  <r>
    <n v="780"/>
    <s v="ZOHO CORPORATION PRIVATE LIMITED"/>
    <s v="Sundry Creditors for (OFFICE)"/>
    <x v="1"/>
    <x v="1"/>
    <m/>
    <x v="1"/>
    <m/>
    <n v="0"/>
    <n v="0"/>
    <n v="0"/>
    <n v="0"/>
  </r>
  <r>
    <n v="781"/>
    <s v="ZYJ-B-400 Printed/Embossed Napkin Foldiing Machine"/>
    <s v="Plant &amp; Machinery"/>
    <x v="0"/>
    <x v="0"/>
    <m/>
    <x v="0"/>
    <m/>
    <n v="59822.59"/>
    <n v="0"/>
    <n v="0"/>
    <n v="59822.59"/>
  </r>
  <r>
    <n v="782"/>
    <s v="ZYJ-B-500 Printed/Embossed Napking Folding Machine"/>
    <s v="Plant &amp; Machinery"/>
    <x v="1"/>
    <x v="0"/>
    <m/>
    <x v="0"/>
    <m/>
    <n v="64806.68"/>
    <n v="0"/>
    <n v="0"/>
    <n v="64806.68"/>
  </r>
  <r>
    <n v="783"/>
    <s v="CAR INSURANCE (CRETA)"/>
    <s v="Indirect Expenses"/>
    <x v="2"/>
    <x v="3"/>
    <s v="Insurance expenses"/>
    <x v="1"/>
    <m/>
    <n v="0"/>
    <n v="0"/>
    <n v="0"/>
    <n v="0"/>
  </r>
  <r>
    <n v="784"/>
    <s v="SSR CHARGES"/>
    <s v="EXPORT (EXPENSE)"/>
    <x v="2"/>
    <x v="4"/>
    <s v="Freight &amp; Shipping charges"/>
    <x v="3"/>
    <m/>
    <n v="0"/>
    <n v="29277.29"/>
    <n v="0"/>
    <n v="29277.29"/>
  </r>
  <r>
    <n v="785"/>
    <s v="STAFFWALFARE"/>
    <s v="Indirect Incomes"/>
    <x v="2"/>
    <x v="5"/>
    <s v="Indirect Income"/>
    <x v="1"/>
    <m/>
    <n v="0"/>
    <n v="0"/>
    <n v="0"/>
    <n v="0"/>
  </r>
  <r>
    <n v="786"/>
    <s v="Metal ORE"/>
    <s v="Sundry Creditors for (OFFICE)"/>
    <x v="1"/>
    <x v="1"/>
    <m/>
    <x v="1"/>
    <m/>
    <n v="0"/>
    <n v="0"/>
    <n v="0"/>
    <n v="0"/>
  </r>
  <r>
    <n v="787"/>
    <s v="Membership Subscription 18% (Spices)"/>
    <s v="SPICE EXPENSE"/>
    <x v="2"/>
    <x v="3"/>
    <s v="Membership Expenses"/>
    <x v="8"/>
    <m/>
    <n v="0"/>
    <n v="9810"/>
    <n v="0"/>
    <n v="9810"/>
  </r>
  <r>
    <n v="788"/>
    <s v="Membership Subscription 18% (IT)"/>
    <s v="IT EXPENSE"/>
    <x v="2"/>
    <x v="3"/>
    <s v="Membership Expenses"/>
    <x v="3"/>
    <m/>
    <n v="0"/>
    <n v="0"/>
    <n v="0"/>
    <n v="0"/>
  </r>
  <r>
    <n v="789"/>
    <s v="Domain Expenses &amp; Support Service 18% (Ofiice)"/>
    <s v="OFFICE EXPENSE"/>
    <x v="2"/>
    <x v="3"/>
    <s v="Website charges"/>
    <x v="1"/>
    <m/>
    <n v="0"/>
    <n v="0"/>
    <n v="0"/>
    <n v="0"/>
  </r>
  <r>
    <n v="790"/>
    <s v="ADVERTISEMENT 18% (SPICE)"/>
    <s v="SPICE EXPENSE"/>
    <x v="2"/>
    <x v="3"/>
    <s v="Advertisements costs"/>
    <x v="8"/>
    <m/>
    <n v="0"/>
    <n v="4000"/>
    <n v="0"/>
    <n v="4000"/>
  </r>
  <r>
    <n v="791"/>
    <s v="BUSINESS DEVELOPMENT (SPICE)"/>
    <s v="SPICE EXPENSE"/>
    <x v="2"/>
    <x v="3"/>
    <s v="Bussiness Development costs"/>
    <x v="4"/>
    <m/>
    <n v="0"/>
    <n v="0"/>
    <n v="0"/>
    <n v="0"/>
  </r>
  <r>
    <n v="792"/>
    <s v="MARKETING EXPENSE (SPICE)"/>
    <s v="SPICE EXPENSE"/>
    <x v="2"/>
    <x v="3"/>
    <s v="Advertisements costs"/>
    <x v="8"/>
    <m/>
    <n v="0"/>
    <n v="0"/>
    <n v="0"/>
    <n v="0"/>
  </r>
  <r>
    <n v="793"/>
    <s v="Abacus Infotech"/>
    <s v="Sundry Creditors for (Expenses)"/>
    <x v="1"/>
    <x v="1"/>
    <m/>
    <x v="1"/>
    <m/>
    <n v="0"/>
    <n v="0"/>
    <n v="0"/>
    <n v="0"/>
  </r>
  <r>
    <n v="794"/>
    <s v="AMI  Food Products"/>
    <s v="SUNDRY CREDITORS (Spice)"/>
    <x v="1"/>
    <x v="1"/>
    <m/>
    <x v="4"/>
    <m/>
    <n v="0"/>
    <n v="2572500"/>
    <n v="2572500"/>
    <n v="0"/>
  </r>
  <r>
    <n v="795"/>
    <s v="Basic Pay -  Vashi Office"/>
    <s v="Salary &amp; Wages - Vashi Office"/>
    <x v="2"/>
    <x v="3"/>
    <s v="Salary &amp; wages"/>
    <x v="4"/>
    <m/>
    <n v="0"/>
    <n v="328467"/>
    <n v="0"/>
    <n v="328467"/>
  </r>
  <r>
    <n v="796"/>
    <s v="SRI JAYA IMPEX SDN. BHD"/>
    <s v="Sundry Debtors Spice"/>
    <x v="1"/>
    <x v="2"/>
    <m/>
    <x v="4"/>
    <m/>
    <n v="818194"/>
    <n v="10949086"/>
    <n v="0"/>
    <n v="11767280"/>
  </r>
  <r>
    <n v="796"/>
    <s v="Conveyance - Spice"/>
    <s v="SPICE EXPENSE"/>
    <x v="2"/>
    <x v="3"/>
    <s v="Conveyance expenses"/>
    <x v="4"/>
    <m/>
    <n v="0"/>
    <n v="7582.09"/>
    <n v="0"/>
    <n v="7582.09"/>
  </r>
  <r>
    <n v="797"/>
    <s v="Staff Welfare - Vashi (Spice)"/>
    <s v="Vashi Expense"/>
    <x v="2"/>
    <x v="3"/>
    <s v="Staff welfare expenses"/>
    <x v="4"/>
    <m/>
    <n v="0"/>
    <n v="2290"/>
    <n v="0"/>
    <n v="2290"/>
  </r>
  <r>
    <n v="798"/>
    <s v="Stamp Duty Fees"/>
    <s v="OFFICE EXPENSE"/>
    <x v="2"/>
    <x v="3"/>
    <s v="Professional charges"/>
    <x v="1"/>
    <m/>
    <n v="0"/>
    <n v="0"/>
    <n v="0"/>
    <n v="0"/>
  </r>
  <r>
    <n v="798"/>
    <s v="Diamond Trading Company"/>
    <s v="SUNDRY CREDITORS (Spice)"/>
    <x v="1"/>
    <x v="1"/>
    <m/>
    <x v="4"/>
    <m/>
    <n v="0"/>
    <n v="0"/>
    <n v="0"/>
    <n v="0"/>
  </r>
  <r>
    <n v="799"/>
    <s v="A.T.N. Enterprise"/>
    <s v="SUNDRY CREDITORS (Spice)"/>
    <x v="1"/>
    <x v="1"/>
    <m/>
    <x v="4"/>
    <m/>
    <n v="0"/>
    <n v="3627173"/>
    <n v="3627173"/>
    <n v="0"/>
  </r>
  <r>
    <n v="799"/>
    <s v="Discount On Pur Spice"/>
    <s v="Purchase Accounts (Spice)"/>
    <x v="2"/>
    <x v="7"/>
    <s v="Purchase"/>
    <x v="4"/>
    <m/>
    <n v="0"/>
    <n v="0"/>
    <n v="286217"/>
    <n v="-286217"/>
  </r>
  <r>
    <n v="800"/>
    <s v="SUNFOOD STAR GENERAL TRADING LLC"/>
    <s v="Sundry Debtors Spice"/>
    <x v="1"/>
    <x v="2"/>
    <m/>
    <x v="4"/>
    <m/>
    <n v="-53418.33"/>
    <n v="4670837"/>
    <n v="0"/>
    <n v="4617418.67"/>
  </r>
  <r>
    <n v="800"/>
    <s v="FD WITH ICICI BANK FD NO-034813016440"/>
    <s v="FDR WITH ICICI BANK"/>
    <x v="0"/>
    <x v="0"/>
    <m/>
    <x v="0"/>
    <m/>
    <n v="-3329"/>
    <n v="0"/>
    <n v="0"/>
    <n v="-3329"/>
  </r>
  <r>
    <n v="801"/>
    <s v="FD WITH ICICI BANK FD NO-034813016441"/>
    <s v="FDR WITH ICICI BANK"/>
    <x v="0"/>
    <x v="0"/>
    <m/>
    <x v="0"/>
    <m/>
    <n v="-3329"/>
    <n v="0"/>
    <n v="0"/>
    <n v="-3329"/>
  </r>
  <r>
    <n v="802"/>
    <s v="FD WITH ICICI BANK FD NO-034813016442"/>
    <s v="FDR WITH ICICI BANK"/>
    <x v="0"/>
    <x v="0"/>
    <m/>
    <x v="0"/>
    <m/>
    <n v="-2663"/>
    <n v="0"/>
    <n v="0"/>
    <n v="-2663"/>
  </r>
  <r>
    <n v="803"/>
    <s v="FD WITH ICICI BANK FD NO-34813016338"/>
    <s v="FDR WITH ICICI BANK"/>
    <x v="0"/>
    <x v="0"/>
    <m/>
    <x v="0"/>
    <m/>
    <n v="-56"/>
    <n v="0"/>
    <n v="0"/>
    <n v="-56"/>
  </r>
  <r>
    <n v="804"/>
    <s v="FD WITH ICICI BANK FD NO-34813016339"/>
    <s v="FDR WITH ICICI BANK"/>
    <x v="0"/>
    <x v="0"/>
    <m/>
    <x v="0"/>
    <m/>
    <n v="0"/>
    <n v="0"/>
    <n v="0"/>
    <n v="0"/>
  </r>
  <r>
    <n v="805"/>
    <s v="FD WITH ICICI BANK FD NO-34813016340"/>
    <s v="FDR WITH ICICI BANK"/>
    <x v="0"/>
    <x v="0"/>
    <m/>
    <x v="0"/>
    <m/>
    <n v="0"/>
    <n v="0"/>
    <n v="0"/>
    <n v="0"/>
  </r>
  <r>
    <n v="806"/>
    <s v="FD WITH ICICI BANK FD NO-34813016341"/>
    <s v="FDR WITH ICICI BANK"/>
    <x v="0"/>
    <x v="0"/>
    <m/>
    <x v="0"/>
    <m/>
    <n v="0"/>
    <n v="0"/>
    <n v="0"/>
    <n v="0"/>
  </r>
  <r>
    <n v="807"/>
    <s v="FD WITH ICICI BANK FD NO-34813016342"/>
    <s v="FDR WITH ICICI BANK"/>
    <x v="0"/>
    <x v="0"/>
    <m/>
    <x v="0"/>
    <m/>
    <n v="0"/>
    <n v="0"/>
    <n v="0"/>
    <n v="0"/>
  </r>
  <r>
    <n v="808"/>
    <s v="FD WITH ICICI BANK FD NO-34813016343"/>
    <s v="FDR WITH ICICI BANK"/>
    <x v="0"/>
    <x v="0"/>
    <m/>
    <x v="0"/>
    <m/>
    <n v="0"/>
    <n v="0"/>
    <n v="0"/>
    <n v="0"/>
  </r>
  <r>
    <n v="809"/>
    <s v="FD WITH ICICI BANK FD NO-34813016344"/>
    <s v="FDR WITH ICICI BANK"/>
    <x v="0"/>
    <x v="0"/>
    <m/>
    <x v="0"/>
    <m/>
    <n v="0"/>
    <n v="0"/>
    <n v="0"/>
    <n v="0"/>
  </r>
  <r>
    <n v="810"/>
    <s v="FD WITH ICICI BANK FD NO-34813016345"/>
    <s v="FDR WITH ICICI BANK"/>
    <x v="0"/>
    <x v="0"/>
    <m/>
    <x v="0"/>
    <m/>
    <n v="0"/>
    <n v="0"/>
    <n v="0"/>
    <n v="0"/>
  </r>
  <r>
    <n v="811"/>
    <s v="FD WITH ICICI BANK FD NO-34813016346"/>
    <s v="FDR WITH ICICI BANK"/>
    <x v="0"/>
    <x v="0"/>
    <m/>
    <x v="0"/>
    <m/>
    <n v="0"/>
    <n v="0"/>
    <n v="0"/>
    <n v="0"/>
  </r>
  <r>
    <n v="812"/>
    <s v="Framebazaar India Pvt Ltd"/>
    <s v="Sundry Creditors for (Expenses)"/>
    <x v="1"/>
    <x v="1"/>
    <m/>
    <x v="1"/>
    <m/>
    <n v="0"/>
    <n v="0"/>
    <n v="0"/>
    <n v="0"/>
  </r>
  <r>
    <n v="813"/>
    <s v="Future Tech"/>
    <s v="SUNDRY CREDITORS (IT)"/>
    <x v="1"/>
    <x v="1"/>
    <m/>
    <x v="3"/>
    <m/>
    <n v="19798"/>
    <n v="790001"/>
    <n v="809799"/>
    <n v="0"/>
  </r>
  <r>
    <n v="814"/>
    <s v="Futuretech-Chhenai"/>
    <s v="SUNDRY CREDITORS (IT)"/>
    <x v="1"/>
    <x v="1"/>
    <m/>
    <x v="3"/>
    <m/>
    <n v="0"/>
    <n v="0"/>
    <n v="0"/>
    <n v="0"/>
  </r>
  <r>
    <n v="815"/>
    <s v="Govindraj Spices"/>
    <s v="SUNDRY CREDITORS (Spice)"/>
    <x v="1"/>
    <x v="1"/>
    <m/>
    <x v="4"/>
    <m/>
    <n v="0"/>
    <n v="609000"/>
    <n v="609000"/>
    <n v="0"/>
  </r>
  <r>
    <n v="816"/>
    <s v="House Rent Allowance - Vashi Office"/>
    <s v="Salary &amp; Wages - Vashi Office"/>
    <x v="2"/>
    <x v="3"/>
    <s v="Salary &amp; wages"/>
    <x v="4"/>
    <m/>
    <n v="0"/>
    <n v="83517"/>
    <n v="0"/>
    <n v="83517"/>
  </r>
  <r>
    <n v="817"/>
    <s v="Inter State IT"/>
    <s v="Purchase A/c (IT)"/>
    <x v="2"/>
    <x v="7"/>
    <s v="Purchase"/>
    <x v="3"/>
    <m/>
    <n v="0"/>
    <n v="0"/>
    <n v="0"/>
    <n v="0"/>
  </r>
  <r>
    <n v="818"/>
    <s v="Internet Charges Vashi"/>
    <s v="Vashi Expense"/>
    <x v="2"/>
    <x v="3"/>
    <s v="Telephone &amp; Internet charges"/>
    <x v="4"/>
    <m/>
    <n v="0"/>
    <n v="0"/>
    <n v="0"/>
    <n v="0"/>
  </r>
  <r>
    <n v="819"/>
    <s v="LIV Pure"/>
    <s v="Sundry Creditors for (Expenses)"/>
    <x v="1"/>
    <x v="1"/>
    <m/>
    <x v="1"/>
    <m/>
    <n v="0"/>
    <n v="0"/>
    <n v="0"/>
    <n v="0"/>
  </r>
  <r>
    <n v="820"/>
    <s v="New Jaora Spices"/>
    <s v="SUNDRY CREDITORS (Spice)"/>
    <x v="1"/>
    <x v="1"/>
    <m/>
    <x v="4"/>
    <m/>
    <n v="0"/>
    <n v="1128897"/>
    <n v="1128897"/>
    <n v="0"/>
  </r>
  <r>
    <n v="821"/>
    <s v="RADIANT SOLUTION"/>
    <s v="SUNDRY CREDITORS (Spice)"/>
    <x v="1"/>
    <x v="1"/>
    <m/>
    <x v="4"/>
    <m/>
    <n v="0"/>
    <n v="0"/>
    <n v="0"/>
    <n v="0"/>
  </r>
  <r>
    <n v="820"/>
    <s v="Maa Enterprise"/>
    <s v="SUNDRY CREDITORS (Spice)"/>
    <x v="1"/>
    <x v="1"/>
    <m/>
    <x v="4"/>
    <m/>
    <n v="-2069"/>
    <n v="2069"/>
    <n v="0"/>
    <n v="0"/>
  </r>
  <r>
    <n v="821"/>
    <s v="Maintenance -VASHI (URD)"/>
    <s v="SPICE EXPENSE"/>
    <x v="2"/>
    <x v="3"/>
    <s v="Repairs &amp; maintenance expenses"/>
    <x v="4"/>
    <m/>
    <n v="0"/>
    <n v="500"/>
    <n v="0"/>
    <n v="500"/>
  </r>
  <r>
    <n v="822"/>
    <s v="Petty Cash - Vashi (Turbhe)"/>
    <s v="Cash-in-Hand"/>
    <x v="0"/>
    <x v="0"/>
    <m/>
    <x v="0"/>
    <m/>
    <n v="9800"/>
    <n v="11938"/>
    <n v="13958"/>
    <n v="7780"/>
  </r>
  <r>
    <n v="823"/>
    <s v="Printing &amp; Stationery Vashi"/>
    <s v="Vashi Expense"/>
    <x v="2"/>
    <x v="3"/>
    <s v="Printing &amp; Stationery"/>
    <x v="4"/>
    <m/>
    <n v="0"/>
    <n v="0"/>
    <n v="0"/>
    <n v="0"/>
  </r>
  <r>
    <n v="824"/>
    <s v="Profession Tax - Employees - Vashi Office"/>
    <s v="Duties &amp; Taxes"/>
    <x v="0"/>
    <x v="0"/>
    <m/>
    <x v="0"/>
    <m/>
    <n v="-2500"/>
    <n v="2300"/>
    <n v="600"/>
    <n v="-800"/>
  </r>
  <r>
    <n v="825"/>
    <s v="Raigad Chamber Of Commerce &amp; Industry"/>
    <s v="SUNDRY CREDITORS (Spice)"/>
    <x v="1"/>
    <x v="1"/>
    <m/>
    <x v="4"/>
    <m/>
    <n v="0"/>
    <n v="0"/>
    <n v="0"/>
    <n v="0"/>
  </r>
  <r>
    <n v="826"/>
    <s v="Sarju Transport"/>
    <s v="SUNDRY CREDITORS (Spice)"/>
    <x v="1"/>
    <x v="1"/>
    <m/>
    <x v="4"/>
    <m/>
    <n v="0"/>
    <n v="0"/>
    <n v="0"/>
    <n v="0"/>
  </r>
  <r>
    <n v="826"/>
    <s v="Rajau Agro -Security Deposit Vashi"/>
    <s v="Security Deposit"/>
    <x v="0"/>
    <x v="0"/>
    <m/>
    <x v="0"/>
    <m/>
    <n v="0"/>
    <n v="0"/>
    <n v="0"/>
    <n v="0"/>
  </r>
  <r>
    <n v="827"/>
    <s v="Rivera  Hotel  Pvt. Ltd."/>
    <s v="SUNDRY CREDITORS (Spice)"/>
    <x v="1"/>
    <x v="1"/>
    <m/>
    <x v="4"/>
    <m/>
    <n v="0"/>
    <n v="0"/>
    <n v="0"/>
    <n v="0"/>
  </r>
  <r>
    <n v="828"/>
    <s v="Sar Transport Systems Private Limited"/>
    <s v="SUNDRY CREDITORS (Spice)"/>
    <x v="1"/>
    <x v="1"/>
    <m/>
    <x v="4"/>
    <m/>
    <n v="0"/>
    <n v="21660"/>
    <n v="21660"/>
    <n v="0"/>
  </r>
  <r>
    <n v="828"/>
    <s v="S R Packaging Ind."/>
    <s v="SUNDRY CREDITORS (Spice)"/>
    <x v="1"/>
    <x v="1"/>
    <m/>
    <x v="4"/>
    <m/>
    <n v="0"/>
    <n v="33205"/>
    <n v="33205"/>
    <n v="0"/>
  </r>
  <r>
    <n v="829"/>
    <s v="Spized Organics"/>
    <s v="SUNDRY CREDITORS (Spice)"/>
    <x v="1"/>
    <x v="1"/>
    <m/>
    <x v="4"/>
    <m/>
    <n v="8785"/>
    <n v="9987215"/>
    <n v="9996000"/>
    <n v="0"/>
  </r>
  <r>
    <n v="830"/>
    <s v="ST. FRANCIS CAR AIR"/>
    <s v="Sundry Creditors"/>
    <x v="1"/>
    <x v="1"/>
    <m/>
    <x v="1"/>
    <m/>
    <n v="0"/>
    <n v="0"/>
    <n v="0"/>
    <n v="0"/>
  </r>
  <r>
    <n v="829"/>
    <s v="Sasman Overseas Export Import Private Limited"/>
    <s v="SUNDRY CREDITORS (Spice)"/>
    <x v="1"/>
    <x v="1"/>
    <m/>
    <x v="4"/>
    <m/>
    <n v="-4843178"/>
    <n v="2349878"/>
    <n v="0"/>
    <n v="-2493300"/>
  </r>
  <r>
    <n v="830"/>
    <s v="Shree Jaliyan Agri"/>
    <s v="SUNDRY CREDITORS (Spice)"/>
    <x v="1"/>
    <x v="1"/>
    <m/>
    <x v="4"/>
    <m/>
    <n v="0"/>
    <n v="551250"/>
    <n v="551250"/>
    <n v="0"/>
  </r>
  <r>
    <n v="831"/>
    <s v="Swakul Agro Producer Company Limited"/>
    <s v="SUNDRY CREDITORS (Spice)"/>
    <x v="1"/>
    <x v="1"/>
    <m/>
    <x v="4"/>
    <m/>
    <n v="0"/>
    <n v="0"/>
    <n v="0"/>
    <n v="0"/>
  </r>
  <r>
    <n v="832"/>
    <s v="TDS on 94H"/>
    <s v="TDS &amp; TCS PAYABLE"/>
    <x v="0"/>
    <x v="0"/>
    <m/>
    <x v="0"/>
    <m/>
    <n v="0"/>
    <n v="0"/>
    <n v="0"/>
    <n v="0"/>
  </r>
  <r>
    <n v="831"/>
    <s v="Siddhi Enterprises"/>
    <s v="SUNDRY CREDITORS (Spice)"/>
    <x v="1"/>
    <x v="1"/>
    <m/>
    <x v="4"/>
    <m/>
    <n v="0"/>
    <n v="44972"/>
    <n v="44972"/>
    <n v="0"/>
  </r>
  <r>
    <n v="832"/>
    <s v="TDS On Salary"/>
    <s v="TDS &amp; TCS PAYABLE"/>
    <x v="0"/>
    <x v="0"/>
    <m/>
    <x v="0"/>
    <m/>
    <n v="-40000"/>
    <n v="40000"/>
    <n v="40667"/>
    <n v="-40667"/>
  </r>
  <r>
    <n v="832"/>
    <s v="Sky international"/>
    <s v="SUNDRY CREDITORS (Spice)"/>
    <x v="1"/>
    <x v="1"/>
    <m/>
    <x v="4"/>
    <m/>
    <n v="0"/>
    <n v="2734200"/>
    <n v="2734200"/>
    <n v="0"/>
  </r>
  <r>
    <n v="833"/>
    <s v="TDS on Salary 192B"/>
    <s v="TDS &amp; TCS PAYABLE"/>
    <x v="0"/>
    <x v="0"/>
    <m/>
    <x v="0"/>
    <m/>
    <n v="0"/>
    <n v="0"/>
    <n v="0"/>
    <n v="0"/>
  </r>
  <r>
    <n v="833"/>
    <s v="Special Allowance-Vashi Office"/>
    <s v="Salary &amp; Wages - Vashi Office"/>
    <x v="2"/>
    <x v="3"/>
    <s v="Salary &amp; wages"/>
    <x v="4"/>
    <m/>
    <n v="0"/>
    <n v="87433"/>
    <n v="0"/>
    <n v="87433"/>
  </r>
  <r>
    <n v="834"/>
    <s v="Tele, Fax &amp; E-Mail (GST 18%) Spice"/>
    <s v="SPICE EXPENSE"/>
    <x v="2"/>
    <x v="3"/>
    <s v="Telephone &amp; Internet charges"/>
    <x v="4"/>
    <m/>
    <n v="0"/>
    <n v="499"/>
    <n v="0"/>
    <n v="499"/>
  </r>
  <r>
    <n v="834"/>
    <s v="Sundry Expense-Vashi"/>
    <s v="Vashi Expense"/>
    <x v="2"/>
    <x v="3"/>
    <s v="Misc Expenses"/>
    <x v="4"/>
    <m/>
    <n v="0"/>
    <n v="5300"/>
    <n v="0"/>
    <n v="5300"/>
  </r>
  <r>
    <n v="835"/>
    <s v="Terminal Handling-INC - Spice"/>
    <s v="SPICE EXPENSE"/>
    <x v="2"/>
    <x v="4"/>
    <s v="Freight &amp; Shipping charges"/>
    <x v="4"/>
    <m/>
    <n v="0"/>
    <n v="174575"/>
    <n v="0"/>
    <n v="174575"/>
  </r>
  <r>
    <n v="835"/>
    <s v="TDS On Salary 10% - 194J"/>
    <s v="TDS &amp; TCS PAYABLE"/>
    <x v="0"/>
    <x v="0"/>
    <m/>
    <x v="0"/>
    <m/>
    <n v="0"/>
    <n v="0"/>
    <n v="0"/>
    <n v="0"/>
  </r>
  <r>
    <n v="836"/>
    <s v="Toll Fee - Spice"/>
    <s v="SPICE EXPENSE"/>
    <x v="2"/>
    <x v="3"/>
    <s v="Travelling expenses"/>
    <x v="4"/>
    <m/>
    <n v="0"/>
    <n v="5395.95"/>
    <n v="0"/>
    <n v="5395.95"/>
  </r>
  <r>
    <n v="836"/>
    <s v="The Indian Soil Mart Co. Ltd"/>
    <s v="Sundry Debtors"/>
    <x v="1"/>
    <x v="2"/>
    <m/>
    <x v="4"/>
    <m/>
    <n v="2489532"/>
    <n v="2631747"/>
    <n v="2556565.9700000002"/>
    <n v="2564713.0299999998"/>
  </r>
  <r>
    <n v="837"/>
    <s v="TRANSPORTATION CHARGE (SPICE) RCM"/>
    <s v="SPICE EXPENSE"/>
    <x v="2"/>
    <x v="3"/>
    <s v="Transportation"/>
    <x v="4"/>
    <m/>
    <n v="0"/>
    <n v="0"/>
    <n v="0"/>
    <n v="0"/>
  </r>
  <r>
    <n v="837"/>
    <s v="VALEMOUNT TRADING PROPRIETARY LIMITED"/>
    <s v="Sundry Debtors Spice"/>
    <x v="1"/>
    <x v="2"/>
    <m/>
    <x v="4"/>
    <m/>
    <n v="5226962.4400000004"/>
    <n v="6743803"/>
    <n v="3599664.85"/>
    <n v="8371100.5899999999"/>
  </r>
  <r>
    <n v="838"/>
    <s v="CFS-Charges Spice"/>
    <s v="SPICE EXPENSE"/>
    <x v="2"/>
    <x v="4"/>
    <s v="Freight &amp; Shipping charges"/>
    <x v="4"/>
    <m/>
    <n v="0"/>
    <n v="0"/>
    <n v="0"/>
    <n v="0"/>
  </r>
  <r>
    <n v="838"/>
    <s v="Interest Received"/>
    <s v="Interest Income"/>
    <x v="2"/>
    <x v="5"/>
    <s v="Interest Income"/>
    <x v="1"/>
    <m/>
    <n v="0"/>
    <n v="0"/>
    <n v="0"/>
    <n v="0"/>
  </r>
  <r>
    <n v="839"/>
    <s v="Examination + Certificate Charges-Spice"/>
    <s v="SPICE EXPENSE"/>
    <x v="2"/>
    <x v="4"/>
    <s v="Freight &amp; Shipping charges"/>
    <x v="4"/>
    <m/>
    <n v="0"/>
    <n v="0"/>
    <n v="0"/>
    <n v="0"/>
  </r>
  <r>
    <n v="839"/>
    <s v="Courier Charges (URD) (VASHI)"/>
    <s v="SPICE EXPENSE"/>
    <x v="2"/>
    <x v="3"/>
    <s v="Courier charges"/>
    <x v="4"/>
    <m/>
    <n v="0"/>
    <n v="350"/>
    <n v="0"/>
    <n v="350"/>
  </r>
  <r>
    <n v="840"/>
    <s v="Fumigation Charges Spice"/>
    <s v="SPICE EXPENSE"/>
    <x v="2"/>
    <x v="4"/>
    <s v="Freight &amp; Shipping charges"/>
    <x v="4"/>
    <m/>
    <n v="0"/>
    <n v="4200"/>
    <n v="0"/>
    <n v="4200"/>
  </r>
  <r>
    <n v="840"/>
    <s v="Packing Charges (5%) - Vashi"/>
    <s v="Vashi Expense"/>
    <x v="2"/>
    <x v="3"/>
    <s v="Packing Charges"/>
    <x v="4"/>
    <m/>
    <n v="0"/>
    <n v="0"/>
    <n v="0"/>
    <n v="0"/>
  </r>
  <r>
    <n v="841"/>
    <s v="Mix Cargo Spice"/>
    <s v="SPICE EXPENSE"/>
    <x v="2"/>
    <x v="4"/>
    <s v="Freight &amp; Shipping charges"/>
    <x v="4"/>
    <m/>
    <n v="0"/>
    <n v="0"/>
    <n v="0"/>
    <n v="0"/>
  </r>
  <r>
    <n v="841"/>
    <s v="Rent For Vashi Office-Turbhe"/>
    <s v="Vashi Expense"/>
    <x v="2"/>
    <x v="3"/>
    <s v="Rent expenses"/>
    <x v="4"/>
    <m/>
    <n v="0"/>
    <n v="28000"/>
    <n v="0"/>
    <n v="28000"/>
  </r>
  <r>
    <n v="842"/>
    <s v="On Wheel Clearance - Spice"/>
    <s v="SPICE EXPENSE"/>
    <x v="2"/>
    <x v="4"/>
    <s v="Freight &amp; Shipping charges"/>
    <x v="4"/>
    <m/>
    <n v="0"/>
    <n v="0"/>
    <n v="0"/>
    <n v="0"/>
  </r>
  <r>
    <n v="842"/>
    <s v="Tours &amp; Travals Air Ticket &amp; Visa Expense (SPICE)"/>
    <s v="SPICE EXPENSE"/>
    <x v="2"/>
    <x v="3"/>
    <s v="Travelling expenses"/>
    <x v="8"/>
    <m/>
    <n v="0"/>
    <n v="1199284"/>
    <n v="185971"/>
    <n v="1013313"/>
  </r>
  <r>
    <n v="843"/>
    <s v="Phyto Charges Sale - Spice"/>
    <s v="SPICE EXPENSE"/>
    <x v="2"/>
    <x v="3"/>
    <s v="Misc Expenses"/>
    <x v="4"/>
    <m/>
    <n v="0"/>
    <n v="4000"/>
    <n v="0"/>
    <n v="4000"/>
  </r>
  <r>
    <n v="843"/>
    <s v="Audit Fees (18%)"/>
    <s v="COMMON EXPENSE"/>
    <x v="2"/>
    <x v="3"/>
    <s v="Audit Fees"/>
    <x v="1"/>
    <m/>
    <n v="0"/>
    <n v="0"/>
    <n v="0"/>
    <n v="0"/>
  </r>
  <r>
    <n v="844"/>
    <s v="Transport - Spice"/>
    <s v="SPICE EXPENSE"/>
    <x v="2"/>
    <x v="3"/>
    <s v="Transportation"/>
    <x v="4"/>
    <m/>
    <n v="0"/>
    <n v="126600"/>
    <n v="0"/>
    <n v="126600"/>
  </r>
  <r>
    <n v="844"/>
    <s v="Printing &amp; Stationery - Office"/>
    <s v="OFFICE EXPENSE"/>
    <x v="2"/>
    <x v="3"/>
    <s v="Printing &amp; Stationery"/>
    <x v="1"/>
    <m/>
    <n v="0"/>
    <n v="10785"/>
    <n v="0"/>
    <n v="10785"/>
  </r>
  <r>
    <n v="845"/>
    <s v="VGM Charges - Spice"/>
    <s v="SPICE EXPENSE"/>
    <x v="2"/>
    <x v="4"/>
    <s v="Freight &amp; Shipping charges"/>
    <x v="4"/>
    <m/>
    <n v="0"/>
    <n v="0"/>
    <n v="0"/>
    <n v="0"/>
  </r>
  <r>
    <n v="845"/>
    <s v="Falguni D Mehta-Vashi Office"/>
    <s v="SUNDRY CREDITORS (Spice)"/>
    <x v="1"/>
    <x v="1"/>
    <m/>
    <x v="4"/>
    <m/>
    <n v="-25200"/>
    <n v="25200"/>
    <n v="25200"/>
    <n v="-25200"/>
  </r>
  <r>
    <n v="846"/>
    <s v="Jeyam Trading Company"/>
    <s v="SUNDRY CREDITORS (Spice)"/>
    <x v="1"/>
    <x v="1"/>
    <m/>
    <x v="4"/>
    <m/>
    <n v="11800"/>
    <n v="0"/>
    <n v="0"/>
    <n v="11800"/>
  </r>
  <r>
    <n v="847"/>
    <s v="MUC-SPICE"/>
    <s v="SPICE EXPENSE"/>
    <x v="2"/>
    <x v="4"/>
    <s v="Port Expenses"/>
    <x v="4"/>
    <m/>
    <n v="0"/>
    <n v="680"/>
    <n v="0"/>
    <n v="680"/>
  </r>
  <r>
    <n v="847"/>
    <s v="JNG &amp; Co. LLP"/>
    <s v="Sundry Creditors"/>
    <x v="1"/>
    <x v="1"/>
    <m/>
    <x v="1"/>
    <m/>
    <n v="100000"/>
    <n v="0"/>
    <n v="0"/>
    <n v="100000"/>
  </r>
  <r>
    <n v="848"/>
    <s v="STALLCRAFT DESIGNS"/>
    <s v="SUNDRY CREDITORS (Spice)"/>
    <x v="1"/>
    <x v="1"/>
    <m/>
    <x v="4"/>
    <m/>
    <n v="0"/>
    <n v="0"/>
    <n v="0"/>
    <n v="0"/>
  </r>
  <r>
    <n v="849"/>
    <s v="SUNSHINE STATIONERES"/>
    <s v="Sundry Creditors for (Expenses)"/>
    <x v="1"/>
    <x v="1"/>
    <m/>
    <x v="1"/>
    <m/>
    <n v="0"/>
    <n v="7918"/>
    <n v="7918"/>
    <n v="0"/>
  </r>
  <r>
    <n v="850"/>
    <s v="Food Safety and Standards Authority of India"/>
    <s v="Sundry Creditors for (OFFICE)"/>
    <x v="1"/>
    <x v="1"/>
    <m/>
    <x v="1"/>
    <m/>
    <n v="0"/>
    <n v="0"/>
    <n v="0"/>
    <n v="0"/>
  </r>
  <r>
    <n v="850"/>
    <s v="Creative Agency Charges-Spice"/>
    <s v="SPICE EXPENSE"/>
    <x v="2"/>
    <x v="3"/>
    <s v="Creative agency charges"/>
    <x v="8"/>
    <m/>
    <n v="0"/>
    <n v="0"/>
    <n v="0"/>
    <n v="0"/>
  </r>
  <r>
    <n v="851"/>
    <s v="Labh Corporation"/>
    <s v="SUNDRY CREDITORS (Spice)"/>
    <x v="1"/>
    <x v="1"/>
    <m/>
    <x v="4"/>
    <m/>
    <n v="0"/>
    <n v="1013253"/>
    <n v="1013253"/>
    <n v="0"/>
  </r>
  <r>
    <n v="851"/>
    <s v="Software Subscription Fee-Office"/>
    <s v="OFFICE EXPENSE"/>
    <x v="2"/>
    <x v="3"/>
    <s v="Subscription fees"/>
    <x v="1"/>
    <m/>
    <n v="0"/>
    <n v="0"/>
    <n v="0"/>
    <n v="0"/>
  </r>
  <r>
    <n v="852"/>
    <s v="Madhusudan Agent"/>
    <s v="Sundry Creditors for (OFFICE)"/>
    <x v="1"/>
    <x v="1"/>
    <m/>
    <x v="1"/>
    <m/>
    <n v="0"/>
    <n v="0"/>
    <n v="0"/>
    <n v="0"/>
  </r>
  <r>
    <n v="852"/>
    <s v="Maintenance -Factory (URD)"/>
    <s v="FACTORY EXPENSE"/>
    <x v="2"/>
    <x v="3"/>
    <s v="Repairs &amp; maintenance expenses"/>
    <x v="1"/>
    <m/>
    <n v="0"/>
    <n v="0"/>
    <n v="0"/>
    <n v="0"/>
  </r>
  <r>
    <n v="853"/>
    <s v="Printing &amp; Stationery - Factory"/>
    <s v="FACTORY EXPENSE"/>
    <x v="2"/>
    <x v="3"/>
    <s v="Printing &amp; Stationery"/>
    <x v="1"/>
    <m/>
    <n v="0"/>
    <n v="30"/>
    <n v="0"/>
    <n v="30"/>
  </r>
  <r>
    <n v="854"/>
    <s v="Agent Charges-Spice"/>
    <s v="SPICE EXPENSE"/>
    <x v="2"/>
    <x v="3"/>
    <s v="Misc Expenses"/>
    <x v="8"/>
    <m/>
    <n v="0"/>
    <n v="10000"/>
    <n v="0"/>
    <n v="10000"/>
  </r>
  <r>
    <n v="855"/>
    <s v="AMJAD AYMAN ALAMOURI &amp; PARTNERS CO."/>
    <s v="Sundry Debtors Spice"/>
    <x v="1"/>
    <x v="2"/>
    <m/>
    <x v="4"/>
    <m/>
    <n v="116549.81"/>
    <n v="0"/>
    <n v="0"/>
    <n v="116549.81"/>
  </r>
  <r>
    <n v="856"/>
    <s v="ASUS X 1400EA-EK543WS"/>
    <s v="Office Equipment"/>
    <x v="1"/>
    <x v="0"/>
    <m/>
    <x v="0"/>
    <m/>
    <n v="26694.92"/>
    <n v="0"/>
    <n v="0"/>
    <n v="26694.92"/>
  </r>
  <r>
    <n v="857"/>
    <s v="AFRIZON TRADING COMPANY LIMITED"/>
    <s v="SUNDRY CREDITORS (Spice)"/>
    <x v="1"/>
    <x v="1"/>
    <m/>
    <x v="4"/>
    <m/>
    <n v="0"/>
    <n v="2121504"/>
    <n v="0"/>
    <n v="2121504"/>
  </r>
  <r>
    <n v="858"/>
    <s v="Auditor Allowance - Spice"/>
    <s v="SPICE EXPENSE"/>
    <x v="2"/>
    <x v="3"/>
    <s v="Audit Fees"/>
    <x v="8"/>
    <m/>
    <n v="0"/>
    <n v="0"/>
    <n v="0"/>
    <n v="0"/>
  </r>
  <r>
    <n v="859"/>
    <s v="Badani Industries"/>
    <s v="SUNDRY CREDITORS (Spice)"/>
    <x v="1"/>
    <x v="1"/>
    <m/>
    <x v="4"/>
    <m/>
    <n v="0"/>
    <n v="663348"/>
    <n v="663348"/>
    <n v="0"/>
  </r>
  <r>
    <n v="860"/>
    <s v="Chennai Taxi"/>
    <s v="Indirect Expenses"/>
    <x v="2"/>
    <x v="3"/>
    <s v="Travelling expenses"/>
    <x v="1"/>
    <m/>
    <n v="0"/>
    <n v="0"/>
    <n v="0"/>
    <n v="0"/>
  </r>
  <r>
    <n v="861"/>
    <s v="Consultancy-Spice"/>
    <s v="SPICE EXPENSE"/>
    <x v="2"/>
    <x v="3"/>
    <s v="Professional charges"/>
    <x v="8"/>
    <m/>
    <n v="0"/>
    <n v="0"/>
    <n v="0"/>
    <n v="0"/>
  </r>
  <r>
    <n v="862"/>
    <s v="DELHI TAXI"/>
    <s v="Indirect Expenses"/>
    <x v="2"/>
    <x v="3"/>
    <s v="Travelling expenses"/>
    <x v="1"/>
    <m/>
    <n v="0"/>
    <n v="0"/>
    <n v="0"/>
    <n v="0"/>
  </r>
  <r>
    <n v="863"/>
    <s v="Dnr Agri Exports"/>
    <s v="SUNDRY CREDITORS (Spice)"/>
    <x v="1"/>
    <x v="1"/>
    <m/>
    <x v="4"/>
    <m/>
    <n v="0"/>
    <n v="0"/>
    <n v="0"/>
    <n v="0"/>
  </r>
  <r>
    <n v="864"/>
    <s v="Facilitation Charges Spice"/>
    <s v="SPICE EXPENSE"/>
    <x v="2"/>
    <x v="3"/>
    <s v="Port Expenses"/>
    <x v="4"/>
    <m/>
    <n v="0"/>
    <n v="0"/>
    <n v="0"/>
    <n v="0"/>
  </r>
  <r>
    <n v="865"/>
    <s v="FD WITH ICICI BANK FD NO-034813016647"/>
    <s v="FDR WITH ICICI BANK"/>
    <x v="0"/>
    <x v="0"/>
    <m/>
    <x v="0"/>
    <m/>
    <n v="2691229.34"/>
    <n v="0"/>
    <n v="0"/>
    <n v="2691229.34"/>
  </r>
  <r>
    <n v="866"/>
    <s v="FD WITH ICICI BANK FD NO-034813016648"/>
    <s v="FDR WITH ICICI BANK"/>
    <x v="0"/>
    <x v="0"/>
    <m/>
    <x v="0"/>
    <m/>
    <n v="-2691229.34"/>
    <n v="0"/>
    <n v="0"/>
    <n v="-2691229.34"/>
  </r>
  <r>
    <n v="867"/>
    <s v="Harshvika Trading Co"/>
    <s v="SUNDRY CREDITORS (Spice)"/>
    <x v="1"/>
    <x v="1"/>
    <m/>
    <x v="4"/>
    <m/>
    <n v="0"/>
    <n v="2552000"/>
    <n v="2652000"/>
    <n v="-100000"/>
  </r>
  <r>
    <n v="868"/>
    <s v="KHASSIM DABO-UNITECH INTERNATIONAL FZC LLC"/>
    <s v="Sundry Debtors Spice"/>
    <x v="1"/>
    <x v="2"/>
    <m/>
    <x v="4"/>
    <m/>
    <n v="-286263.23"/>
    <n v="3939936"/>
    <n v="0"/>
    <n v="3653672.77"/>
  </r>
  <r>
    <n v="869"/>
    <s v="Khatau &amp; Sons"/>
    <s v="SUNDRY CREDITORS (Spice)"/>
    <x v="1"/>
    <x v="1"/>
    <m/>
    <x v="4"/>
    <m/>
    <n v="-2065"/>
    <n v="3319"/>
    <n v="1254"/>
    <n v="0"/>
  </r>
  <r>
    <n v="870"/>
    <s v="LABOUR JOB EXP (SPICE) - 18%"/>
    <s v="Vashi Expense"/>
    <x v="2"/>
    <x v="3"/>
    <s v="Labour charges"/>
    <x v="4"/>
    <m/>
    <n v="0"/>
    <n v="260000"/>
    <n v="0"/>
    <n v="260000"/>
  </r>
  <r>
    <n v="871"/>
    <s v="MADHUSUDHANAN S.M. EXPORTS IMPORTS CONSULTANCY"/>
    <s v="SUNDRY CREDITORS (Spice)"/>
    <x v="1"/>
    <x v="1"/>
    <m/>
    <x v="4"/>
    <m/>
    <n v="-30377"/>
    <n v="23375"/>
    <n v="0"/>
    <n v="-7002"/>
  </r>
  <r>
    <n v="872"/>
    <s v="Navkar Enterprise"/>
    <s v="Sundry Creditors (Transports/Logistics)"/>
    <x v="1"/>
    <x v="1"/>
    <m/>
    <x v="1"/>
    <m/>
    <n v="0"/>
    <n v="306800"/>
    <n v="306800"/>
    <n v="0"/>
  </r>
  <r>
    <n v="873"/>
    <s v="PACK SEALS INDUSTRIES"/>
    <s v="Sundry Creditors (Transports/Logistics)"/>
    <x v="1"/>
    <x v="1"/>
    <m/>
    <x v="1"/>
    <m/>
    <n v="0"/>
    <n v="0"/>
    <n v="0"/>
    <n v="0"/>
  </r>
  <r>
    <n v="874"/>
    <s v="Patel Retail Limited"/>
    <s v="SUNDRY CREDITORS (Spice)"/>
    <x v="1"/>
    <x v="1"/>
    <m/>
    <x v="4"/>
    <m/>
    <n v="-50000"/>
    <n v="0"/>
    <n v="0"/>
    <n v="-50000"/>
  </r>
  <r>
    <n v="875"/>
    <s v="Professional Charges (Spice)"/>
    <s v="SPICE EXPENSE"/>
    <x v="2"/>
    <x v="3"/>
    <s v="Professional charges"/>
    <x v="8"/>
    <m/>
    <n v="0"/>
    <n v="0"/>
    <n v="0"/>
    <n v="0"/>
  </r>
  <r>
    <n v="876"/>
    <s v="Professional Fees - 18% (Spice)"/>
    <s v="Vashi Expense"/>
    <x v="2"/>
    <x v="3"/>
    <s v="Professional charges"/>
    <x v="8"/>
    <m/>
    <n v="0"/>
    <n v="0"/>
    <n v="0"/>
    <n v="0"/>
  </r>
  <r>
    <n v="877"/>
    <s v="Ramdas Sales India Private Limited"/>
    <s v="Sundry Debtors"/>
    <x v="1"/>
    <x v="2"/>
    <m/>
    <x v="1"/>
    <m/>
    <n v="0"/>
    <n v="0"/>
    <n v="0"/>
    <n v="0"/>
  </r>
  <r>
    <n v="878"/>
    <s v="Reimbursement-Spice"/>
    <s v="SPICE EXPENSE"/>
    <x v="2"/>
    <x v="3"/>
    <s v="Travelling expenses"/>
    <x v="4"/>
    <m/>
    <n v="0"/>
    <n v="0"/>
    <n v="0"/>
    <n v="0"/>
  </r>
  <r>
    <n v="879"/>
    <s v="Repair &amp; Maintenance - URD (Office)"/>
    <s v="OFFICE EXPENSE"/>
    <x v="2"/>
    <x v="3"/>
    <s v="Repairs &amp; maintenance expenses"/>
    <x v="1"/>
    <m/>
    <n v="0"/>
    <n v="0"/>
    <n v="0"/>
    <n v="0"/>
  </r>
  <r>
    <n v="880"/>
    <s v="Sahebjee Enterprises"/>
    <s v="Sundry Creditors (Transports/Logistics)"/>
    <x v="1"/>
    <x v="1"/>
    <m/>
    <x v="1"/>
    <m/>
    <n v="-79006"/>
    <n v="161922"/>
    <n v="82916"/>
    <n v="0"/>
  </r>
  <r>
    <n v="881"/>
    <s v="Samkit Advertising"/>
    <s v="Sundry Creditors"/>
    <x v="1"/>
    <x v="1"/>
    <m/>
    <x v="1"/>
    <m/>
    <n v="0"/>
    <n v="0"/>
    <n v="0"/>
    <n v="0"/>
  </r>
  <r>
    <n v="882"/>
    <s v="Shree Bhagwati Agro Process"/>
    <s v="SUNDRY CREDITORS (Spice)"/>
    <x v="1"/>
    <x v="1"/>
    <m/>
    <x v="4"/>
    <m/>
    <n v="-161460"/>
    <n v="161460"/>
    <n v="2146725"/>
    <n v="-2146725"/>
  </r>
  <r>
    <n v="883"/>
    <s v="SHRI RAM TRANSPORT"/>
    <s v="SUNDRY CREDITORS (Spice)"/>
    <x v="1"/>
    <x v="1"/>
    <m/>
    <x v="4"/>
    <m/>
    <n v="-7600"/>
    <n v="7600"/>
    <n v="0"/>
    <n v="0"/>
  </r>
  <r>
    <n v="884"/>
    <s v="SIDDHIVINAYAK TRANSPORT"/>
    <s v="Sundry Creditors (Transports/Logistics)"/>
    <x v="1"/>
    <x v="1"/>
    <m/>
    <x v="1"/>
    <m/>
    <n v="-20900"/>
    <n v="20900"/>
    <n v="0"/>
    <n v="0"/>
  </r>
  <r>
    <n v="885"/>
    <s v="Sk India Marine Services"/>
    <s v="SUNDRY CREDITORS (Spice)"/>
    <x v="1"/>
    <x v="1"/>
    <m/>
    <x v="4"/>
    <m/>
    <n v="-318718"/>
    <n v="318718"/>
    <n v="0"/>
    <n v="0"/>
  </r>
  <r>
    <n v="886"/>
    <s v="Sme Industrial Consulting"/>
    <s v="SUNDRY CREDITORS (Spice)"/>
    <x v="1"/>
    <x v="1"/>
    <m/>
    <x v="4"/>
    <m/>
    <n v="0"/>
    <n v="0"/>
    <n v="0"/>
    <n v="0"/>
  </r>
  <r>
    <n v="887"/>
    <s v="Sunil D&quot;souza (Ramdas)"/>
    <s v="Sundry Creditors for (OFFICE)"/>
    <x v="1"/>
    <x v="1"/>
    <m/>
    <x v="1"/>
    <m/>
    <n v="12000"/>
    <n v="0"/>
    <n v="0"/>
    <n v="12000"/>
  </r>
  <r>
    <n v="888"/>
    <s v="Sunshine Marketing"/>
    <s v="SUNDRY CREDITORS (Spice)"/>
    <x v="1"/>
    <x v="1"/>
    <m/>
    <x v="4"/>
    <m/>
    <n v="0"/>
    <n v="0"/>
    <n v="0"/>
    <n v="0"/>
  </r>
  <r>
    <n v="889"/>
    <s v="SYARIKAT KILANG REMPA JAYA SAKTI SDN. BHD.(173890-M)"/>
    <s v="Sundry Debtors Spice"/>
    <x v="1"/>
    <x v="2"/>
    <m/>
    <x v="4"/>
    <m/>
    <n v="3132635"/>
    <n v="0"/>
    <n v="3073698.36"/>
    <n v="58936.639999999999"/>
  </r>
  <r>
    <n v="890"/>
    <s v="Taj Trading Company"/>
    <s v="Sundry Creditors"/>
    <x v="1"/>
    <x v="1"/>
    <m/>
    <x v="1"/>
    <m/>
    <n v="0"/>
    <n v="3108269"/>
    <n v="3108269"/>
    <n v="0"/>
  </r>
  <r>
    <n v="891"/>
    <s v="Trade Discount on Sales - Spice"/>
    <s v="Sales Spice"/>
    <x v="2"/>
    <x v="6"/>
    <s v="Sales"/>
    <x v="4"/>
    <m/>
    <n v="0"/>
    <n v="17872.03"/>
    <n v="0"/>
    <n v="17872.03"/>
  </r>
  <r>
    <n v="892"/>
    <s v="TRANSPORT CHARGES IT"/>
    <s v="IT EXPENSE"/>
    <x v="2"/>
    <x v="3"/>
    <s v="Transportation"/>
    <x v="3"/>
    <m/>
    <n v="0"/>
    <n v="0"/>
    <n v="0"/>
    <n v="0"/>
  </r>
  <r>
    <n v="893"/>
    <s v="TRAVELLING EXP (Spice)"/>
    <s v="SPICE EXPENSE"/>
    <x v="2"/>
    <x v="3"/>
    <s v="Travelling expenses"/>
    <x v="4"/>
    <m/>
    <n v="0"/>
    <n v="0"/>
    <n v="0"/>
    <n v="0"/>
  </r>
  <r>
    <n v="894"/>
    <s v="TRAVELLING EXP (TAXI)"/>
    <s v="Indirect Expenses"/>
    <x v="2"/>
    <x v="3"/>
    <s v="Travelling expenses"/>
    <x v="1"/>
    <m/>
    <n v="0"/>
    <n v="0"/>
    <n v="0"/>
    <n v="0"/>
  </r>
  <r>
    <n v="895"/>
    <s v="Vardhman Natural Ingredients Private Limited"/>
    <s v="SUNDRY CREDITORS (Spice)"/>
    <x v="1"/>
    <x v="1"/>
    <m/>
    <x v="4"/>
    <m/>
    <n v="-1596000"/>
    <n v="3066000"/>
    <n v="1470000"/>
    <n v="0"/>
  </r>
  <r>
    <n v="896"/>
    <s v="Vijay Traders"/>
    <s v="SUNDRY CREDITORS (Spice)"/>
    <x v="1"/>
    <x v="1"/>
    <m/>
    <x v="4"/>
    <m/>
    <n v="0"/>
    <n v="0"/>
    <n v="0"/>
    <n v="0"/>
  </r>
  <r>
    <n v="897"/>
    <s v="24 DIGITAL INDIA"/>
    <s v="Sundry Creditors for (OFFICE)"/>
    <x v="1"/>
    <x v="1"/>
    <m/>
    <x v="1"/>
    <m/>
    <n v="0"/>
    <n v="35400"/>
    <n v="35400"/>
    <n v="0"/>
  </r>
  <r>
    <n v="898"/>
    <s v="A4 Novajet Mpl 02"/>
    <s v="Printing And Stationery A/c"/>
    <x v="2"/>
    <x v="3"/>
    <s v="Printing &amp; Stationery"/>
    <x v="1"/>
    <m/>
    <n v="0"/>
    <n v="0"/>
    <n v="0"/>
    <n v="0"/>
  </r>
  <r>
    <n v="899"/>
    <s v="ASHOK SHIVAJIRAO JADHAV"/>
    <s v="SUNDRY CREDITORS (Spice)"/>
    <x v="1"/>
    <x v="1"/>
    <m/>
    <x v="4"/>
    <m/>
    <n v="0"/>
    <n v="0"/>
    <n v="0"/>
    <n v="0"/>
  </r>
  <r>
    <n v="900"/>
    <s v="BANK CHARGES 18% (Spice)"/>
    <s v="SPICE EXPENSE"/>
    <x v="2"/>
    <x v="3"/>
    <s v="Bank charges"/>
    <x v="4"/>
    <m/>
    <n v="0"/>
    <n v="1817.7"/>
    <n v="0"/>
    <n v="1817.7"/>
  </r>
  <r>
    <n v="901"/>
    <s v="Bhavyaa Solutions Llp"/>
    <s v="SUNDRY CREDITORS (Spice)"/>
    <x v="1"/>
    <x v="1"/>
    <m/>
    <x v="4"/>
    <m/>
    <n v="0"/>
    <n v="15930"/>
    <n v="15930"/>
    <n v="0"/>
  </r>
  <r>
    <n v="902"/>
    <s v="Bhoir Stationary"/>
    <s v="Sundry Creditors for (OFFICE)"/>
    <x v="1"/>
    <x v="1"/>
    <m/>
    <x v="1"/>
    <m/>
    <n v="0"/>
    <n v="5999"/>
    <n v="5999"/>
    <n v="0"/>
  </r>
  <r>
    <n v="903"/>
    <s v="Bunker Recovery Charges (Spice)"/>
    <s v="SPICE EXPENSE"/>
    <x v="2"/>
    <x v="3"/>
    <s v="Port Expenses"/>
    <x v="4"/>
    <m/>
    <n v="0"/>
    <n v="52754.94"/>
    <n v="0"/>
    <n v="52754.94"/>
  </r>
  <r>
    <n v="904"/>
    <s v="Bunker Surcharge (Spice)"/>
    <s v="SPICE EXPENSE"/>
    <x v="2"/>
    <x v="3"/>
    <s v="Port Expenses"/>
    <x v="4"/>
    <m/>
    <n v="0"/>
    <n v="12203.1"/>
    <n v="0"/>
    <n v="12203.1"/>
  </r>
  <r>
    <n v="905"/>
    <s v="CARICO SHIPPING PVT LTD"/>
    <s v="SUNDRY CREDITORS (IT)"/>
    <x v="1"/>
    <x v="1"/>
    <m/>
    <x v="3"/>
    <m/>
    <n v="0"/>
    <n v="220301"/>
    <n v="0"/>
    <n v="220301"/>
  </r>
  <r>
    <n v="906"/>
    <s v="CONSULTANT FEE @18%"/>
    <s v="Direct Incomes"/>
    <x v="0"/>
    <x v="0"/>
    <m/>
    <x v="0"/>
    <m/>
    <n v="0"/>
    <n v="3500000"/>
    <n v="3500000"/>
    <n v="0"/>
  </r>
  <r>
    <n v="907"/>
    <s v="Dagha Sales"/>
    <s v="Sundry Creditors for (OFFICE)"/>
    <x v="1"/>
    <x v="1"/>
    <m/>
    <x v="1"/>
    <m/>
    <n v="0"/>
    <n v="3894"/>
    <n v="3894"/>
    <n v="0"/>
  </r>
  <r>
    <n v="908"/>
    <s v="Detention Fee Charge (Spice)_"/>
    <s v="SPICE EXPENSE"/>
    <x v="2"/>
    <x v="3"/>
    <s v="Port Expenses"/>
    <x v="4"/>
    <m/>
    <n v="0"/>
    <n v="14008.5"/>
    <n v="0"/>
    <n v="14008.5"/>
  </r>
  <r>
    <n v="909"/>
    <s v="Devanshi Shipping Agency Private Limited"/>
    <s v="SUNDRY CREDITORS (Spice)"/>
    <x v="1"/>
    <x v="1"/>
    <m/>
    <x v="4"/>
    <m/>
    <n v="-108055"/>
    <n v="108055"/>
    <n v="0"/>
    <n v="0"/>
  </r>
  <r>
    <n v="910"/>
    <s v="DHL"/>
    <s v="Sundry Creditors for (OFFICE)"/>
    <x v="1"/>
    <x v="1"/>
    <m/>
    <x v="1"/>
    <m/>
    <n v="0"/>
    <n v="10460"/>
    <n v="10460"/>
    <n v="0"/>
  </r>
  <r>
    <n v="911"/>
    <s v="Discount"/>
    <s v="COMMON EXPENSE"/>
    <x v="2"/>
    <x v="3"/>
    <s v="Misc Expenses"/>
    <x v="1"/>
    <m/>
    <n v="0"/>
    <n v="0"/>
    <n v="0"/>
    <n v="0"/>
  </r>
  <r>
    <n v="912"/>
    <s v="EMPTY CONTAINER PICK UP CHARGES-SPICE"/>
    <s v="SPICE EXPENSE"/>
    <x v="2"/>
    <x v="3"/>
    <s v="Port Expenses"/>
    <x v="4"/>
    <m/>
    <n v="0"/>
    <n v="3540"/>
    <n v="0"/>
    <n v="3540"/>
  </r>
  <r>
    <n v="913"/>
    <s v="ETS Charge"/>
    <s v="SPICE EXPENSE"/>
    <x v="2"/>
    <x v="3"/>
    <s v="Port Expenses"/>
    <x v="4"/>
    <m/>
    <n v="0"/>
    <n v="15961.22"/>
    <n v="0"/>
    <n v="15961.22"/>
  </r>
  <r>
    <n v="914"/>
    <s v="Exhibtion Income"/>
    <s v="Direct Incomes"/>
    <x v="2"/>
    <x v="5"/>
    <m/>
    <x v="8"/>
    <m/>
    <n v="0"/>
    <n v="0"/>
    <n v="200000"/>
    <n v="-200000"/>
  </r>
  <r>
    <n v="915"/>
    <s v="Export Serenity Container Gurantee Charge (Spice)"/>
    <s v="SPICE EXPENSE"/>
    <x v="2"/>
    <x v="3"/>
    <s v="Port Expenses"/>
    <x v="4"/>
    <m/>
    <n v="0"/>
    <n v="4784.1899999999996"/>
    <n v="0"/>
    <n v="4784.1899999999996"/>
  </r>
  <r>
    <n v="916"/>
    <s v="Falguni Mehta-Vashi Warehouse Deposit"/>
    <s v="Current Assets"/>
    <x v="0"/>
    <x v="0"/>
    <m/>
    <x v="0"/>
    <m/>
    <n v="100000"/>
    <n v="0"/>
    <n v="0"/>
    <n v="100000"/>
  </r>
  <r>
    <n v="917"/>
    <s v="Faya Traders"/>
    <s v="SUNDRY CREDITORS (Spice)"/>
    <x v="1"/>
    <x v="1"/>
    <m/>
    <x v="4"/>
    <m/>
    <n v="-339916"/>
    <n v="339916"/>
    <n v="684600"/>
    <n v="-684600"/>
  </r>
  <r>
    <n v="918"/>
    <s v="FD WITH ICICI BANK FD NO-034813016830"/>
    <s v="FDR WITH ICICI BANK"/>
    <x v="0"/>
    <x v="0"/>
    <m/>
    <x v="0"/>
    <m/>
    <n v="0"/>
    <n v="5000000"/>
    <n v="0"/>
    <n v="5000000"/>
  </r>
  <r>
    <n v="919"/>
    <s v="FD WITH ICICI BANK FD NO-034813016831"/>
    <s v="FDR WITH ICICI BANK"/>
    <x v="0"/>
    <x v="0"/>
    <m/>
    <x v="0"/>
    <m/>
    <n v="0"/>
    <n v="5000000"/>
    <n v="0"/>
    <n v="5000000"/>
  </r>
  <r>
    <n v="920"/>
    <s v="FD WITH ICICI BANK FD NO-034813016832"/>
    <s v="FDR WITH ICICI BANK"/>
    <x v="0"/>
    <x v="0"/>
    <m/>
    <x v="0"/>
    <m/>
    <n v="0"/>
    <n v="5000000"/>
    <n v="0"/>
    <n v="5000000"/>
  </r>
  <r>
    <n v="921"/>
    <s v="FD WITH ICICI BANK FD NO-034813016833"/>
    <s v="FDR WITH ICICI BANK"/>
    <x v="0"/>
    <x v="0"/>
    <m/>
    <x v="0"/>
    <m/>
    <n v="0"/>
    <n v="5000000"/>
    <n v="446098.28"/>
    <n v="4553901.72"/>
  </r>
  <r>
    <n v="922"/>
    <s v="FD WITH ICICI BANK FD NO-034813016839"/>
    <s v="FDR WITH ICICI BANK"/>
    <x v="0"/>
    <x v="0"/>
    <m/>
    <x v="0"/>
    <m/>
    <n v="0"/>
    <n v="5000000"/>
    <n v="5000000"/>
    <n v="0"/>
  </r>
  <r>
    <n v="923"/>
    <s v="Hec Enviro (India) Private Limited"/>
    <s v="Sundry Debtors"/>
    <x v="1"/>
    <x v="2"/>
    <m/>
    <x v="1"/>
    <m/>
    <n v="0"/>
    <n v="4130000"/>
    <n v="4130000"/>
    <n v="0"/>
  </r>
  <r>
    <n v="924"/>
    <s v="ICICI Bank Forex Card-New 4065 8357 0248 8126"/>
    <s v="Sundry Creditors for (OFFICE)"/>
    <x v="1"/>
    <x v="1"/>
    <m/>
    <x v="1"/>
    <m/>
    <n v="461145"/>
    <n v="0"/>
    <n v="86308.03"/>
    <n v="374836.97"/>
  </r>
  <r>
    <n v="925"/>
    <s v="Indian Oilseed And Produce Export Promotional Concil"/>
    <s v="SUNDRY CREDITORS (Spice)"/>
    <x v="1"/>
    <x v="1"/>
    <m/>
    <x v="4"/>
    <m/>
    <n v="0"/>
    <n v="0"/>
    <n v="0"/>
    <n v="0"/>
  </r>
  <r>
    <n v="926"/>
    <s v="Integrity Speciality Private Limited"/>
    <s v="Sundry Debtors"/>
    <x v="1"/>
    <x v="2"/>
    <m/>
    <x v="1"/>
    <m/>
    <n v="0"/>
    <n v="2360000"/>
    <n v="2360000"/>
    <n v="0"/>
  </r>
  <r>
    <n v="927"/>
    <s v="Interest Payable"/>
    <s v="COMMON EXPENSE"/>
    <x v="2"/>
    <x v="3"/>
    <s v="Interest expense"/>
    <x v="1"/>
    <m/>
    <n v="0"/>
    <n v="2632602"/>
    <n v="0"/>
    <n v="2632602"/>
  </r>
  <r>
    <n v="928"/>
    <s v="Isps Charge (Spice)"/>
    <s v="SPICE EXPENSE"/>
    <x v="2"/>
    <x v="3"/>
    <s v="Port Expenses"/>
    <x v="4"/>
    <m/>
    <n v="0"/>
    <n v="4609.25"/>
    <n v="0"/>
    <n v="4609.25"/>
  </r>
  <r>
    <n v="929"/>
    <s v="JD Healthcare"/>
    <s v="Sundry Debtors"/>
    <x v="1"/>
    <x v="2"/>
    <m/>
    <x v="1"/>
    <m/>
    <n v="0"/>
    <n v="14160000"/>
    <n v="14160000"/>
    <n v="0"/>
  </r>
  <r>
    <n v="930"/>
    <s v="Jimmy &amp; Sons Foods Llp"/>
    <s v="SUNDRY CREDITORS (Spice)"/>
    <x v="1"/>
    <x v="1"/>
    <m/>
    <x v="4"/>
    <m/>
    <n v="0"/>
    <n v="11930100"/>
    <n v="11930100"/>
    <n v="0"/>
  </r>
  <r>
    <n v="931"/>
    <s v="LIC Policy  No. 908465361"/>
    <s v="Investments"/>
    <x v="0"/>
    <x v="0"/>
    <m/>
    <x v="0"/>
    <m/>
    <n v="0"/>
    <n v="0"/>
    <n v="0"/>
    <n v="0"/>
  </r>
  <r>
    <n v="932"/>
    <s v="Lic Policy No.908465418"/>
    <s v="Investments"/>
    <x v="0"/>
    <x v="0"/>
    <m/>
    <x v="0"/>
    <m/>
    <n v="0"/>
    <n v="0"/>
    <n v="0"/>
    <n v="0"/>
  </r>
  <r>
    <n v="933"/>
    <s v="Liner Out Expense (Spice)"/>
    <s v="SPICE EXPENSE"/>
    <x v="2"/>
    <x v="3"/>
    <s v="Port Expenses"/>
    <x v="4"/>
    <m/>
    <n v="0"/>
    <n v="8851.94"/>
    <n v="0"/>
    <n v="8851.94"/>
  </r>
  <r>
    <n v="934"/>
    <s v="Manifest Charge (Spice)"/>
    <s v="SPICE EXPENSE"/>
    <x v="2"/>
    <x v="3"/>
    <s v="Port Expenses"/>
    <x v="4"/>
    <m/>
    <n v="0"/>
    <n v="2565.1999999999998"/>
    <n v="0"/>
    <n v="2565.1999999999998"/>
  </r>
  <r>
    <n v="935"/>
    <s v="Mitt Agro Private Limited"/>
    <s v="SUNDRY CREDITORS (Spice)"/>
    <x v="1"/>
    <x v="1"/>
    <m/>
    <x v="4"/>
    <m/>
    <n v="-20244"/>
    <n v="20244"/>
    <n v="0"/>
    <n v="0"/>
  </r>
  <r>
    <n v="936"/>
    <s v="MMK SPICES SDN BHD"/>
    <s v="Sundry Debtors Spice"/>
    <x v="1"/>
    <x v="2"/>
    <m/>
    <x v="4"/>
    <m/>
    <n v="0"/>
    <n v="9601691"/>
    <n v="0"/>
    <n v="9601691"/>
  </r>
  <r>
    <n v="937"/>
    <s v="Mohananand Trading Company"/>
    <s v="SUNDRY CREDITORS (Spice)"/>
    <x v="1"/>
    <x v="1"/>
    <m/>
    <x v="4"/>
    <m/>
    <n v="0"/>
    <n v="1512000"/>
    <n v="1512000"/>
    <n v="0"/>
  </r>
  <r>
    <n v="938"/>
    <s v="MWAFAQ FOR CLEARANCE"/>
    <s v="Sundry Debtors Spice"/>
    <x v="1"/>
    <x v="2"/>
    <m/>
    <x v="4"/>
    <m/>
    <n v="0"/>
    <n v="3250967"/>
    <n v="0"/>
    <n v="3250967"/>
  </r>
  <r>
    <n v="939"/>
    <s v="NAJMAT AL MEEZAN FOODSTUFF TRADING LLC"/>
    <s v="Sundry Debtor Export"/>
    <x v="1"/>
    <x v="2"/>
    <m/>
    <x v="3"/>
    <m/>
    <n v="0"/>
    <n v="4565399"/>
    <n v="0"/>
    <n v="4565399"/>
  </r>
  <r>
    <n v="940"/>
    <s v="PARKING CHARGES-SPICE"/>
    <s v="SPICE EXPENSE"/>
    <x v="2"/>
    <x v="3"/>
    <s v="Port Expenses"/>
    <x v="4"/>
    <m/>
    <n v="0"/>
    <n v="1242"/>
    <n v="0"/>
    <n v="1242"/>
  </r>
  <r>
    <n v="941"/>
    <s v="Printing &amp; Stationery (18%) - Spice Expense"/>
    <s v="SPICE EXPENSE"/>
    <x v="2"/>
    <x v="3"/>
    <s v="Printing &amp; Stationery"/>
    <x v="4"/>
    <m/>
    <n v="0"/>
    <n v="25257"/>
    <n v="0"/>
    <n v="25257"/>
  </r>
  <r>
    <n v="942"/>
    <s v="RAFIATOU ADUNI DJIMAH"/>
    <s v="Sundry Debtors Spice"/>
    <x v="1"/>
    <x v="2"/>
    <m/>
    <x v="4"/>
    <m/>
    <n v="0"/>
    <n v="3425069"/>
    <n v="677408.8"/>
    <n v="2747660.2"/>
  </r>
  <r>
    <n v="943"/>
    <s v="Rajau Agro Foods Private Limited"/>
    <s v="SUNDRY CREDITORS (Spice)"/>
    <x v="1"/>
    <x v="1"/>
    <m/>
    <x v="4"/>
    <m/>
    <n v="50000"/>
    <n v="100000"/>
    <n v="0"/>
    <n v="150000"/>
  </r>
  <r>
    <n v="944"/>
    <s v="RV Healthcare"/>
    <s v="Sundry Debtors"/>
    <x v="1"/>
    <x v="2"/>
    <m/>
    <x v="1"/>
    <m/>
    <n v="0"/>
    <n v="3540000"/>
    <n v="3540000"/>
    <n v="0"/>
  </r>
  <r>
    <n v="945"/>
    <s v="Sanmati Traders"/>
    <s v="SUNDRY CREDITORS (Spice)"/>
    <x v="1"/>
    <x v="1"/>
    <m/>
    <x v="4"/>
    <m/>
    <n v="0"/>
    <n v="257250"/>
    <n v="257250"/>
    <n v="0"/>
  </r>
  <r>
    <n v="946"/>
    <s v="SARL SOMIDOTO IMPORT EXPORT"/>
    <s v="Sundry Debtors Spice"/>
    <x v="1"/>
    <x v="2"/>
    <m/>
    <x v="4"/>
    <m/>
    <n v="0"/>
    <n v="2612131"/>
    <n v="0"/>
    <n v="2612131"/>
  </r>
  <r>
    <n v="947"/>
    <s v="SHREE SAMARTH FREIGHT"/>
    <s v="Sundry Creditors (Transports/Logistics)"/>
    <x v="1"/>
    <x v="1"/>
    <m/>
    <x v="1"/>
    <m/>
    <n v="0"/>
    <n v="91382"/>
    <n v="91382"/>
    <n v="0"/>
  </r>
  <r>
    <n v="948"/>
    <s v="SHRI BALIRAJA TRADING COMPANY"/>
    <s v="SUNDRY CREDITORS (Spice)"/>
    <x v="1"/>
    <x v="1"/>
    <m/>
    <x v="4"/>
    <m/>
    <n v="0"/>
    <n v="3912300"/>
    <n v="3912300"/>
    <n v="0"/>
  </r>
  <r>
    <n v="949"/>
    <s v="Sky Land Courier"/>
    <s v="SUNDRY CREDITORS (Spice)"/>
    <x v="1"/>
    <x v="1"/>
    <m/>
    <x v="4"/>
    <m/>
    <n v="-5983"/>
    <n v="22780"/>
    <n v="16797"/>
    <n v="0"/>
  </r>
  <r>
    <n v="950"/>
    <s v="TATA AIG Travel Insurance"/>
    <s v="Sundry Creditors for (Expenses)"/>
    <x v="1"/>
    <x v="1"/>
    <m/>
    <x v="1"/>
    <m/>
    <n v="0"/>
    <n v="0"/>
    <n v="3506"/>
    <n v="-3506"/>
  </r>
  <r>
    <n v="951"/>
    <s v="TDS On Loan Interest 194A"/>
    <s v="Duties &amp; Taxes"/>
    <x v="0"/>
    <x v="0"/>
    <m/>
    <x v="0"/>
    <m/>
    <n v="0"/>
    <n v="263263"/>
    <n v="263263"/>
    <n v="0"/>
  </r>
  <r>
    <n v="952"/>
    <s v="TORONTO CITY GENERAL TRADING LLC"/>
    <s v="Sundry Debtor Export"/>
    <x v="1"/>
    <x v="2"/>
    <m/>
    <x v="3"/>
    <m/>
    <n v="0"/>
    <n v="13881504"/>
    <n v="6940752"/>
    <n v="6940752"/>
  </r>
  <r>
    <n v="953"/>
    <s v="WEIGHTMENT CHARGES-SPICE"/>
    <s v="SPICE EXPENSE"/>
    <x v="2"/>
    <x v="3"/>
    <s v="Port Expenses"/>
    <x v="4"/>
    <m/>
    <n v="0"/>
    <n v="2000"/>
    <n v="0"/>
    <n v="2000"/>
  </r>
  <r>
    <n v="954"/>
    <s v="WRS Charges (Spice)"/>
    <s v="SPICE EXPENSE"/>
    <x v="2"/>
    <x v="3"/>
    <s v="Port Expenses"/>
    <x v="4"/>
    <m/>
    <n v="0"/>
    <n v="281610"/>
    <n v="0"/>
    <n v="281610"/>
  </r>
  <r>
    <n v="955"/>
    <s v="Yan Industries"/>
    <s v="Sundry Creditors for (OFFICE)"/>
    <x v="1"/>
    <x v="1"/>
    <m/>
    <x v="1"/>
    <m/>
    <n v="0"/>
    <n v="0"/>
    <n v="19517"/>
    <n v="-19517"/>
  </r>
  <r>
    <n v="956"/>
    <s v="Zubin's Royal Fleet"/>
    <s v="Sundry Creditors (Transports/Logistics)"/>
    <x v="1"/>
    <x v="1"/>
    <m/>
    <x v="1"/>
    <m/>
    <n v="0"/>
    <n v="13351"/>
    <n v="1335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n v="0"/>
    <n v="0"/>
    <n v="0"/>
    <n v="0"/>
  </r>
  <r>
    <x v="0"/>
    <n v="0"/>
    <n v="0"/>
    <n v="0"/>
    <n v="0"/>
  </r>
  <r>
    <x v="0"/>
    <n v="79762.52"/>
    <n v="0"/>
    <n v="0"/>
    <n v="79762.52"/>
  </r>
  <r>
    <x v="0"/>
    <n v="0"/>
    <n v="0"/>
    <n v="0"/>
    <n v="0"/>
  </r>
  <r>
    <x v="0"/>
    <n v="0"/>
    <n v="0"/>
    <n v="0"/>
    <n v="0"/>
  </r>
  <r>
    <x v="1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1"/>
    <n v="0"/>
    <n v="0"/>
    <n v="0"/>
    <n v="0"/>
  </r>
  <r>
    <x v="1"/>
    <n v="-229554.44"/>
    <n v="5000"/>
    <n v="38553"/>
    <n v="-263107.44"/>
  </r>
  <r>
    <x v="0"/>
    <n v="0"/>
    <n v="0"/>
    <n v="0"/>
    <n v="0"/>
  </r>
  <r>
    <x v="1"/>
    <n v="0"/>
    <n v="0"/>
    <n v="0"/>
    <n v="0"/>
  </r>
  <r>
    <x v="0"/>
    <n v="0"/>
    <n v="0"/>
    <n v="0"/>
    <n v="0"/>
  </r>
  <r>
    <x v="1"/>
    <n v="0"/>
    <n v="0"/>
    <n v="0"/>
    <n v="0"/>
  </r>
  <r>
    <x v="2"/>
    <n v="38958814"/>
    <n v="0"/>
    <n v="33921159.170000002"/>
    <n v="5037654.83"/>
  </r>
  <r>
    <x v="0"/>
    <n v="-1768"/>
    <n v="0"/>
    <n v="0"/>
    <n v="-1768"/>
  </r>
  <r>
    <x v="0"/>
    <n v="26597"/>
    <n v="0"/>
    <n v="0"/>
    <n v="26597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1"/>
    <n v="0"/>
    <n v="0"/>
    <n v="0"/>
    <n v="0"/>
  </r>
  <r>
    <x v="0"/>
    <n v="0"/>
    <n v="0"/>
    <n v="0"/>
    <n v="0"/>
  </r>
  <r>
    <x v="1"/>
    <n v="0"/>
    <n v="0"/>
    <n v="0"/>
    <n v="0"/>
  </r>
  <r>
    <x v="1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3"/>
    <n v="0"/>
    <n v="0"/>
    <n v="0"/>
    <n v="0"/>
  </r>
  <r>
    <x v="0"/>
    <n v="0"/>
    <n v="0"/>
    <n v="0"/>
    <n v="0"/>
  </r>
  <r>
    <x v="0"/>
    <n v="90097"/>
    <n v="0"/>
    <n v="0"/>
    <n v="90097"/>
  </r>
  <r>
    <x v="0"/>
    <n v="-12803"/>
    <n v="0"/>
    <n v="0"/>
    <n v="-12803"/>
  </r>
  <r>
    <x v="0"/>
    <n v="0"/>
    <n v="0"/>
    <n v="0"/>
    <n v="0"/>
  </r>
  <r>
    <x v="0"/>
    <n v="10201.6"/>
    <n v="0"/>
    <n v="0"/>
    <n v="10201.6"/>
  </r>
  <r>
    <x v="0"/>
    <n v="6254"/>
    <n v="0"/>
    <n v="0"/>
    <n v="6254"/>
  </r>
  <r>
    <x v="0"/>
    <n v="0"/>
    <n v="0"/>
    <n v="0"/>
    <n v="0"/>
  </r>
  <r>
    <x v="1"/>
    <n v="0"/>
    <n v="0"/>
    <n v="0"/>
    <n v="0"/>
  </r>
  <r>
    <x v="3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39766"/>
    <n v="0"/>
    <n v="0"/>
    <n v="39766"/>
  </r>
  <r>
    <x v="1"/>
    <n v="0"/>
    <n v="0"/>
    <n v="0"/>
    <n v="0"/>
  </r>
  <r>
    <x v="0"/>
    <n v="0"/>
    <n v="0"/>
    <n v="0"/>
    <n v="0"/>
  </r>
  <r>
    <x v="0"/>
    <n v="0"/>
    <n v="0"/>
    <n v="0"/>
    <n v="0"/>
  </r>
  <r>
    <x v="0"/>
    <n v="-474"/>
    <n v="0"/>
    <n v="0"/>
    <n v="-474"/>
  </r>
  <r>
    <x v="1"/>
    <n v="0"/>
    <n v="0"/>
    <n v="0"/>
    <n v="0"/>
  </r>
  <r>
    <x v="1"/>
    <n v="300"/>
    <n v="0"/>
    <n v="0"/>
    <n v="300"/>
  </r>
  <r>
    <x v="1"/>
    <n v="0"/>
    <n v="0"/>
    <n v="0"/>
    <n v="0"/>
  </r>
  <r>
    <x v="1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1821"/>
    <n v="0"/>
    <n v="0"/>
    <n v="1821"/>
  </r>
  <r>
    <x v="0"/>
    <n v="0"/>
    <n v="0"/>
    <n v="0"/>
    <n v="0"/>
  </r>
  <r>
    <x v="0"/>
    <n v="0"/>
    <n v="0"/>
    <n v="0"/>
    <n v="0"/>
  </r>
  <r>
    <x v="1"/>
    <n v="0"/>
    <n v="0"/>
    <n v="0"/>
    <n v="0"/>
  </r>
  <r>
    <x v="0"/>
    <n v="0"/>
    <n v="0"/>
    <n v="0"/>
    <n v="0"/>
  </r>
  <r>
    <x v="1"/>
    <n v="0"/>
    <n v="0"/>
    <n v="0"/>
    <n v="0"/>
  </r>
  <r>
    <x v="0"/>
    <n v="0"/>
    <n v="0"/>
    <n v="0"/>
    <n v="0"/>
  </r>
  <r>
    <x v="0"/>
    <n v="17420"/>
    <n v="0"/>
    <n v="0"/>
    <n v="17420"/>
  </r>
  <r>
    <x v="0"/>
    <n v="0"/>
    <n v="0"/>
    <n v="0"/>
    <n v="0"/>
  </r>
  <r>
    <x v="0"/>
    <n v="0"/>
    <n v="0"/>
    <n v="0"/>
    <n v="0"/>
  </r>
  <r>
    <x v="1"/>
    <n v="999.87"/>
    <n v="0"/>
    <n v="0"/>
    <n v="999.87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51094"/>
    <n v="0"/>
    <n v="0"/>
    <n v="51094"/>
  </r>
  <r>
    <x v="1"/>
    <n v="0"/>
    <n v="0"/>
    <n v="0"/>
    <n v="0"/>
  </r>
  <r>
    <x v="0"/>
    <n v="0"/>
    <n v="0"/>
    <n v="0"/>
    <n v="0"/>
  </r>
  <r>
    <x v="1"/>
    <n v="0"/>
    <n v="0"/>
    <n v="0"/>
    <n v="0"/>
  </r>
  <r>
    <x v="1"/>
    <n v="-2360"/>
    <n v="0"/>
    <n v="0"/>
    <n v="-2360"/>
  </r>
  <r>
    <x v="0"/>
    <n v="31996"/>
    <n v="0"/>
    <n v="0"/>
    <n v="31996"/>
  </r>
  <r>
    <x v="0"/>
    <n v="0"/>
    <n v="0"/>
    <n v="0"/>
    <n v="0"/>
  </r>
  <r>
    <x v="1"/>
    <n v="0"/>
    <n v="0"/>
    <n v="0"/>
    <n v="0"/>
  </r>
  <r>
    <x v="1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1"/>
    <n v="0"/>
    <n v="0"/>
    <n v="0"/>
    <n v="0"/>
  </r>
  <r>
    <x v="1"/>
    <n v="-464"/>
    <n v="0"/>
    <n v="0"/>
    <n v="-464"/>
  </r>
  <r>
    <x v="1"/>
    <n v="0"/>
    <n v="0"/>
    <n v="0"/>
    <n v="0"/>
  </r>
  <r>
    <x v="0"/>
    <n v="78824"/>
    <n v="0"/>
    <n v="0"/>
    <n v="78824"/>
  </r>
  <r>
    <x v="0"/>
    <n v="0"/>
    <n v="0"/>
    <n v="0"/>
    <n v="0"/>
  </r>
  <r>
    <x v="0"/>
    <n v="0"/>
    <n v="0"/>
    <n v="0"/>
    <n v="0"/>
  </r>
  <r>
    <x v="0"/>
    <n v="-1180"/>
    <n v="0"/>
    <n v="0"/>
    <n v="-1180"/>
  </r>
  <r>
    <x v="0"/>
    <n v="-1387"/>
    <n v="0"/>
    <n v="0"/>
    <n v="-1387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0"/>
    <n v="-50000"/>
    <n v="0"/>
    <n v="0"/>
    <n v="-50000"/>
  </r>
  <r>
    <x v="0"/>
    <n v="0"/>
    <n v="0"/>
    <n v="0"/>
    <n v="0"/>
  </r>
  <r>
    <x v="1"/>
    <n v="0"/>
    <n v="0"/>
    <n v="0"/>
    <n v="0"/>
  </r>
  <r>
    <x v="0"/>
    <n v="0"/>
    <n v="0"/>
    <n v="0"/>
    <n v="0"/>
  </r>
  <r>
    <x v="1"/>
    <n v="0"/>
    <n v="0"/>
    <n v="0"/>
    <n v="0"/>
  </r>
  <r>
    <x v="1"/>
    <n v="0"/>
    <n v="0"/>
    <n v="0"/>
    <n v="0"/>
  </r>
  <r>
    <x v="0"/>
    <n v="0"/>
    <n v="0"/>
    <n v="0"/>
    <n v="0"/>
  </r>
  <r>
    <x v="0"/>
    <n v="-507408"/>
    <n v="0"/>
    <n v="0"/>
    <n v="-507408"/>
  </r>
  <r>
    <x v="0"/>
    <n v="64900"/>
    <n v="0"/>
    <n v="0"/>
    <n v="64900"/>
  </r>
  <r>
    <x v="0"/>
    <n v="0"/>
    <n v="0"/>
    <n v="0"/>
    <n v="0"/>
  </r>
  <r>
    <x v="0"/>
    <n v="0"/>
    <n v="0"/>
    <n v="0"/>
    <n v="0"/>
  </r>
  <r>
    <x v="0"/>
    <n v="0"/>
    <n v="0"/>
    <n v="0"/>
    <n v="0"/>
  </r>
  <r>
    <x v="1"/>
    <n v="566"/>
    <n v="0"/>
    <n v="0"/>
    <n v="566"/>
  </r>
  <r>
    <x v="1"/>
    <n v="107429.98"/>
    <n v="33553"/>
    <n v="26235"/>
    <n v="114747.98"/>
  </r>
  <r>
    <x v="2"/>
    <n v="0"/>
    <n v="0"/>
    <n v="0"/>
    <n v="0"/>
  </r>
  <r>
    <x v="3"/>
    <n v="0"/>
    <n v="0"/>
    <n v="0"/>
    <n v="0"/>
  </r>
  <r>
    <x v="0"/>
    <n v="0"/>
    <n v="0"/>
    <n v="0"/>
    <n v="0"/>
  </r>
  <r>
    <x v="3"/>
    <n v="0"/>
    <n v="0"/>
    <n v="0"/>
    <n v="0"/>
  </r>
  <r>
    <x v="3"/>
    <n v="0"/>
    <n v="0"/>
    <n v="0"/>
    <n v="0"/>
  </r>
  <r>
    <x v="3"/>
    <n v="0"/>
    <n v="0"/>
    <n v="0"/>
    <n v="0"/>
  </r>
  <r>
    <x v="0"/>
    <n v="0"/>
    <n v="0"/>
    <n v="0"/>
    <n v="0"/>
  </r>
  <r>
    <x v="4"/>
    <n v="0"/>
    <n v="0"/>
    <n v="0"/>
    <n v="0"/>
  </r>
  <r>
    <x v="5"/>
    <n v="2489532"/>
    <n v="2631747"/>
    <n v="2556565.9700000002"/>
    <n v="2564713.0299999998"/>
  </r>
  <r>
    <x v="5"/>
    <n v="5226962.4400000004"/>
    <n v="6743803"/>
    <n v="3599664.85"/>
    <n v="8371100.5899999999"/>
  </r>
  <r>
    <x v="5"/>
    <n v="116549.81"/>
    <n v="0"/>
    <n v="0"/>
    <n v="116549.81"/>
  </r>
  <r>
    <x v="5"/>
    <n v="5781725.4299999997"/>
    <n v="11053138"/>
    <n v="10672477.939999999"/>
    <n v="6162385.4900000002"/>
  </r>
  <r>
    <x v="5"/>
    <n v="818194"/>
    <n v="10949086"/>
    <n v="0"/>
    <n v="11767280"/>
  </r>
  <r>
    <x v="5"/>
    <n v="-53418.33"/>
    <n v="4670837"/>
    <n v="0"/>
    <n v="4617418.67"/>
  </r>
  <r>
    <x v="3"/>
    <n v="0"/>
    <n v="0"/>
    <n v="0"/>
    <n v="0"/>
  </r>
  <r>
    <x v="5"/>
    <n v="-286263.23"/>
    <n v="3939936"/>
    <n v="0"/>
    <n v="3653672.77"/>
  </r>
  <r>
    <x v="3"/>
    <n v="0"/>
    <n v="0"/>
    <n v="0"/>
    <n v="0"/>
  </r>
  <r>
    <x v="5"/>
    <n v="3132635"/>
    <n v="0"/>
    <n v="3073698.36"/>
    <n v="58936.639999999999"/>
  </r>
  <r>
    <x v="3"/>
    <n v="0"/>
    <n v="4130000"/>
    <n v="4130000"/>
    <n v="0"/>
  </r>
  <r>
    <x v="3"/>
    <n v="0"/>
    <n v="2360000"/>
    <n v="2360000"/>
    <n v="0"/>
  </r>
  <r>
    <x v="3"/>
    <n v="0"/>
    <n v="14160000"/>
    <n v="14160000"/>
    <n v="0"/>
  </r>
  <r>
    <x v="5"/>
    <n v="0"/>
    <n v="9601691"/>
    <n v="0"/>
    <n v="9601691"/>
  </r>
  <r>
    <x v="5"/>
    <n v="0"/>
    <n v="3250967"/>
    <n v="0"/>
    <n v="3250967"/>
  </r>
  <r>
    <x v="2"/>
    <n v="0"/>
    <n v="4565399"/>
    <n v="0"/>
    <n v="4565399"/>
  </r>
  <r>
    <x v="5"/>
    <n v="0"/>
    <n v="3425069"/>
    <n v="677408.8"/>
    <n v="2747660.2"/>
  </r>
  <r>
    <x v="3"/>
    <n v="0"/>
    <n v="3540000"/>
    <n v="3540000"/>
    <n v="0"/>
  </r>
  <r>
    <x v="5"/>
    <n v="0"/>
    <n v="2612131"/>
    <n v="0"/>
    <n v="2612131"/>
  </r>
  <r>
    <x v="2"/>
    <n v="0"/>
    <n v="13881504"/>
    <n v="6940752"/>
    <n v="694075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79762.52"/>
    <n v="0"/>
    <n v="0"/>
    <n v="79762.52"/>
    <m/>
    <n v="79762.52"/>
    <n v="0"/>
    <n v="0"/>
    <n v="79762.52"/>
  </r>
  <r>
    <x v="0"/>
    <n v="0"/>
    <n v="0"/>
    <n v="0"/>
    <n v="0"/>
    <m/>
    <n v="0"/>
    <n v="15741"/>
    <n v="15741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31288"/>
    <n v="31288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21902"/>
    <n v="21902"/>
    <n v="0"/>
  </r>
  <r>
    <x v="1"/>
    <n v="-229554.44"/>
    <n v="5000"/>
    <n v="38553"/>
    <n v="-263107.44"/>
    <m/>
    <n v="0"/>
    <n v="136962"/>
    <n v="400069.44"/>
    <n v="-263107.44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21902"/>
    <n v="21902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15644"/>
    <n v="15644"/>
    <n v="0"/>
  </r>
  <r>
    <x v="2"/>
    <n v="38958814"/>
    <n v="0"/>
    <n v="33921159.170000002"/>
    <n v="5037654.83"/>
    <m/>
    <n v="0"/>
    <n v="76132861.510000005"/>
    <n v="71095206.680000007"/>
    <n v="5037654.83"/>
  </r>
  <r>
    <x v="0"/>
    <n v="-1768"/>
    <n v="0"/>
    <n v="0"/>
    <n v="-1768"/>
    <m/>
    <n v="164376"/>
    <n v="247191"/>
    <n v="413335"/>
    <n v="-1768"/>
  </r>
  <r>
    <x v="0"/>
    <n v="26597"/>
    <n v="0"/>
    <n v="0"/>
    <n v="26597"/>
    <m/>
    <n v="26597"/>
    <n v="26597"/>
    <n v="26597"/>
    <n v="26597"/>
  </r>
  <r>
    <x v="0"/>
    <n v="0"/>
    <n v="0"/>
    <n v="0"/>
    <n v="0"/>
    <m/>
    <n v="0"/>
    <n v="0"/>
    <n v="0"/>
    <n v="0"/>
  </r>
  <r>
    <x v="0"/>
    <n v="0"/>
    <n v="0"/>
    <n v="0"/>
    <n v="0"/>
    <m/>
    <n v="29198"/>
    <n v="0"/>
    <n v="29198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78720"/>
    <n v="7872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109511"/>
    <n v="109511"/>
    <n v="0"/>
  </r>
  <r>
    <x v="1"/>
    <n v="0"/>
    <n v="0"/>
    <n v="0"/>
    <n v="0"/>
    <m/>
    <n v="0"/>
    <n v="12516"/>
    <n v="12516"/>
    <n v="0"/>
  </r>
  <r>
    <x v="0"/>
    <n v="0"/>
    <n v="0"/>
    <n v="0"/>
    <n v="0"/>
    <m/>
    <n v="57909"/>
    <n v="0"/>
    <n v="57909"/>
    <n v="0"/>
  </r>
  <r>
    <x v="0"/>
    <n v="0"/>
    <n v="0"/>
    <n v="0"/>
    <n v="0"/>
    <m/>
    <n v="0"/>
    <n v="15644"/>
    <n v="15644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3"/>
    <n v="0"/>
    <n v="0"/>
    <n v="0"/>
    <n v="0"/>
    <m/>
    <n v="237010"/>
    <n v="655048"/>
    <n v="892058"/>
    <n v="0"/>
  </r>
  <r>
    <x v="0"/>
    <n v="0"/>
    <n v="0"/>
    <n v="0"/>
    <n v="0"/>
    <m/>
    <n v="0"/>
    <n v="0"/>
    <n v="0"/>
    <n v="0"/>
  </r>
  <r>
    <x v="0"/>
    <n v="90097"/>
    <n v="0"/>
    <n v="0"/>
    <n v="90097"/>
    <m/>
    <n v="90097"/>
    <n v="0"/>
    <n v="0"/>
    <n v="90097"/>
  </r>
  <r>
    <x v="0"/>
    <n v="-12803"/>
    <n v="0"/>
    <n v="0"/>
    <n v="-12803"/>
    <m/>
    <n v="-12803"/>
    <n v="0"/>
    <n v="0"/>
    <n v="-12803"/>
  </r>
  <r>
    <x v="0"/>
    <n v="0"/>
    <n v="0"/>
    <n v="0"/>
    <n v="0"/>
    <m/>
    <n v="0"/>
    <n v="42903"/>
    <n v="42903"/>
    <n v="0"/>
  </r>
  <r>
    <x v="0"/>
    <n v="10201.6"/>
    <n v="0"/>
    <n v="0"/>
    <n v="10201.6"/>
    <m/>
    <n v="56221.599999999999"/>
    <n v="76877"/>
    <n v="122897"/>
    <n v="10201.6"/>
  </r>
  <r>
    <x v="0"/>
    <n v="6254"/>
    <n v="0"/>
    <n v="0"/>
    <n v="6254"/>
    <m/>
    <n v="6254"/>
    <n v="0"/>
    <n v="0"/>
    <n v="6254"/>
  </r>
  <r>
    <x v="0"/>
    <n v="0"/>
    <n v="0"/>
    <n v="0"/>
    <n v="0"/>
    <m/>
    <n v="0"/>
    <n v="500"/>
    <n v="500"/>
    <n v="0"/>
  </r>
  <r>
    <x v="1"/>
    <n v="0"/>
    <n v="0"/>
    <n v="0"/>
    <n v="0"/>
    <m/>
    <n v="0"/>
    <n v="0"/>
    <n v="0"/>
    <n v="0"/>
  </r>
  <r>
    <x v="3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25960"/>
    <n v="2596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39766"/>
    <n v="0"/>
    <n v="0"/>
    <n v="39766"/>
    <m/>
    <n v="39766"/>
    <n v="0"/>
    <n v="0"/>
    <n v="39766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6835"/>
    <n v="6835"/>
    <n v="0"/>
  </r>
  <r>
    <x v="0"/>
    <n v="-474"/>
    <n v="0"/>
    <n v="0"/>
    <n v="-474"/>
    <m/>
    <n v="-474"/>
    <n v="26342"/>
    <n v="26342"/>
    <n v="-474"/>
  </r>
  <r>
    <x v="1"/>
    <n v="0"/>
    <n v="0"/>
    <n v="0"/>
    <n v="0"/>
    <m/>
    <n v="0"/>
    <n v="0"/>
    <n v="0"/>
    <n v="0"/>
  </r>
  <r>
    <x v="1"/>
    <n v="300"/>
    <n v="0"/>
    <n v="0"/>
    <n v="300"/>
    <m/>
    <n v="300"/>
    <n v="71966"/>
    <n v="71966"/>
    <n v="300"/>
  </r>
  <r>
    <x v="1"/>
    <n v="0"/>
    <n v="0"/>
    <n v="0"/>
    <n v="0"/>
    <m/>
    <n v="0"/>
    <n v="13293"/>
    <n v="13293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1821"/>
    <n v="0"/>
    <n v="0"/>
    <n v="1821"/>
    <m/>
    <n v="1821"/>
    <n v="0"/>
    <n v="0"/>
    <n v="1821"/>
  </r>
  <r>
    <x v="0"/>
    <n v="0"/>
    <n v="0"/>
    <n v="0"/>
    <n v="0"/>
    <m/>
    <n v="2503883"/>
    <n v="0"/>
    <n v="2503883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944"/>
    <n v="944"/>
    <n v="0"/>
  </r>
  <r>
    <x v="1"/>
    <n v="0"/>
    <n v="0"/>
    <n v="0"/>
    <n v="0"/>
    <m/>
    <n v="0"/>
    <n v="41570"/>
    <n v="41570"/>
    <n v="0"/>
  </r>
  <r>
    <x v="0"/>
    <n v="0"/>
    <n v="0"/>
    <n v="0"/>
    <n v="0"/>
    <m/>
    <n v="0"/>
    <n v="0"/>
    <n v="0"/>
    <n v="0"/>
  </r>
  <r>
    <x v="0"/>
    <n v="17420"/>
    <n v="0"/>
    <n v="0"/>
    <n v="17420"/>
    <m/>
    <n v="17420"/>
    <n v="0"/>
    <n v="0"/>
    <n v="17420"/>
  </r>
  <r>
    <x v="0"/>
    <n v="0"/>
    <n v="0"/>
    <n v="0"/>
    <n v="0"/>
    <m/>
    <n v="2063019"/>
    <n v="1172948"/>
    <n v="3235967"/>
    <n v="0"/>
  </r>
  <r>
    <x v="0"/>
    <n v="0"/>
    <n v="0"/>
    <n v="0"/>
    <n v="0"/>
    <m/>
    <n v="0"/>
    <n v="0"/>
    <n v="0"/>
    <n v="0"/>
  </r>
  <r>
    <x v="1"/>
    <n v="999.87"/>
    <n v="0"/>
    <n v="0"/>
    <n v="999.87"/>
    <m/>
    <n v="999.87"/>
    <n v="49711"/>
    <n v="49711"/>
    <n v="999.87"/>
  </r>
  <r>
    <x v="0"/>
    <n v="0"/>
    <n v="0"/>
    <n v="0"/>
    <n v="0"/>
    <m/>
    <n v="0"/>
    <n v="24308"/>
    <n v="24308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5989997"/>
    <n v="5989997"/>
    <n v="0"/>
  </r>
  <r>
    <x v="0"/>
    <n v="51094"/>
    <n v="0"/>
    <n v="0"/>
    <n v="51094"/>
    <m/>
    <n v="51094"/>
    <n v="0"/>
    <n v="0"/>
    <n v="51094"/>
  </r>
  <r>
    <x v="1"/>
    <n v="0"/>
    <n v="0"/>
    <n v="0"/>
    <n v="0"/>
    <m/>
    <n v="0"/>
    <n v="0"/>
    <n v="0"/>
    <n v="0"/>
  </r>
  <r>
    <x v="0"/>
    <n v="0"/>
    <n v="0"/>
    <n v="0"/>
    <n v="0"/>
    <m/>
    <n v="-3029.36"/>
    <n v="60133"/>
    <n v="57103.64"/>
    <n v="0"/>
  </r>
  <r>
    <x v="1"/>
    <n v="0"/>
    <n v="0"/>
    <n v="0"/>
    <n v="0"/>
    <m/>
    <n v="0"/>
    <n v="0"/>
    <n v="0"/>
    <n v="0"/>
  </r>
  <r>
    <x v="1"/>
    <n v="-2360"/>
    <n v="0"/>
    <n v="0"/>
    <n v="-2360"/>
    <m/>
    <n v="-2360"/>
    <n v="944"/>
    <n v="944"/>
    <n v="-2360"/>
  </r>
  <r>
    <x v="0"/>
    <n v="31996"/>
    <n v="0"/>
    <n v="0"/>
    <n v="31996"/>
    <m/>
    <n v="31996"/>
    <n v="0"/>
    <n v="0"/>
    <n v="31996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1"/>
    <n v="0"/>
    <n v="0"/>
    <n v="0"/>
    <n v="0"/>
    <m/>
    <n v="0"/>
    <n v="15644"/>
    <n v="15644"/>
    <n v="0"/>
  </r>
  <r>
    <x v="0"/>
    <n v="0"/>
    <n v="0"/>
    <n v="0"/>
    <n v="0"/>
    <m/>
    <n v="42952"/>
    <n v="42952"/>
    <n v="85904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2755000"/>
    <n v="275500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1"/>
    <n v="-464"/>
    <n v="0"/>
    <n v="0"/>
    <n v="-464"/>
    <m/>
    <n v="-464"/>
    <n v="46933"/>
    <n v="46933"/>
    <n v="-464"/>
  </r>
  <r>
    <x v="1"/>
    <n v="0"/>
    <n v="0"/>
    <n v="0"/>
    <n v="0"/>
    <m/>
    <n v="0"/>
    <n v="13767"/>
    <n v="13767"/>
    <n v="0"/>
  </r>
  <r>
    <x v="0"/>
    <n v="78824"/>
    <n v="0"/>
    <n v="0"/>
    <n v="78824"/>
    <m/>
    <n v="78824"/>
    <n v="0"/>
    <n v="0"/>
    <n v="78824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-1180"/>
    <n v="0"/>
    <n v="0"/>
    <n v="-1180"/>
    <m/>
    <n v="47790"/>
    <n v="112100"/>
    <n v="161070"/>
    <n v="-1180"/>
  </r>
  <r>
    <x v="0"/>
    <n v="-1387"/>
    <n v="0"/>
    <n v="0"/>
    <n v="-1387"/>
    <m/>
    <n v="-1387"/>
    <n v="0"/>
    <n v="0"/>
    <n v="-1387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-50000"/>
    <n v="0"/>
    <n v="0"/>
    <n v="-50000"/>
    <m/>
    <n v="-50000"/>
    <n v="0"/>
    <n v="0"/>
    <n v="-50000"/>
  </r>
  <r>
    <x v="0"/>
    <n v="0"/>
    <n v="0"/>
    <n v="0"/>
    <n v="0"/>
    <m/>
    <n v="0"/>
    <n v="0"/>
    <n v="0"/>
    <n v="0"/>
  </r>
  <r>
    <x v="1"/>
    <n v="0"/>
    <n v="0"/>
    <n v="0"/>
    <n v="0"/>
    <m/>
    <n v="200"/>
    <n v="133084"/>
    <n v="133284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1"/>
    <n v="0"/>
    <n v="0"/>
    <n v="0"/>
    <n v="0"/>
    <m/>
    <n v="0"/>
    <n v="43804"/>
    <n v="43804"/>
    <n v="0"/>
  </r>
  <r>
    <x v="0"/>
    <n v="0"/>
    <n v="0"/>
    <n v="0"/>
    <n v="0"/>
    <m/>
    <n v="0"/>
    <n v="0"/>
    <n v="0"/>
    <n v="0"/>
  </r>
  <r>
    <x v="0"/>
    <n v="-507408"/>
    <n v="0"/>
    <n v="0"/>
    <n v="-507408"/>
    <m/>
    <n v="-30000"/>
    <n v="0"/>
    <n v="477408"/>
    <n v="-507408"/>
  </r>
  <r>
    <x v="0"/>
    <n v="64900"/>
    <n v="0"/>
    <n v="0"/>
    <n v="64900"/>
    <m/>
    <n v="64900"/>
    <n v="0"/>
    <n v="0"/>
    <n v="64900"/>
  </r>
  <r>
    <x v="0"/>
    <n v="0"/>
    <n v="0"/>
    <n v="0"/>
    <n v="0"/>
    <m/>
    <n v="0"/>
    <n v="0"/>
    <n v="0"/>
    <n v="0"/>
  </r>
  <r>
    <x v="0"/>
    <n v="0"/>
    <n v="0"/>
    <n v="0"/>
    <n v="0"/>
    <m/>
    <n v="5192"/>
    <n v="5192"/>
    <n v="10384"/>
    <n v="0"/>
  </r>
  <r>
    <x v="0"/>
    <n v="0"/>
    <n v="0"/>
    <n v="0"/>
    <n v="0"/>
    <m/>
    <n v="0"/>
    <n v="0"/>
    <n v="0"/>
    <n v="0"/>
  </r>
  <r>
    <x v="1"/>
    <n v="566"/>
    <n v="0"/>
    <n v="0"/>
    <n v="566"/>
    <m/>
    <n v="566"/>
    <n v="75096"/>
    <n v="75096"/>
    <n v="566"/>
  </r>
  <r>
    <x v="1"/>
    <n v="107429.98"/>
    <n v="33553"/>
    <n v="26235"/>
    <n v="114747.98"/>
    <m/>
    <n v="133679"/>
    <n v="333013"/>
    <n v="351944.02"/>
    <n v="114747.98"/>
  </r>
  <r>
    <x v="2"/>
    <n v="0"/>
    <n v="0"/>
    <n v="0"/>
    <n v="0"/>
    <m/>
    <n v="0"/>
    <n v="35385851.270000003"/>
    <n v="35385851.270000003"/>
    <n v="0"/>
  </r>
  <r>
    <x v="3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3"/>
    <n v="0"/>
    <n v="0"/>
    <n v="0"/>
    <n v="0"/>
    <m/>
    <n v="0"/>
    <n v="0"/>
    <n v="0"/>
    <n v="0"/>
  </r>
  <r>
    <x v="3"/>
    <n v="0"/>
    <n v="0"/>
    <n v="0"/>
    <n v="0"/>
    <m/>
    <n v="0"/>
    <n v="0"/>
    <n v="0"/>
    <n v="0"/>
  </r>
  <r>
    <x v="3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4"/>
    <n v="0"/>
    <n v="0"/>
    <n v="0"/>
    <n v="0"/>
    <m/>
    <n v="0"/>
    <n v="147986.76"/>
    <n v="147986.76"/>
    <n v="0"/>
  </r>
  <r>
    <x v="5"/>
    <n v="2489532"/>
    <n v="2631747"/>
    <n v="2556565.9700000002"/>
    <n v="2564713.0299999998"/>
    <m/>
    <n v="0"/>
    <n v="7596098.04"/>
    <n v="5031385.01"/>
    <n v="2564713.0299999998"/>
  </r>
  <r>
    <x v="5"/>
    <n v="5226962.4400000004"/>
    <n v="6743803"/>
    <n v="3599664.85"/>
    <n v="8371100.5899999999"/>
    <m/>
    <n v="0"/>
    <n v="14662803.029999999"/>
    <n v="6291702.4400000004"/>
    <n v="8371100.5899999999"/>
  </r>
  <r>
    <x v="5"/>
    <n v="116549.81"/>
    <n v="0"/>
    <n v="0"/>
    <n v="116549.81"/>
    <m/>
    <n v="0"/>
    <n v="2476377.42"/>
    <n v="2359827.61"/>
    <n v="116549.81"/>
  </r>
  <r>
    <x v="5"/>
    <n v="5781725.4299999997"/>
    <n v="11053138"/>
    <n v="10672477.939999999"/>
    <n v="6162385.4900000002"/>
    <m/>
    <n v="0"/>
    <n v="20793538.84"/>
    <n v="14631153.35"/>
    <n v="6162385.4900000002"/>
  </r>
  <r>
    <x v="5"/>
    <n v="818194"/>
    <n v="10949086"/>
    <n v="0"/>
    <n v="11767280"/>
    <m/>
    <n v="0"/>
    <n v="28373141.050000001"/>
    <n v="16605861.050000001"/>
    <n v="11767280"/>
  </r>
  <r>
    <x v="5"/>
    <n v="-53418.33"/>
    <n v="4670837"/>
    <n v="0"/>
    <n v="4617418.67"/>
    <m/>
    <n v="0"/>
    <n v="7503678"/>
    <n v="2886259.33"/>
    <n v="4617418.67"/>
  </r>
  <r>
    <x v="3"/>
    <n v="0"/>
    <n v="0"/>
    <n v="0"/>
    <n v="0"/>
    <m/>
    <n v="0"/>
    <n v="0"/>
    <n v="0"/>
    <n v="0"/>
  </r>
  <r>
    <x v="5"/>
    <n v="-286263.23"/>
    <n v="3939936"/>
    <n v="0"/>
    <n v="3653672.77"/>
    <m/>
    <n v="0"/>
    <n v="3939936"/>
    <n v="286263.23"/>
    <n v="3653672.77"/>
  </r>
  <r>
    <x v="3"/>
    <n v="0"/>
    <n v="0"/>
    <n v="0"/>
    <n v="0"/>
    <m/>
    <n v="0"/>
    <n v="0"/>
    <n v="0"/>
    <n v="0"/>
  </r>
  <r>
    <x v="5"/>
    <n v="3132635"/>
    <n v="0"/>
    <n v="3073698.36"/>
    <n v="58936.639999999999"/>
    <m/>
    <n v="0"/>
    <n v="3132635"/>
    <n v="3073698.36"/>
    <n v="58936.639999999999"/>
  </r>
  <r>
    <x v="3"/>
    <n v="0"/>
    <n v="4130000"/>
    <n v="4130000"/>
    <n v="0"/>
    <m/>
    <n v="0"/>
    <n v="4130000"/>
    <n v="4130000"/>
    <n v="0"/>
  </r>
  <r>
    <x v="3"/>
    <n v="0"/>
    <n v="2360000"/>
    <n v="2360000"/>
    <n v="0"/>
    <m/>
    <n v="0"/>
    <n v="2360000"/>
    <n v="2360000"/>
    <n v="0"/>
  </r>
  <r>
    <x v="3"/>
    <n v="0"/>
    <n v="14160000"/>
    <n v="14160000"/>
    <n v="0"/>
    <m/>
    <n v="0"/>
    <n v="14160000"/>
    <n v="14160000"/>
    <n v="0"/>
  </r>
  <r>
    <x v="5"/>
    <n v="0"/>
    <n v="9601691"/>
    <n v="0"/>
    <n v="9601691"/>
    <m/>
    <n v="0"/>
    <n v="9601691"/>
    <n v="0"/>
    <n v="9601691"/>
  </r>
  <r>
    <x v="5"/>
    <n v="0"/>
    <n v="3250967"/>
    <n v="0"/>
    <n v="3250967"/>
    <m/>
    <n v="0"/>
    <n v="3250967"/>
    <n v="0"/>
    <n v="3250967"/>
  </r>
  <r>
    <x v="2"/>
    <n v="0"/>
    <n v="4565399"/>
    <n v="0"/>
    <n v="4565399"/>
    <m/>
    <n v="0"/>
    <n v="4565399"/>
    <n v="0"/>
    <n v="4565399"/>
  </r>
  <r>
    <x v="5"/>
    <n v="0"/>
    <n v="3425069"/>
    <n v="677408.8"/>
    <n v="2747660.2"/>
    <m/>
    <n v="0"/>
    <n v="3425069"/>
    <n v="677408.8"/>
    <n v="2747660.2"/>
  </r>
  <r>
    <x v="3"/>
    <n v="0"/>
    <n v="3540000"/>
    <n v="3540000"/>
    <n v="0"/>
    <m/>
    <n v="0"/>
    <n v="3540000"/>
    <n v="3540000"/>
    <n v="0"/>
  </r>
  <r>
    <x v="5"/>
    <n v="0"/>
    <n v="2612131"/>
    <n v="0"/>
    <n v="2612131"/>
    <m/>
    <n v="0"/>
    <n v="2612131"/>
    <n v="0"/>
    <n v="2612131"/>
  </r>
  <r>
    <x v="2"/>
    <n v="0"/>
    <n v="13881504"/>
    <n v="6940752"/>
    <n v="6940752"/>
    <m/>
    <n v="0"/>
    <n v="13881504"/>
    <n v="6940752"/>
    <n v="694075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s v="Aditi Creations"/>
    <x v="0"/>
    <n v="-2950"/>
    <n v="2950"/>
    <n v="0"/>
    <n v="0"/>
  </r>
  <r>
    <s v="Agricultural &amp; Processed Food Products Development"/>
    <x v="1"/>
    <n v="0"/>
    <n v="0"/>
    <n v="0"/>
    <n v="0"/>
  </r>
  <r>
    <s v="Airdoot India Pvt. Ltd."/>
    <x v="0"/>
    <n v="0"/>
    <n v="21714"/>
    <n v="21714"/>
    <n v="0"/>
  </r>
  <r>
    <s v="AIR INDIA LIMITED"/>
    <x v="1"/>
    <n v="0"/>
    <n v="0"/>
    <n v="0"/>
    <n v="0"/>
  </r>
  <r>
    <s v="AIR INDIA LIMITED (DELHI)"/>
    <x v="1"/>
    <n v="0"/>
    <n v="0"/>
    <n v="0"/>
    <n v="0"/>
  </r>
  <r>
    <s v="AIR INDIA LIMITED (KERALA)"/>
    <x v="1"/>
    <n v="0"/>
    <n v="0"/>
    <n v="0"/>
    <n v="0"/>
  </r>
  <r>
    <s v="AIR INDIA LIMITED (MAH.)"/>
    <x v="1"/>
    <n v="0"/>
    <n v="0"/>
    <n v="0"/>
    <n v="0"/>
  </r>
  <r>
    <s v="AIRTEL AJAY MEHTA"/>
    <x v="0"/>
    <n v="0"/>
    <n v="0"/>
    <n v="1295.6400000000001"/>
    <n v="-1295.6400000000001"/>
  </r>
  <r>
    <s v="AIRTEL  - BHAVESH MEHTA"/>
    <x v="0"/>
    <n v="0"/>
    <n v="1414.82"/>
    <n v="1414.82"/>
    <n v="0"/>
  </r>
  <r>
    <s v="AIRTEL - ATUL MEHTA"/>
    <x v="0"/>
    <n v="0"/>
    <n v="1763"/>
    <n v="1763"/>
    <n v="0"/>
  </r>
  <r>
    <s v="AJAY MEHTA (CAR RENTAL)"/>
    <x v="0"/>
    <n v="0"/>
    <n v="0"/>
    <n v="0"/>
    <n v="0"/>
  </r>
  <r>
    <s v="Alex Enterprises"/>
    <x v="0"/>
    <n v="0"/>
    <n v="0"/>
    <n v="0"/>
    <n v="0"/>
  </r>
  <r>
    <s v="Allinfo India Pvt. Ltd."/>
    <x v="1"/>
    <n v="0"/>
    <n v="0"/>
    <n v="0"/>
    <n v="0"/>
  </r>
  <r>
    <s v="Alphabet Imaging Technologies Private Limited"/>
    <x v="2"/>
    <n v="0"/>
    <n v="0"/>
    <n v="0"/>
    <n v="0"/>
  </r>
  <r>
    <s v="A.Mangals Marketing"/>
    <x v="0"/>
    <n v="0"/>
    <n v="0"/>
    <n v="0"/>
    <n v="0"/>
  </r>
  <r>
    <s v="ANP Associates"/>
    <x v="0"/>
    <n v="0"/>
    <n v="0"/>
    <n v="0"/>
    <n v="0"/>
  </r>
  <r>
    <s v="APEX ENTERPRISES"/>
    <x v="1"/>
    <n v="0"/>
    <n v="0"/>
    <n v="0"/>
    <n v="0"/>
  </r>
  <r>
    <s v="Appario Retail Private Limited"/>
    <x v="0"/>
    <n v="0"/>
    <n v="0"/>
    <n v="0"/>
    <n v="0"/>
  </r>
  <r>
    <s v="APS Infotech"/>
    <x v="1"/>
    <n v="0"/>
    <n v="0"/>
    <n v="0"/>
    <n v="0"/>
  </r>
  <r>
    <s v="Arjun Ramanarayanan"/>
    <x v="0"/>
    <n v="0"/>
    <n v="0"/>
    <n v="0"/>
    <n v="0"/>
  </r>
  <r>
    <s v="ARK Chemicals Pvt Ltd"/>
    <x v="3"/>
    <n v="0"/>
    <n v="0"/>
    <n v="0"/>
    <n v="0"/>
  </r>
  <r>
    <s v="Axis bank HORIZON Credit Card 5498 5205 1223 2211"/>
    <x v="0"/>
    <n v="0"/>
    <n v="0"/>
    <n v="0"/>
    <n v="0"/>
  </r>
  <r>
    <s v="AMERICAN EXPRESS CREDIT CARD NO. 379877054832005"/>
    <x v="0"/>
    <n v="0"/>
    <n v="0"/>
    <n v="0"/>
    <n v="0"/>
  </r>
  <r>
    <s v="American Express Credit Card No.-379877054833003"/>
    <x v="0"/>
    <n v="0"/>
    <n v="0"/>
    <n v="0"/>
    <n v="0"/>
  </r>
  <r>
    <s v="Axis Bank Ltd Credit Card No. 6530 4700 0565 2004"/>
    <x v="0"/>
    <n v="0"/>
    <n v="0"/>
    <n v="0"/>
    <n v="0"/>
  </r>
  <r>
    <s v="Axis Bank Ltd Credit Card No. 5334670023248285"/>
    <x v="0"/>
    <n v="-1000"/>
    <n v="0"/>
    <n v="0"/>
    <n v="-1000"/>
  </r>
  <r>
    <s v="Bank Service - BMC"/>
    <x v="0"/>
    <n v="0"/>
    <n v="0"/>
    <n v="0"/>
    <n v="0"/>
  </r>
  <r>
    <s v="Bank Service - ICICI"/>
    <x v="0"/>
    <n v="0"/>
    <n v="0"/>
    <n v="0"/>
    <n v="0"/>
  </r>
  <r>
    <s v="Battery Zone"/>
    <x v="0"/>
    <n v="0"/>
    <n v="0"/>
    <n v="0"/>
    <n v="0"/>
  </r>
  <r>
    <s v="B.V.Dalal &amp; Co."/>
    <x v="0"/>
    <n v="-54000"/>
    <n v="0"/>
    <n v="0"/>
    <n v="-54000"/>
  </r>
  <r>
    <s v="Bhavesh P Mhatre"/>
    <x v="0"/>
    <n v="0"/>
    <n v="0"/>
    <n v="0"/>
    <n v="0"/>
  </r>
  <r>
    <s v="Bicnet Infoservices Pvt. Ltd."/>
    <x v="0"/>
    <n v="0"/>
    <n v="0"/>
    <n v="0"/>
    <n v="0"/>
  </r>
  <r>
    <s v="Brew Lab Enterprises"/>
    <x v="0"/>
    <n v="0"/>
    <n v="0"/>
    <n v="0"/>
    <n v="0"/>
  </r>
  <r>
    <s v="Buzz Retail India Pvt Ltd"/>
    <x v="0"/>
    <n v="0"/>
    <n v="0"/>
    <n v="0"/>
    <n v="0"/>
  </r>
  <r>
    <s v="BAJAJ ALLIANZ GENRAL INSURANCE COMPANY LTD"/>
    <x v="0"/>
    <n v="0"/>
    <n v="17509"/>
    <n v="17509"/>
    <n v="0"/>
  </r>
  <r>
    <s v="CARAVAN FREIGHT CARRIER PVT LTD"/>
    <x v="1"/>
    <n v="-123480"/>
    <n v="123480"/>
    <n v="0"/>
    <n v="0"/>
  </r>
  <r>
    <s v="CATHAY PACIFIC AIRWAYS LTD."/>
    <x v="1"/>
    <n v="0"/>
    <n v="0"/>
    <n v="0"/>
    <n v="0"/>
  </r>
  <r>
    <s v="CCL PRODUCTS INDIA LTD"/>
    <x v="0"/>
    <n v="0"/>
    <n v="0"/>
    <n v="0"/>
    <n v="0"/>
  </r>
  <r>
    <s v="Chohan Stationery &amp; Xerox"/>
    <x v="0"/>
    <n v="0"/>
    <n v="0"/>
    <n v="0"/>
    <n v="0"/>
  </r>
  <r>
    <s v="CLASSIC CREATION PRINT PACK PRIVATE LIMITED"/>
    <x v="2"/>
    <n v="0"/>
    <n v="0"/>
    <n v="0"/>
    <n v="0"/>
  </r>
  <r>
    <s v="Clicktech Retail Private Limited"/>
    <x v="0"/>
    <n v="0"/>
    <n v="0"/>
    <n v="0"/>
    <n v="0"/>
  </r>
  <r>
    <s v="Clicktech Retail Private Limited(GJ)"/>
    <x v="0"/>
    <n v="0"/>
    <n v="0"/>
    <n v="0"/>
    <n v="0"/>
  </r>
  <r>
    <s v="Bharti Airtel Limited"/>
    <x v="0"/>
    <n v="0"/>
    <n v="1295.6400000000001"/>
    <n v="0"/>
    <n v="1295.6400000000001"/>
  </r>
  <r>
    <s v="COCOBLU RETAIL LIMITED"/>
    <x v="0"/>
    <n v="0"/>
    <n v="0"/>
    <n v="0"/>
    <n v="0"/>
  </r>
  <r>
    <s v="Compuworld Complete IT Solutions"/>
    <x v="0"/>
    <n v="0"/>
    <n v="0"/>
    <n v="0"/>
    <n v="0"/>
  </r>
  <r>
    <s v="Consulting Rooms Private Limited"/>
    <x v="0"/>
    <n v="0"/>
    <n v="0"/>
    <n v="0"/>
    <n v="0"/>
  </r>
  <r>
    <s v="Datamation Services"/>
    <x v="1"/>
    <n v="0"/>
    <n v="0"/>
    <n v="0"/>
    <n v="0"/>
  </r>
  <r>
    <s v="Dawntech Electronics Pvt. Ltd."/>
    <x v="0"/>
    <n v="0"/>
    <n v="0"/>
    <n v="0"/>
    <n v="0"/>
  </r>
  <r>
    <s v="Dilip Kisan Rathod"/>
    <x v="0"/>
    <n v="0"/>
    <n v="0"/>
    <n v="0"/>
    <n v="0"/>
  </r>
  <r>
    <s v="D S DATA SPEC PRIVATE LIMITED"/>
    <x v="1"/>
    <n v="0"/>
    <n v="0"/>
    <n v="0"/>
    <n v="0"/>
  </r>
  <r>
    <s v="CLOUDSTORE RETAIL PRIVATE LIMITED"/>
    <x v="0"/>
    <n v="0"/>
    <n v="0"/>
    <n v="0"/>
    <n v="0"/>
  </r>
  <r>
    <s v="DURALABEL GRAPHICS PVT LTD"/>
    <x v="3"/>
    <n v="0"/>
    <n v="0"/>
    <n v="0"/>
    <n v="0"/>
  </r>
  <r>
    <s v="EMIRATES"/>
    <x v="1"/>
    <n v="0"/>
    <n v="0"/>
    <n v="0"/>
    <n v="0"/>
  </r>
  <r>
    <s v="Dtdc Express Limited"/>
    <x v="0"/>
    <n v="-29982.62"/>
    <n v="0"/>
    <n v="0"/>
    <n v="-29982.62"/>
  </r>
  <r>
    <s v="Federation Of Indian Export Organisations"/>
    <x v="1"/>
    <n v="0"/>
    <n v="0"/>
    <n v="0"/>
    <n v="0"/>
  </r>
  <r>
    <s v="Etrade Marketing Pvt Ltd"/>
    <x v="0"/>
    <n v="0"/>
    <n v="0"/>
    <n v="0"/>
    <n v="0"/>
  </r>
  <r>
    <s v="FOUNTAINHEAD EXPORT"/>
    <x v="0"/>
    <n v="0"/>
    <n v="211869"/>
    <n v="211869"/>
    <n v="0"/>
  </r>
  <r>
    <s v="Galaxy Enterprises"/>
    <x v="0"/>
    <n v="0"/>
    <n v="0"/>
    <n v="0"/>
    <n v="0"/>
  </r>
  <r>
    <s v="Ginni Filaments Limited"/>
    <x v="3"/>
    <n v="-23345"/>
    <n v="0"/>
    <n v="0"/>
    <n v="-23345"/>
  </r>
  <r>
    <s v="Globalnet Computers"/>
    <x v="0"/>
    <n v="0"/>
    <n v="0"/>
    <n v="0"/>
    <n v="0"/>
  </r>
  <r>
    <s v="Greenvision Technologies Private Limited"/>
    <x v="0"/>
    <n v="0"/>
    <n v="0"/>
    <n v="0"/>
    <n v="0"/>
  </r>
  <r>
    <s v="GSI India"/>
    <x v="0"/>
    <n v="0"/>
    <n v="0"/>
    <n v="0"/>
    <n v="0"/>
  </r>
  <r>
    <s v="Firki Wholesale Pvt. Ltd. (Amazon)"/>
    <x v="0"/>
    <n v="0"/>
    <n v="0"/>
    <n v="0"/>
    <n v="0"/>
  </r>
  <r>
    <s v="HDFC Credit Card"/>
    <x v="0"/>
    <n v="7796"/>
    <n v="0"/>
    <n v="0"/>
    <n v="7796"/>
  </r>
  <r>
    <s v="HDFC Credit Card-6529 2600 0205 9946"/>
    <x v="0"/>
    <n v="0"/>
    <n v="0"/>
    <n v="0"/>
    <n v="0"/>
  </r>
  <r>
    <s v="HDFC Ergo General Insurance Company Ltd"/>
    <x v="0"/>
    <n v="0"/>
    <n v="0"/>
    <n v="0"/>
    <n v="0"/>
  </r>
  <r>
    <s v="HDFC SECURITIES LIMITED"/>
    <x v="0"/>
    <n v="0"/>
    <n v="0"/>
    <n v="0"/>
    <n v="0"/>
  </r>
  <r>
    <s v="HDFC SWIGGY CREDIT CARD 5268730004771208"/>
    <x v="0"/>
    <n v="0"/>
    <n v="0"/>
    <n v="0"/>
    <n v="0"/>
  </r>
  <r>
    <s v="Hinglag Packaging LLP"/>
    <x v="0"/>
    <n v="0"/>
    <n v="0"/>
    <n v="0"/>
    <n v="0"/>
  </r>
  <r>
    <s v="Hotel Marine Plaza"/>
    <x v="0"/>
    <n v="0"/>
    <n v="0"/>
    <n v="0"/>
    <n v="0"/>
  </r>
  <r>
    <s v="ICICI CREDIT CARD 4315 8126 9298 1004"/>
    <x v="0"/>
    <n v="0"/>
    <n v="0"/>
    <n v="0"/>
    <n v="0"/>
  </r>
  <r>
    <s v="ICICI CREDIT CARD 5241 9393 8697 3009"/>
    <x v="0"/>
    <n v="0"/>
    <n v="0"/>
    <n v="0"/>
    <n v="0"/>
  </r>
  <r>
    <s v="ICICI LOMBARD GENRAL INSURANCE CO. LTD."/>
    <x v="0"/>
    <n v="0"/>
    <n v="0"/>
    <n v="0"/>
    <n v="0"/>
  </r>
  <r>
    <s v="Image Info Consumables"/>
    <x v="0"/>
    <n v="0"/>
    <n v="0"/>
    <n v="0"/>
    <n v="0"/>
  </r>
  <r>
    <s v="Indian Oil Axis Bank Credit Card 4386280528394152"/>
    <x v="0"/>
    <n v="0"/>
    <n v="0"/>
    <n v="0"/>
    <n v="0"/>
  </r>
  <r>
    <s v="Indusind Bank Credit Card No. 4147 5248 7257 6017"/>
    <x v="1"/>
    <n v="0"/>
    <n v="0"/>
    <n v="0"/>
    <n v="0"/>
  </r>
  <r>
    <s v="Induslnd Bank Credit Card No.3561 4200 0783 9165"/>
    <x v="0"/>
    <n v="0"/>
    <n v="0"/>
    <n v="0"/>
    <n v="0"/>
  </r>
  <r>
    <s v="Induslnd Bank Credit Card No.5376524692827102"/>
    <x v="0"/>
    <n v="0"/>
    <n v="0"/>
    <n v="0"/>
    <n v="0"/>
  </r>
  <r>
    <s v="INFODRIVEINDIA PVT LTD"/>
    <x v="1"/>
    <n v="0"/>
    <n v="0"/>
    <n v="0"/>
    <n v="0"/>
  </r>
  <r>
    <s v="INFO EDGE (INDIA) LTD"/>
    <x v="1"/>
    <n v="0"/>
    <n v="0"/>
    <n v="0"/>
    <n v="0"/>
  </r>
  <r>
    <s v="Instanet Technologies Private Limited"/>
    <x v="0"/>
    <n v="0"/>
    <n v="650"/>
    <n v="650"/>
    <n v="0"/>
  </r>
  <r>
    <s v="INTERGLOBE AVIATION LIMITED"/>
    <x v="1"/>
    <n v="0"/>
    <n v="0"/>
    <n v="0"/>
    <n v="0"/>
  </r>
  <r>
    <s v="H A Q SUMAR ENTERPRISES"/>
    <x v="0"/>
    <n v="-50009"/>
    <n v="54640"/>
    <n v="54640"/>
    <n v="-50009"/>
  </r>
  <r>
    <s v="Jaiswal Transport"/>
    <x v="0"/>
    <n v="0"/>
    <n v="0"/>
    <n v="0"/>
    <n v="0"/>
  </r>
  <r>
    <s v="Jina Cosmetics Pvt. Ltd."/>
    <x v="2"/>
    <n v="0"/>
    <n v="0"/>
    <n v="0"/>
    <n v="0"/>
  </r>
  <r>
    <s v="Jinshasan Info Sysytem"/>
    <x v="0"/>
    <n v="0"/>
    <n v="0"/>
    <n v="0"/>
    <n v="0"/>
  </r>
  <r>
    <s v="Kaabeer Global Consultants"/>
    <x v="1"/>
    <n v="0"/>
    <n v="0"/>
    <n v="0"/>
    <n v="0"/>
  </r>
  <r>
    <s v="Kagaj Digital Gallery"/>
    <x v="2"/>
    <n v="0"/>
    <n v="0"/>
    <n v="0"/>
    <n v="0"/>
  </r>
  <r>
    <s v="KOTAK CREDIT CARD"/>
    <x v="0"/>
    <n v="0"/>
    <n v="0"/>
    <n v="0"/>
    <n v="0"/>
  </r>
  <r>
    <s v="Mahadev Forex Pvt Ltd"/>
    <x v="1"/>
    <n v="0"/>
    <n v="0"/>
    <n v="0"/>
    <n v="0"/>
  </r>
  <r>
    <s v="Manasiya Paper Products Llp"/>
    <x v="3"/>
    <n v="0"/>
    <n v="0"/>
    <n v="0"/>
    <n v="0"/>
  </r>
  <r>
    <s v="Manibhadra Electricals Pvt Ltd"/>
    <x v="1"/>
    <n v="0"/>
    <n v="0"/>
    <n v="0"/>
    <n v="0"/>
  </r>
  <r>
    <s v="Manish Parmar"/>
    <x v="0"/>
    <n v="0"/>
    <n v="0"/>
    <n v="0"/>
    <n v="0"/>
  </r>
  <r>
    <s v="Mario Industries Private Limited"/>
    <x v="2"/>
    <n v="-23961"/>
    <n v="0"/>
    <n v="0"/>
    <n v="-23961"/>
  </r>
  <r>
    <s v="MINAL PLASTIC"/>
    <x v="0"/>
    <n v="0"/>
    <n v="0"/>
    <n v="0"/>
    <n v="0"/>
  </r>
  <r>
    <s v="HDFC CREDIT CARD NO. 4375 4650 0002 6306"/>
    <x v="0"/>
    <n v="93"/>
    <n v="29207"/>
    <n v="29300"/>
    <n v="0"/>
  </r>
  <r>
    <s v="MMK E-KART INDIA PVT. LTD."/>
    <x v="0"/>
    <n v="0"/>
    <n v="0"/>
    <n v="0"/>
    <n v="0"/>
  </r>
  <r>
    <s v="Monarch Stationery"/>
    <x v="0"/>
    <n v="0"/>
    <n v="0"/>
    <n v="0"/>
    <n v="0"/>
  </r>
  <r>
    <s v="JAB Equipments Pvt. Ltd."/>
    <x v="0"/>
    <n v="0"/>
    <n v="0"/>
    <n v="0"/>
    <n v="0"/>
  </r>
  <r>
    <s v="MUKESH DILIP JADHAV"/>
    <x v="0"/>
    <n v="0"/>
    <n v="18510"/>
    <n v="18510"/>
    <n v="0"/>
  </r>
  <r>
    <s v="Namah IP Solutions"/>
    <x v="0"/>
    <n v="0"/>
    <n v="0"/>
    <n v="0"/>
    <n v="0"/>
  </r>
  <r>
    <s v="New Way Imports"/>
    <x v="2"/>
    <n v="0"/>
    <n v="0"/>
    <n v="0"/>
    <n v="0"/>
  </r>
  <r>
    <s v="Nexus Elite Lifestyle Private Limited"/>
    <x v="1"/>
    <n v="21588"/>
    <n v="617630"/>
    <n v="1199284"/>
    <n v="-560066"/>
  </r>
  <r>
    <s v="Nowtransit Cargo Pvt Ltd"/>
    <x v="0"/>
    <n v="0"/>
    <n v="0"/>
    <n v="0"/>
    <n v="0"/>
  </r>
  <r>
    <s v="Nyrwana"/>
    <x v="0"/>
    <n v="0"/>
    <n v="0"/>
    <n v="0"/>
    <n v="0"/>
  </r>
  <r>
    <s v="OM FREIGHT FORWARDERS PRIVATE LIMITED"/>
    <x v="1"/>
    <n v="0"/>
    <n v="0"/>
    <n v="0"/>
    <n v="0"/>
  </r>
  <r>
    <s v="Ozone Secutech Pvt. Ltd. (Amazon)"/>
    <x v="0"/>
    <n v="0"/>
    <n v="0"/>
    <n v="0"/>
    <n v="0"/>
  </r>
  <r>
    <s v="PARAS R BHAYANI"/>
    <x v="1"/>
    <n v="0"/>
    <n v="0"/>
    <n v="0"/>
    <n v="0"/>
  </r>
  <r>
    <s v="Parekh Market Premises Co Op Society Ltd"/>
    <x v="0"/>
    <n v="0"/>
    <n v="0"/>
    <n v="0"/>
    <n v="0"/>
  </r>
  <r>
    <s v="Posty Infotech"/>
    <x v="1"/>
    <n v="0"/>
    <n v="2360"/>
    <n v="4720"/>
    <n v="-2360"/>
  </r>
  <r>
    <s v="Prabhat Computer"/>
    <x v="2"/>
    <n v="0"/>
    <n v="0"/>
    <n v="0"/>
    <n v="0"/>
  </r>
  <r>
    <s v="PRIDE PACKAGING"/>
    <x v="2"/>
    <n v="0"/>
    <n v="0"/>
    <n v="0"/>
    <n v="0"/>
  </r>
  <r>
    <s v="Prince Traders"/>
    <x v="3"/>
    <n v="0"/>
    <n v="0"/>
    <n v="0"/>
    <n v="0"/>
  </r>
  <r>
    <s v="Quantumi Link Communication Pvt. Ltd."/>
    <x v="0"/>
    <n v="0"/>
    <n v="0"/>
    <n v="0"/>
    <n v="0"/>
  </r>
  <r>
    <s v="QUICK SALES"/>
    <x v="0"/>
    <n v="0"/>
    <n v="0"/>
    <n v="0"/>
    <n v="0"/>
  </r>
  <r>
    <s v="Qutbi Hardware Mart"/>
    <x v="0"/>
    <n v="0"/>
    <n v="0"/>
    <n v="0"/>
    <n v="0"/>
  </r>
  <r>
    <s v="RAAG CONSULTANTS"/>
    <x v="0"/>
    <n v="0"/>
    <n v="0"/>
    <n v="0"/>
    <n v="0"/>
  </r>
  <r>
    <s v="RAHUL GROVER"/>
    <x v="0"/>
    <n v="0"/>
    <n v="0"/>
    <n v="0"/>
    <n v="0"/>
  </r>
  <r>
    <s v="RAPID DIGITAL"/>
    <x v="0"/>
    <n v="-43120"/>
    <n v="43120"/>
    <n v="0"/>
    <n v="0"/>
  </r>
  <r>
    <s v="RBL Bank 5243 7319 3359 9421"/>
    <x v="0"/>
    <n v="0"/>
    <n v="0"/>
    <n v="0"/>
    <n v="0"/>
  </r>
  <r>
    <s v="Realm Marketing"/>
    <x v="0"/>
    <n v="0"/>
    <n v="115000"/>
    <n v="129999"/>
    <n v="-14999"/>
  </r>
  <r>
    <s v="Rediff.Com India Limited"/>
    <x v="0"/>
    <n v="0"/>
    <n v="0"/>
    <n v="0"/>
    <n v="0"/>
  </r>
  <r>
    <s v="MJPT &amp; CO LLP"/>
    <x v="0"/>
    <n v="-26320"/>
    <n v="452520"/>
    <n v="447800"/>
    <n v="-21600"/>
  </r>
  <r>
    <s v="Reliance Jio Fiber (A to Z)"/>
    <x v="0"/>
    <n v="0"/>
    <n v="942.82"/>
    <n v="942.82"/>
    <n v="0"/>
  </r>
  <r>
    <s v="Reliance Jio Infocomm Limited"/>
    <x v="0"/>
    <n v="0"/>
    <n v="0"/>
    <n v="0"/>
    <n v="0"/>
  </r>
  <r>
    <s v="Retailez Private Limited"/>
    <x v="0"/>
    <n v="0"/>
    <n v="0"/>
    <n v="0"/>
    <n v="0"/>
  </r>
  <r>
    <s v="Ruchi Plast"/>
    <x v="2"/>
    <n v="0"/>
    <n v="0"/>
    <n v="0"/>
    <n v="0"/>
  </r>
  <r>
    <s v="MRP Telecom Solutions"/>
    <x v="0"/>
    <n v="0"/>
    <n v="0"/>
    <n v="0"/>
    <n v="0"/>
  </r>
  <r>
    <s v="Reliance Jio Digital Life ( Mobile Serv )"/>
    <x v="0"/>
    <n v="293.82"/>
    <n v="1491.94"/>
    <n v="1491.94"/>
    <n v="293.82"/>
  </r>
  <r>
    <s v="SAUDI ARABIAN AIRLINES"/>
    <x v="1"/>
    <n v="0"/>
    <n v="0"/>
    <n v="0"/>
    <n v="0"/>
  </r>
  <r>
    <s v="Scan Barcode Solutions"/>
    <x v="2"/>
    <n v="0"/>
    <n v="0"/>
    <n v="0"/>
    <n v="0"/>
  </r>
  <r>
    <s v="Seraphic Products"/>
    <x v="3"/>
    <n v="0"/>
    <n v="0"/>
    <n v="0"/>
    <n v="0"/>
  </r>
  <r>
    <s v="Shivaye Exim Pvt. Ltd."/>
    <x v="0"/>
    <n v="0"/>
    <n v="0"/>
    <n v="0"/>
    <n v="0"/>
  </r>
  <r>
    <s v="Sadguru Water Supplier"/>
    <x v="0"/>
    <n v="0"/>
    <n v="0"/>
    <n v="0"/>
    <n v="0"/>
  </r>
  <r>
    <s v="Sai Siddhi Consultancy"/>
    <x v="0"/>
    <n v="-1000"/>
    <n v="2000"/>
    <n v="2000"/>
    <n v="-1000"/>
  </r>
  <r>
    <s v="Shiv Enterprise Pune"/>
    <x v="0"/>
    <n v="0"/>
    <n v="0"/>
    <n v="0"/>
    <n v="0"/>
  </r>
  <r>
    <s v="Shiv Enterprises (Chandigarh)"/>
    <x v="0"/>
    <n v="0"/>
    <n v="0"/>
    <n v="0"/>
    <n v="0"/>
  </r>
  <r>
    <s v="Shreya Vyass"/>
    <x v="1"/>
    <n v="-10000"/>
    <n v="10000"/>
    <n v="0"/>
    <n v="0"/>
  </r>
  <r>
    <s v="Skyland International Pvt Ltd"/>
    <x v="3"/>
    <n v="0"/>
    <n v="0"/>
    <n v="0"/>
    <n v="0"/>
  </r>
  <r>
    <s v="Sky Limit Foodtek"/>
    <x v="1"/>
    <n v="0"/>
    <n v="0"/>
    <n v="0"/>
    <n v="0"/>
  </r>
  <r>
    <s v="Smart Imaging Technology"/>
    <x v="2"/>
    <n v="0"/>
    <n v="0"/>
    <n v="0"/>
    <n v="0"/>
  </r>
  <r>
    <s v="Softech Solution"/>
    <x v="0"/>
    <n v="0"/>
    <n v="0"/>
    <n v="0"/>
    <n v="0"/>
  </r>
  <r>
    <s v="SOMAIYA CARRIERS"/>
    <x v="1"/>
    <n v="0"/>
    <n v="0"/>
    <n v="0"/>
    <n v="0"/>
  </r>
  <r>
    <s v="Spices Boa Exhibitions"/>
    <x v="1"/>
    <n v="0"/>
    <n v="0"/>
    <n v="0"/>
    <n v="0"/>
  </r>
  <r>
    <s v="SPICES BOARD"/>
    <x v="1"/>
    <n v="0"/>
    <n v="211575.85"/>
    <n v="211575.85"/>
    <n v="0"/>
  </r>
  <r>
    <s v="T K Transport Company"/>
    <x v="0"/>
    <n v="0"/>
    <n v="0"/>
    <n v="0"/>
    <n v="0"/>
  </r>
  <r>
    <s v="Trade Promotion Council Of India"/>
    <x v="1"/>
    <n v="0"/>
    <n v="0"/>
    <n v="0"/>
    <n v="0"/>
  </r>
  <r>
    <s v="Transcorp Enterprises Limited"/>
    <x v="1"/>
    <n v="0"/>
    <n v="0"/>
    <n v="0"/>
    <n v="0"/>
  </r>
  <r>
    <s v="Tstar Aerosol"/>
    <x v="3"/>
    <n v="113723"/>
    <n v="0"/>
    <n v="0"/>
    <n v="113723"/>
  </r>
  <r>
    <s v="Tulip Sales"/>
    <x v="0"/>
    <n v="0"/>
    <n v="0"/>
    <n v="0"/>
    <n v="0"/>
  </r>
  <r>
    <s v="Ultra International Ltd"/>
    <x v="3"/>
    <n v="0"/>
    <n v="0"/>
    <n v="0"/>
    <n v="0"/>
  </r>
  <r>
    <s v="Vasai Virar City Municipal Corporation"/>
    <x v="0"/>
    <n v="0"/>
    <n v="0"/>
    <n v="0"/>
    <n v="0"/>
  </r>
  <r>
    <s v="VEER BHAVANI HARDWARE"/>
    <x v="0"/>
    <n v="0"/>
    <n v="0"/>
    <n v="0"/>
    <n v="0"/>
  </r>
  <r>
    <s v="Wide Infotech India Ltd."/>
    <x v="0"/>
    <n v="0"/>
    <n v="0"/>
    <n v="0"/>
    <n v="0"/>
  </r>
  <r>
    <s v="Winman Software India LLP"/>
    <x v="0"/>
    <n v="0"/>
    <n v="0"/>
    <n v="0"/>
    <n v="0"/>
  </r>
  <r>
    <s v="Shree Enterprises"/>
    <x v="0"/>
    <n v="0"/>
    <n v="0"/>
    <n v="0"/>
    <n v="0"/>
  </r>
  <r>
    <s v="Yogesh Acholkar"/>
    <x v="2"/>
    <n v="0"/>
    <n v="0"/>
    <n v="0"/>
    <n v="0"/>
  </r>
  <r>
    <s v="ZOHO CORPORATION PRIVATE LIMITED"/>
    <x v="0"/>
    <n v="0"/>
    <n v="0"/>
    <n v="0"/>
    <n v="0"/>
  </r>
  <r>
    <s v="ALIBABA.COM"/>
    <x v="1"/>
    <n v="0"/>
    <n v="0"/>
    <n v="0"/>
    <n v="0"/>
  </r>
  <r>
    <s v="DIGITAL IT SOLUTIONS"/>
    <x v="1"/>
    <n v="282"/>
    <n v="0"/>
    <n v="0"/>
    <n v="282"/>
  </r>
  <r>
    <s v="DM Services Private Limited"/>
    <x v="1"/>
    <n v="24841"/>
    <n v="0"/>
    <n v="24841"/>
    <n v="0"/>
  </r>
  <r>
    <s v="GLOBAL COMPUTERS"/>
    <x v="1"/>
    <n v="1433"/>
    <n v="0"/>
    <n v="9603"/>
    <n v="-8170"/>
  </r>
  <r>
    <s v="Interglobe Aviation Limited - Gujarat"/>
    <x v="1"/>
    <n v="0"/>
    <n v="0"/>
    <n v="0"/>
    <n v="0"/>
  </r>
  <r>
    <s v="Interglobe Aviation Limited-New Delhi"/>
    <x v="1"/>
    <n v="0"/>
    <n v="0"/>
    <n v="0"/>
    <n v="0"/>
  </r>
  <r>
    <s v="Sai Communication"/>
    <x v="1"/>
    <n v="279"/>
    <n v="0"/>
    <n v="304"/>
    <n v="-25"/>
  </r>
  <r>
    <s v="Tech Plus"/>
    <x v="1"/>
    <n v="0"/>
    <n v="0"/>
    <n v="0"/>
    <n v="0"/>
  </r>
  <r>
    <s v="Thai Airways International Public Company Limited"/>
    <x v="1"/>
    <n v="0"/>
    <n v="0"/>
    <n v="0"/>
    <n v="0"/>
  </r>
  <r>
    <s v="Harsha Enterprises"/>
    <x v="0"/>
    <n v="199900"/>
    <n v="0"/>
    <n v="100000"/>
    <n v="99900"/>
  </r>
  <r>
    <s v="INDUSTRIAL ENGINEERS DISTRIBUTORS PVT. LTD."/>
    <x v="1"/>
    <n v="0"/>
    <n v="0"/>
    <n v="0"/>
    <n v="0"/>
  </r>
  <r>
    <s v="Micro Tab Info Solution"/>
    <x v="1"/>
    <n v="0"/>
    <n v="0"/>
    <n v="0"/>
    <n v="0"/>
  </r>
  <r>
    <s v="Opal Infotech"/>
    <x v="1"/>
    <n v="0"/>
    <n v="0"/>
    <n v="0"/>
    <n v="0"/>
  </r>
  <r>
    <s v="SHREE SHYAM EXPRESS GOODS CARRIER"/>
    <x v="1"/>
    <n v="0"/>
    <n v="0"/>
    <n v="0"/>
    <n v="0"/>
  </r>
  <r>
    <s v="Sri Ganesh Systems"/>
    <x v="1"/>
    <n v="0"/>
    <n v="0"/>
    <n v="0"/>
    <n v="0"/>
  </r>
  <r>
    <s v="UNI TRAANS LOG PRIVATE LIMITED"/>
    <x v="1"/>
    <n v="-220301"/>
    <n v="0"/>
    <n v="0"/>
    <n v="-220301"/>
  </r>
  <r>
    <s v="We Recommend"/>
    <x v="1"/>
    <n v="0"/>
    <n v="0"/>
    <n v="0"/>
    <n v="0"/>
  </r>
  <r>
    <s v="Metal ORE"/>
    <x v="0"/>
    <n v="0"/>
    <n v="0"/>
    <n v="0"/>
    <n v="0"/>
  </r>
  <r>
    <s v="AMI  Food Products"/>
    <x v="4"/>
    <n v="0"/>
    <n v="2572500"/>
    <n v="2572500"/>
    <n v="0"/>
  </r>
  <r>
    <s v="Diamond Trading Company"/>
    <x v="4"/>
    <n v="0"/>
    <n v="0"/>
    <n v="0"/>
    <n v="0"/>
  </r>
  <r>
    <s v="Govindraj Spices"/>
    <x v="4"/>
    <n v="0"/>
    <n v="609000"/>
    <n v="609000"/>
    <n v="0"/>
  </r>
  <r>
    <s v="Maa Enterprise"/>
    <x v="4"/>
    <n v="-2069"/>
    <n v="2069"/>
    <n v="0"/>
    <n v="0"/>
  </r>
  <r>
    <s v="Raigad Chamber Of Commerce &amp; Industry"/>
    <x v="4"/>
    <n v="0"/>
    <n v="0"/>
    <n v="0"/>
    <n v="0"/>
  </r>
  <r>
    <s v="Rivera  Hotel  Pvt. Ltd."/>
    <x v="4"/>
    <n v="0"/>
    <n v="0"/>
    <n v="0"/>
    <n v="0"/>
  </r>
  <r>
    <s v="S R Packaging Ind."/>
    <x v="4"/>
    <n v="0"/>
    <n v="33205"/>
    <n v="33205"/>
    <n v="0"/>
  </r>
  <r>
    <s v="Sasman Overseas Export Import Private Limited"/>
    <x v="4"/>
    <n v="-4843178"/>
    <n v="2349878"/>
    <n v="0"/>
    <n v="-2493300"/>
  </r>
  <r>
    <s v="Shree Jaliyan Agri"/>
    <x v="4"/>
    <n v="0"/>
    <n v="551250"/>
    <n v="551250"/>
    <n v="0"/>
  </r>
  <r>
    <s v="Siddhi Enterprises"/>
    <x v="4"/>
    <n v="0"/>
    <n v="44972"/>
    <n v="44972"/>
    <n v="0"/>
  </r>
  <r>
    <s v="Sky international"/>
    <x v="4"/>
    <n v="0"/>
    <n v="2734200"/>
    <n v="2734200"/>
    <n v="0"/>
  </r>
  <r>
    <s v="Falguni D Mehta-Vashi Office"/>
    <x v="4"/>
    <n v="-25200"/>
    <n v="25200"/>
    <n v="25200"/>
    <n v="-25200"/>
  </r>
  <r>
    <s v="Jeyam Trading Company"/>
    <x v="4"/>
    <n v="11800"/>
    <n v="0"/>
    <n v="0"/>
    <n v="11800"/>
  </r>
  <r>
    <s v="STALLCRAFT DESIGNS"/>
    <x v="4"/>
    <n v="0"/>
    <n v="0"/>
    <n v="0"/>
    <n v="0"/>
  </r>
  <r>
    <s v="A.T.N. Enterprise"/>
    <x v="4"/>
    <n v="0"/>
    <n v="3627173"/>
    <n v="3627173"/>
    <n v="0"/>
  </r>
  <r>
    <s v="Bharti Airtel Ltd-Vashi"/>
    <x v="4"/>
    <n v="455.32"/>
    <n v="133.5"/>
    <n v="588.82000000000005"/>
    <n v="0"/>
  </r>
  <r>
    <s v="Jamiat Ulama-I-Hind Halal Trust"/>
    <x v="4"/>
    <n v="0"/>
    <n v="0"/>
    <n v="0"/>
    <n v="0"/>
  </r>
  <r>
    <s v="Labh Corporation"/>
    <x v="4"/>
    <n v="0"/>
    <n v="1013253"/>
    <n v="1013253"/>
    <n v="0"/>
  </r>
  <r>
    <s v="New Jaora Spices"/>
    <x v="4"/>
    <n v="0"/>
    <n v="1128897"/>
    <n v="1128897"/>
    <n v="0"/>
  </r>
  <r>
    <s v="Om Sai Transport"/>
    <x v="4"/>
    <n v="0"/>
    <n v="0"/>
    <n v="0"/>
    <n v="0"/>
  </r>
  <r>
    <s v="Palsun Maritime (India) Limited"/>
    <x v="4"/>
    <n v="-17246"/>
    <n v="402716"/>
    <n v="2319667.73"/>
    <n v="-1934197.73"/>
  </r>
  <r>
    <s v="RADIANT SOLUTION"/>
    <x v="4"/>
    <n v="0"/>
    <n v="0"/>
    <n v="0"/>
    <n v="0"/>
  </r>
  <r>
    <s v="Sarju Transport"/>
    <x v="4"/>
    <n v="0"/>
    <n v="0"/>
    <n v="0"/>
    <n v="0"/>
  </r>
  <r>
    <s v="Sar Transport Systems Private Limited"/>
    <x v="4"/>
    <n v="0"/>
    <n v="21660"/>
    <n v="21660"/>
    <n v="0"/>
  </r>
  <r>
    <s v="Spized Organics"/>
    <x v="4"/>
    <n v="8785"/>
    <n v="9987215"/>
    <n v="9996000"/>
    <n v="0"/>
  </r>
  <r>
    <s v="Swakul Agro Producer Company Limited"/>
    <x v="4"/>
    <n v="0"/>
    <n v="0"/>
    <n v="0"/>
    <n v="0"/>
  </r>
  <r>
    <s v="Abacus Infotech"/>
    <x v="0"/>
    <n v="0"/>
    <n v="0"/>
    <n v="0"/>
    <n v="0"/>
  </r>
  <r>
    <s v="Framebazaar India Pvt Ltd"/>
    <x v="0"/>
    <n v="0"/>
    <n v="0"/>
    <n v="0"/>
    <n v="0"/>
  </r>
  <r>
    <s v="LIV Pure"/>
    <x v="0"/>
    <n v="0"/>
    <n v="0"/>
    <n v="0"/>
    <n v="0"/>
  </r>
  <r>
    <s v="JNG &amp; Co. LLP"/>
    <x v="0"/>
    <n v="100000"/>
    <n v="0"/>
    <n v="0"/>
    <n v="100000"/>
  </r>
  <r>
    <s v="SUNSHINE STATIONERES"/>
    <x v="0"/>
    <n v="0"/>
    <n v="7918"/>
    <n v="7918"/>
    <n v="0"/>
  </r>
  <r>
    <s v="AZEEM AHMAD MANSOORI"/>
    <x v="0"/>
    <n v="0"/>
    <n v="0"/>
    <n v="0"/>
    <n v="0"/>
  </r>
  <r>
    <s v="Food Safety and Standards Authority of India"/>
    <x v="0"/>
    <n v="0"/>
    <n v="0"/>
    <n v="0"/>
    <n v="0"/>
  </r>
  <r>
    <s v="Madhusudan Agent"/>
    <x v="0"/>
    <n v="0"/>
    <n v="0"/>
    <n v="0"/>
    <n v="0"/>
  </r>
  <r>
    <s v="ST. FRANCIS CAR AIR"/>
    <x v="0"/>
    <n v="0"/>
    <n v="0"/>
    <n v="0"/>
    <n v="0"/>
  </r>
  <r>
    <s v="HDFC CREDIT CARD NO. 4375 4650 0076 0326"/>
    <x v="0"/>
    <n v="0"/>
    <n v="0"/>
    <n v="0"/>
    <n v="0"/>
  </r>
  <r>
    <s v="SHREE SHEMKARI INFOSYS"/>
    <x v="0"/>
    <n v="-226"/>
    <n v="0"/>
    <n v="0"/>
    <n v="-226"/>
  </r>
  <r>
    <s v="Future Tech"/>
    <x v="1"/>
    <n v="19798"/>
    <n v="790001"/>
    <n v="809799"/>
    <n v="0"/>
  </r>
  <r>
    <s v="Workindia"/>
    <x v="0"/>
    <n v="0"/>
    <n v="0"/>
    <n v="0"/>
    <n v="0"/>
  </r>
  <r>
    <s v="Badani Industries"/>
    <x v="4"/>
    <n v="0"/>
    <n v="663348"/>
    <n v="663348"/>
    <n v="0"/>
  </r>
  <r>
    <s v="Dnr Agri Exports"/>
    <x v="4"/>
    <n v="0"/>
    <n v="0"/>
    <n v="0"/>
    <n v="0"/>
  </r>
  <r>
    <s v="Harshvika Trading Co"/>
    <x v="4"/>
    <n v="0"/>
    <n v="2552000"/>
    <n v="2652000"/>
    <n v="-100000"/>
  </r>
  <r>
    <s v="Khatau &amp; Sons"/>
    <x v="4"/>
    <n v="-2065"/>
    <n v="3319"/>
    <n v="1254"/>
    <n v="0"/>
  </r>
  <r>
    <s v="MADHUSUDHANAN S.M. EXPORTS IMPORTS CONSULTANCY"/>
    <x v="4"/>
    <n v="-30377"/>
    <n v="23375"/>
    <n v="0"/>
    <n v="-7002"/>
  </r>
  <r>
    <s v="Navkar Enterprise"/>
    <x v="0"/>
    <n v="0"/>
    <n v="306800"/>
    <n v="306800"/>
    <n v="0"/>
  </r>
  <r>
    <s v="PACK SEALS INDUSTRIES"/>
    <x v="0"/>
    <n v="0"/>
    <n v="0"/>
    <n v="0"/>
    <n v="0"/>
  </r>
  <r>
    <s v="Patel Retail Limited"/>
    <x v="4"/>
    <n v="-50000"/>
    <n v="0"/>
    <n v="0"/>
    <n v="-50000"/>
  </r>
  <r>
    <s v="Sahebjee Enterprises"/>
    <x v="0"/>
    <n v="-79006"/>
    <n v="161922"/>
    <n v="82916"/>
    <n v="0"/>
  </r>
  <r>
    <s v="Samkit Advertising"/>
    <x v="0"/>
    <n v="0"/>
    <n v="0"/>
    <n v="0"/>
    <n v="0"/>
  </r>
  <r>
    <s v="Shree Bhagwati Agro Process"/>
    <x v="4"/>
    <n v="-161460"/>
    <n v="161460"/>
    <n v="2146725"/>
    <n v="-2146725"/>
  </r>
  <r>
    <s v="SHRI RAM TRANSPORT"/>
    <x v="4"/>
    <n v="-7600"/>
    <n v="7600"/>
    <n v="0"/>
    <n v="0"/>
  </r>
  <r>
    <s v="SIDDHIVINAYAK TRANSPORT"/>
    <x v="0"/>
    <n v="-20900"/>
    <n v="20900"/>
    <n v="0"/>
    <n v="0"/>
  </r>
  <r>
    <s v="Sk India Marine Services"/>
    <x v="4"/>
    <n v="-318718"/>
    <n v="318718"/>
    <n v="0"/>
    <n v="0"/>
  </r>
  <r>
    <s v="Sme Industrial Consulting"/>
    <x v="4"/>
    <n v="0"/>
    <n v="0"/>
    <n v="0"/>
    <n v="0"/>
  </r>
  <r>
    <s v="Sunil D&quot;souza (Ramdas)"/>
    <x v="0"/>
    <n v="12000"/>
    <n v="0"/>
    <n v="0"/>
    <n v="12000"/>
  </r>
  <r>
    <s v="Sunshine Marketing"/>
    <x v="4"/>
    <n v="0"/>
    <n v="0"/>
    <n v="0"/>
    <n v="0"/>
  </r>
  <r>
    <s v="Taj Trading Company"/>
    <x v="0"/>
    <n v="0"/>
    <n v="3108269"/>
    <n v="3108269"/>
    <n v="0"/>
  </r>
  <r>
    <s v="Vardhman Natural Ingredients Private Limited"/>
    <x v="4"/>
    <n v="-1596000"/>
    <n v="3066000"/>
    <n v="1470000"/>
    <n v="0"/>
  </r>
  <r>
    <s v="Vijay Traders"/>
    <x v="4"/>
    <n v="0"/>
    <n v="0"/>
    <n v="0"/>
    <n v="0"/>
  </r>
  <r>
    <s v="24 DIGITAL INDIA"/>
    <x v="0"/>
    <n v="0"/>
    <n v="35400"/>
    <n v="35400"/>
    <n v="0"/>
  </r>
  <r>
    <s v="ASHOK SHIVAJIRAO JADHAV"/>
    <x v="4"/>
    <n v="0"/>
    <n v="0"/>
    <n v="0"/>
    <n v="0"/>
  </r>
  <r>
    <s v="Bhavyaa Solutions Llp"/>
    <x v="4"/>
    <n v="0"/>
    <n v="15930"/>
    <n v="15930"/>
    <n v="0"/>
  </r>
  <r>
    <s v="Bhoir Stationary"/>
    <x v="0"/>
    <n v="0"/>
    <n v="5999"/>
    <n v="5999"/>
    <n v="0"/>
  </r>
  <r>
    <s v="CARICO SHIPPING PVT LTD"/>
    <x v="1"/>
    <n v="0"/>
    <n v="220301"/>
    <n v="0"/>
    <n v="220301"/>
  </r>
  <r>
    <s v="Dagha Sales"/>
    <x v="0"/>
    <n v="0"/>
    <n v="3894"/>
    <n v="3894"/>
    <n v="0"/>
  </r>
  <r>
    <s v="Devanshi Shipping Agency Private Limited"/>
    <x v="4"/>
    <n v="-108055"/>
    <n v="108055"/>
    <n v="0"/>
    <n v="0"/>
  </r>
  <r>
    <s v="DHL"/>
    <x v="0"/>
    <n v="0"/>
    <n v="10460"/>
    <n v="10460"/>
    <n v="0"/>
  </r>
  <r>
    <s v="Faya Traders"/>
    <x v="4"/>
    <n v="-339916"/>
    <n v="339916"/>
    <n v="684600"/>
    <n v="-684600"/>
  </r>
  <r>
    <s v="ICICI Bank Forex Card-New 4065 8357 0248 8126"/>
    <x v="0"/>
    <n v="461145"/>
    <n v="0"/>
    <n v="86308.03"/>
    <n v="374836.97"/>
  </r>
  <r>
    <s v="Indian Oilseed And Produce Export Promotional Concil"/>
    <x v="4"/>
    <n v="0"/>
    <n v="0"/>
    <n v="0"/>
    <n v="0"/>
  </r>
  <r>
    <s v="Jimmy &amp; Sons Foods Llp"/>
    <x v="4"/>
    <n v="0"/>
    <n v="11930100"/>
    <n v="11930100"/>
    <n v="0"/>
  </r>
  <r>
    <s v="Mitt Agro Private Limited"/>
    <x v="4"/>
    <n v="-20244"/>
    <n v="20244"/>
    <n v="0"/>
    <n v="0"/>
  </r>
  <r>
    <s v="Mohananand Trading Company"/>
    <x v="4"/>
    <n v="0"/>
    <n v="1512000"/>
    <n v="1512000"/>
    <n v="0"/>
  </r>
  <r>
    <s v="Rajau Agro Foods Private Limited"/>
    <x v="4"/>
    <n v="50000"/>
    <n v="100000"/>
    <n v="0"/>
    <n v="150000"/>
  </r>
  <r>
    <s v="Sanmati Traders"/>
    <x v="4"/>
    <n v="0"/>
    <n v="257250"/>
    <n v="257250"/>
    <n v="0"/>
  </r>
  <r>
    <s v="SHREE SAMARTH FREIGHT"/>
    <x v="0"/>
    <n v="0"/>
    <n v="91382"/>
    <n v="91382"/>
    <n v="0"/>
  </r>
  <r>
    <s v="SHRI BALIRAJA TRADING COMPANY"/>
    <x v="4"/>
    <n v="0"/>
    <n v="3912300"/>
    <n v="3912300"/>
    <n v="0"/>
  </r>
  <r>
    <s v="Sky Land Courier"/>
    <x v="4"/>
    <n v="-5983"/>
    <n v="22780"/>
    <n v="16797"/>
    <n v="0"/>
  </r>
  <r>
    <s v="TATA AIG Travel Insurance"/>
    <x v="0"/>
    <n v="0"/>
    <n v="0"/>
    <n v="3506"/>
    <n v="-3506"/>
  </r>
  <r>
    <s v="Yan Industries"/>
    <x v="0"/>
    <n v="0"/>
    <n v="0"/>
    <n v="19517"/>
    <n v="-19517"/>
  </r>
  <r>
    <s v="Zubin's Royal Fleet"/>
    <x v="0"/>
    <n v="0"/>
    <n v="13351"/>
    <n v="13351"/>
    <n v="0"/>
  </r>
  <r>
    <s v="Axis Bank Credit Card 4152"/>
    <x v="0"/>
    <n v="0"/>
    <n v="0"/>
    <n v="0"/>
    <n v="0"/>
  </r>
  <r>
    <s v="Citi Bank Credit Card -Platinum"/>
    <x v="0"/>
    <n v="0"/>
    <n v="0"/>
    <n v="0"/>
    <n v="0"/>
  </r>
  <r>
    <s v="CitiBank Credit Card"/>
    <x v="0"/>
    <n v="0"/>
    <n v="0"/>
    <n v="0"/>
    <n v="0"/>
  </r>
  <r>
    <s v="HDFC CREDIT CARD NO. 4375 4650 0011 8822"/>
    <x v="0"/>
    <n v="0"/>
    <n v="0"/>
    <n v="0"/>
    <n v="0"/>
  </r>
  <r>
    <s v="Kotak Credit Card No. 4147 6716 0110 0245"/>
    <x v="0"/>
    <n v="0"/>
    <n v="0"/>
    <n v="0"/>
    <n v="0"/>
  </r>
  <r>
    <s v="Singapore Airlines Ltd."/>
    <x v="1"/>
    <n v="0"/>
    <n v="0"/>
    <n v="0"/>
    <n v="0"/>
  </r>
  <r>
    <s v="Futuretech-Chhenai"/>
    <x v="1"/>
    <n v="0"/>
    <n v="0"/>
    <n v="0"/>
    <n v="0"/>
  </r>
  <r>
    <s v="AFRIZON TRADING COMPANY LIMITED"/>
    <x v="4"/>
    <n v="0"/>
    <n v="2121504"/>
    <n v="0"/>
    <n v="212150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x v="0"/>
    <n v="-2950"/>
    <n v="2950"/>
    <n v="0"/>
    <n v="0"/>
    <m/>
    <n v="-17847"/>
    <n v="52686.5"/>
    <n v="34839.5"/>
    <n v="0"/>
  </r>
  <r>
    <x v="1"/>
    <n v="0"/>
    <n v="0"/>
    <n v="0"/>
    <n v="0"/>
    <m/>
    <n v="0"/>
    <n v="5900"/>
    <n v="5900"/>
    <n v="0"/>
  </r>
  <r>
    <x v="0"/>
    <n v="0"/>
    <n v="21714"/>
    <n v="21714"/>
    <n v="0"/>
    <m/>
    <n v="0"/>
    <n v="21714"/>
    <n v="21714"/>
    <n v="0"/>
  </r>
  <r>
    <x v="1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0"/>
    <n v="0"/>
    <n v="0"/>
    <n v="1295.6400000000001"/>
    <n v="-1295.6400000000001"/>
    <m/>
    <n v="0"/>
    <n v="529.82000000000005"/>
    <n v="1825.46"/>
    <n v="-1295.6400000000001"/>
  </r>
  <r>
    <x v="0"/>
    <n v="0"/>
    <n v="1414.82"/>
    <n v="1414.82"/>
    <n v="0"/>
    <m/>
    <n v="-6219.16"/>
    <n v="32293.08"/>
    <n v="26073.919999999998"/>
    <n v="0"/>
  </r>
  <r>
    <x v="0"/>
    <n v="0"/>
    <n v="1763"/>
    <n v="1763"/>
    <n v="0"/>
    <m/>
    <n v="-6134"/>
    <n v="69851.23"/>
    <n v="63717.23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2"/>
    <n v="0"/>
    <n v="0"/>
    <n v="0"/>
    <n v="0"/>
    <m/>
    <n v="-221250"/>
    <n v="22125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54908"/>
    <n v="54908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3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164182.82"/>
    <n v="151904"/>
    <n v="316086.82"/>
    <n v="0"/>
  </r>
  <r>
    <x v="0"/>
    <n v="0"/>
    <n v="0"/>
    <n v="0"/>
    <n v="0"/>
    <m/>
    <n v="42199"/>
    <n v="388748"/>
    <n v="430947"/>
    <n v="0"/>
  </r>
  <r>
    <x v="0"/>
    <n v="0"/>
    <n v="0"/>
    <n v="0"/>
    <n v="0"/>
    <m/>
    <n v="0"/>
    <n v="0"/>
    <n v="0"/>
    <n v="0"/>
  </r>
  <r>
    <x v="0"/>
    <n v="-1000"/>
    <n v="0"/>
    <n v="0"/>
    <n v="-1000"/>
    <m/>
    <n v="-960.98"/>
    <n v="16522"/>
    <n v="16561.02"/>
    <n v="-100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118"/>
    <n v="118"/>
    <n v="0"/>
  </r>
  <r>
    <x v="0"/>
    <n v="0"/>
    <n v="0"/>
    <n v="0"/>
    <n v="0"/>
    <m/>
    <n v="0"/>
    <n v="0"/>
    <n v="0"/>
    <n v="0"/>
  </r>
  <r>
    <x v="0"/>
    <n v="-54000"/>
    <n v="0"/>
    <n v="0"/>
    <n v="-54000"/>
    <m/>
    <n v="-54000"/>
    <n v="281600"/>
    <n v="281600"/>
    <n v="-5400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525"/>
    <n v="525"/>
    <n v="0"/>
  </r>
  <r>
    <x v="0"/>
    <n v="0"/>
    <n v="0"/>
    <n v="0"/>
    <n v="0"/>
    <m/>
    <n v="0"/>
    <n v="0"/>
    <n v="0"/>
    <n v="0"/>
  </r>
  <r>
    <x v="0"/>
    <n v="0"/>
    <n v="17509"/>
    <n v="17509"/>
    <n v="0"/>
    <m/>
    <n v="-112576"/>
    <n v="423303"/>
    <n v="310727"/>
    <n v="0"/>
  </r>
  <r>
    <x v="1"/>
    <n v="-123480"/>
    <n v="123480"/>
    <n v="0"/>
    <n v="0"/>
    <m/>
    <n v="0"/>
    <n v="492002"/>
    <n v="492002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796"/>
    <n v="796"/>
    <n v="0"/>
  </r>
  <r>
    <x v="0"/>
    <n v="0"/>
    <n v="0"/>
    <n v="0"/>
    <n v="0"/>
    <m/>
    <n v="0"/>
    <n v="0"/>
    <n v="0"/>
    <n v="0"/>
  </r>
  <r>
    <x v="2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1295.6400000000001"/>
    <n v="0"/>
    <n v="1295.6400000000001"/>
    <m/>
    <n v="-1606.45"/>
    <n v="12948.34"/>
    <n v="10046.25"/>
    <n v="1295.6400000000001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7038.02"/>
    <n v="7038.02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-8528"/>
    <n v="8528"/>
    <n v="0"/>
    <n v="0"/>
  </r>
  <r>
    <x v="3"/>
    <n v="0"/>
    <n v="0"/>
    <n v="0"/>
    <n v="0"/>
    <m/>
    <n v="0"/>
    <n v="29500"/>
    <n v="29500"/>
    <n v="0"/>
  </r>
  <r>
    <x v="1"/>
    <n v="0"/>
    <n v="0"/>
    <n v="0"/>
    <n v="0"/>
    <m/>
    <n v="0"/>
    <n v="0"/>
    <n v="0"/>
    <n v="0"/>
  </r>
  <r>
    <x v="0"/>
    <n v="-29982.62"/>
    <n v="0"/>
    <n v="0"/>
    <n v="-29982.62"/>
    <m/>
    <n v="-80160"/>
    <n v="99493.440000000002"/>
    <n v="49316.06"/>
    <n v="-29982.62"/>
  </r>
  <r>
    <x v="1"/>
    <n v="0"/>
    <n v="0"/>
    <n v="0"/>
    <n v="0"/>
    <m/>
    <n v="0"/>
    <n v="17995"/>
    <n v="17995"/>
    <n v="0"/>
  </r>
  <r>
    <x v="0"/>
    <n v="0"/>
    <n v="0"/>
    <n v="0"/>
    <n v="0"/>
    <m/>
    <n v="-1086"/>
    <n v="1086"/>
    <n v="0"/>
    <n v="0"/>
  </r>
  <r>
    <x v="0"/>
    <n v="0"/>
    <n v="211869"/>
    <n v="211869"/>
    <n v="0"/>
    <m/>
    <n v="0"/>
    <n v="2507257"/>
    <n v="2507257"/>
    <n v="0"/>
  </r>
  <r>
    <x v="0"/>
    <n v="0"/>
    <n v="0"/>
    <n v="0"/>
    <n v="0"/>
    <m/>
    <n v="0"/>
    <n v="0"/>
    <n v="0"/>
    <n v="0"/>
  </r>
  <r>
    <x v="3"/>
    <n v="-23345"/>
    <n v="0"/>
    <n v="0"/>
    <n v="-23345"/>
    <m/>
    <n v="-23345"/>
    <n v="0"/>
    <n v="0"/>
    <n v="-23345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-3395"/>
    <n v="3395"/>
    <n v="0"/>
    <n v="0"/>
  </r>
  <r>
    <x v="0"/>
    <n v="7796"/>
    <n v="0"/>
    <n v="0"/>
    <n v="7796"/>
    <m/>
    <n v="0"/>
    <n v="7796"/>
    <n v="0"/>
    <n v="7796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147415"/>
    <n v="147415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4594"/>
    <n v="4594"/>
    <n v="0"/>
  </r>
  <r>
    <x v="0"/>
    <n v="0"/>
    <n v="0"/>
    <n v="0"/>
    <n v="0"/>
    <m/>
    <n v="0"/>
    <n v="1215"/>
    <n v="1215"/>
    <n v="0"/>
  </r>
  <r>
    <x v="0"/>
    <n v="0"/>
    <n v="0"/>
    <n v="0"/>
    <n v="0"/>
    <m/>
    <n v="0"/>
    <n v="40120"/>
    <n v="40120"/>
    <n v="0"/>
  </r>
  <r>
    <x v="0"/>
    <n v="0"/>
    <n v="0"/>
    <n v="0"/>
    <n v="0"/>
    <m/>
    <n v="0"/>
    <n v="18956"/>
    <n v="18956"/>
    <n v="0"/>
  </r>
  <r>
    <x v="0"/>
    <n v="0"/>
    <n v="0"/>
    <n v="0"/>
    <n v="0"/>
    <m/>
    <n v="0"/>
    <n v="363197"/>
    <n v="363197"/>
    <n v="0"/>
  </r>
  <r>
    <x v="0"/>
    <n v="0"/>
    <n v="0"/>
    <n v="0"/>
    <n v="0"/>
    <m/>
    <n v="0"/>
    <n v="15505"/>
    <n v="15505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14637.12"/>
    <n v="14637.12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31186.03"/>
    <n v="31186.03"/>
    <n v="0"/>
  </r>
  <r>
    <x v="0"/>
    <n v="0"/>
    <n v="0"/>
    <n v="0"/>
    <n v="0"/>
    <m/>
    <n v="0"/>
    <n v="62386"/>
    <n v="62386"/>
    <n v="0"/>
  </r>
  <r>
    <x v="1"/>
    <n v="0"/>
    <n v="0"/>
    <n v="0"/>
    <n v="0"/>
    <m/>
    <n v="0"/>
    <n v="318600"/>
    <n v="318600"/>
    <n v="0"/>
  </r>
  <r>
    <x v="1"/>
    <n v="0"/>
    <n v="0"/>
    <n v="0"/>
    <n v="0"/>
    <m/>
    <n v="-22420"/>
    <n v="22420"/>
    <n v="0"/>
    <n v="0"/>
  </r>
  <r>
    <x v="0"/>
    <n v="0"/>
    <n v="650"/>
    <n v="650"/>
    <n v="0"/>
    <m/>
    <n v="0"/>
    <n v="7800"/>
    <n v="7800"/>
    <n v="0"/>
  </r>
  <r>
    <x v="1"/>
    <n v="0"/>
    <n v="0"/>
    <n v="0"/>
    <n v="0"/>
    <m/>
    <n v="0"/>
    <n v="58203"/>
    <n v="58203"/>
    <n v="0"/>
  </r>
  <r>
    <x v="0"/>
    <n v="-50009"/>
    <n v="54640"/>
    <n v="54640"/>
    <n v="-50009"/>
    <m/>
    <n v="-52164"/>
    <n v="632063"/>
    <n v="629908"/>
    <n v="-50009"/>
  </r>
  <r>
    <x v="0"/>
    <n v="0"/>
    <n v="0"/>
    <n v="0"/>
    <n v="0"/>
    <m/>
    <n v="0"/>
    <n v="0"/>
    <n v="0"/>
    <n v="0"/>
  </r>
  <r>
    <x v="2"/>
    <n v="0"/>
    <n v="0"/>
    <n v="0"/>
    <n v="0"/>
    <m/>
    <n v="0"/>
    <n v="32487"/>
    <n v="32487"/>
    <n v="0"/>
  </r>
  <r>
    <x v="0"/>
    <n v="0"/>
    <n v="0"/>
    <n v="0"/>
    <n v="0"/>
    <m/>
    <n v="0"/>
    <n v="96000"/>
    <n v="96000"/>
    <n v="0"/>
  </r>
  <r>
    <x v="1"/>
    <n v="0"/>
    <n v="0"/>
    <n v="0"/>
    <n v="0"/>
    <m/>
    <n v="0"/>
    <n v="0"/>
    <n v="0"/>
    <n v="0"/>
  </r>
  <r>
    <x v="2"/>
    <n v="0"/>
    <n v="0"/>
    <n v="0"/>
    <n v="0"/>
    <m/>
    <n v="-36736"/>
    <n v="77168"/>
    <n v="40432"/>
    <n v="0"/>
  </r>
  <r>
    <x v="0"/>
    <n v="0"/>
    <n v="0"/>
    <n v="0"/>
    <n v="0"/>
    <m/>
    <n v="0"/>
    <n v="861"/>
    <n v="861"/>
    <n v="0"/>
  </r>
  <r>
    <x v="1"/>
    <n v="0"/>
    <n v="0"/>
    <n v="0"/>
    <n v="0"/>
    <m/>
    <n v="0"/>
    <n v="320721"/>
    <n v="320721"/>
    <n v="0"/>
  </r>
  <r>
    <x v="3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2"/>
    <n v="-23961"/>
    <n v="0"/>
    <n v="0"/>
    <n v="-23961"/>
    <m/>
    <n v="-23961"/>
    <n v="3865"/>
    <n v="3865"/>
    <n v="-23961"/>
  </r>
  <r>
    <x v="0"/>
    <n v="0"/>
    <n v="0"/>
    <n v="0"/>
    <n v="0"/>
    <m/>
    <n v="0"/>
    <n v="0"/>
    <n v="0"/>
    <n v="0"/>
  </r>
  <r>
    <x v="0"/>
    <n v="93"/>
    <n v="29207"/>
    <n v="29300"/>
    <n v="0"/>
    <m/>
    <n v="16750"/>
    <n v="248193"/>
    <n v="264943"/>
    <n v="0"/>
  </r>
  <r>
    <x v="0"/>
    <n v="0"/>
    <n v="0"/>
    <n v="0"/>
    <n v="0"/>
    <m/>
    <n v="0"/>
    <n v="9523"/>
    <n v="9523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-538"/>
    <n v="1075.7"/>
    <n v="537.70000000000005"/>
    <n v="0"/>
  </r>
  <r>
    <x v="0"/>
    <n v="0"/>
    <n v="18510"/>
    <n v="18510"/>
    <n v="0"/>
    <m/>
    <n v="0"/>
    <n v="60190"/>
    <n v="60190"/>
    <n v="0"/>
  </r>
  <r>
    <x v="0"/>
    <n v="0"/>
    <n v="0"/>
    <n v="0"/>
    <n v="0"/>
    <m/>
    <n v="0"/>
    <n v="0"/>
    <n v="0"/>
    <n v="0"/>
  </r>
  <r>
    <x v="2"/>
    <n v="0"/>
    <n v="0"/>
    <n v="0"/>
    <n v="0"/>
    <m/>
    <n v="0"/>
    <n v="0"/>
    <n v="0"/>
    <n v="0"/>
  </r>
  <r>
    <x v="1"/>
    <n v="21588"/>
    <n v="617630"/>
    <n v="1199284"/>
    <n v="-560066"/>
    <m/>
    <n v="0"/>
    <n v="4092498"/>
    <n v="4652564"/>
    <n v="-560066"/>
  </r>
  <r>
    <x v="0"/>
    <n v="0"/>
    <n v="0"/>
    <n v="0"/>
    <n v="0"/>
    <m/>
    <n v="-0.08"/>
    <n v="0.08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2360"/>
    <n v="4720"/>
    <n v="-2360"/>
    <m/>
    <n v="0"/>
    <n v="47200"/>
    <n v="49560"/>
    <n v="-2360"/>
  </r>
  <r>
    <x v="2"/>
    <n v="0"/>
    <n v="0"/>
    <n v="0"/>
    <n v="0"/>
    <m/>
    <n v="-164407"/>
    <n v="551166"/>
    <n v="386759"/>
    <n v="0"/>
  </r>
  <r>
    <x v="2"/>
    <n v="0"/>
    <n v="0"/>
    <n v="0"/>
    <n v="0"/>
    <m/>
    <n v="-115487.2"/>
    <n v="115487.2"/>
    <n v="0"/>
    <n v="0"/>
  </r>
  <r>
    <x v="3"/>
    <n v="0"/>
    <n v="0"/>
    <n v="0"/>
    <n v="0"/>
    <m/>
    <n v="-2124"/>
    <n v="2124"/>
    <n v="0"/>
    <n v="0"/>
  </r>
  <r>
    <x v="0"/>
    <n v="0"/>
    <n v="0"/>
    <n v="0"/>
    <n v="0"/>
    <m/>
    <n v="0"/>
    <n v="38232"/>
    <n v="38232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-43120"/>
    <n v="43120"/>
    <n v="0"/>
    <n v="0"/>
    <m/>
    <n v="0"/>
    <n v="409644"/>
    <n v="409644"/>
    <n v="0"/>
  </r>
  <r>
    <x v="0"/>
    <n v="0"/>
    <n v="0"/>
    <n v="0"/>
    <n v="0"/>
    <m/>
    <n v="0"/>
    <n v="18673"/>
    <n v="18673"/>
    <n v="0"/>
  </r>
  <r>
    <x v="0"/>
    <n v="0"/>
    <n v="115000"/>
    <n v="129999"/>
    <n v="-14999"/>
    <m/>
    <n v="0"/>
    <n v="175000"/>
    <n v="189999"/>
    <n v="-14999"/>
  </r>
  <r>
    <x v="0"/>
    <n v="0"/>
    <n v="0"/>
    <n v="0"/>
    <n v="0"/>
    <m/>
    <n v="0"/>
    <n v="12638"/>
    <n v="12638"/>
    <n v="0"/>
  </r>
  <r>
    <x v="0"/>
    <n v="-26320"/>
    <n v="452520"/>
    <n v="447800"/>
    <n v="-21600"/>
    <m/>
    <n v="-21600"/>
    <n v="712120"/>
    <n v="712120"/>
    <n v="-21600"/>
  </r>
  <r>
    <x v="0"/>
    <n v="0"/>
    <n v="942.82"/>
    <n v="942.82"/>
    <n v="0"/>
    <m/>
    <n v="0"/>
    <n v="9411.6200000000008"/>
    <n v="9411.6200000000008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2469"/>
    <n v="2469"/>
    <n v="0"/>
  </r>
  <r>
    <x v="2"/>
    <n v="0"/>
    <n v="0"/>
    <n v="0"/>
    <n v="0"/>
    <m/>
    <n v="-29394"/>
    <n v="29394"/>
    <n v="0"/>
    <n v="0"/>
  </r>
  <r>
    <x v="0"/>
    <n v="0"/>
    <n v="0"/>
    <n v="0"/>
    <n v="0"/>
    <m/>
    <n v="-1947"/>
    <n v="1947"/>
    <n v="0"/>
    <n v="0"/>
  </r>
  <r>
    <x v="0"/>
    <n v="293.82"/>
    <n v="1491.94"/>
    <n v="1491.94"/>
    <n v="293.82"/>
    <m/>
    <n v="-2251.44"/>
    <n v="24882.21"/>
    <n v="22336.95"/>
    <n v="293.82"/>
  </r>
  <r>
    <x v="1"/>
    <n v="0"/>
    <n v="0"/>
    <n v="0"/>
    <n v="0"/>
    <m/>
    <n v="0"/>
    <n v="0"/>
    <n v="0"/>
    <n v="0"/>
  </r>
  <r>
    <x v="2"/>
    <n v="0"/>
    <n v="0"/>
    <n v="0"/>
    <n v="0"/>
    <m/>
    <n v="0"/>
    <n v="4189"/>
    <n v="4189"/>
    <n v="0"/>
  </r>
  <r>
    <x v="3"/>
    <n v="0"/>
    <n v="0"/>
    <n v="0"/>
    <n v="0"/>
    <m/>
    <n v="0"/>
    <n v="0"/>
    <n v="0"/>
    <n v="0"/>
  </r>
  <r>
    <x v="0"/>
    <n v="0"/>
    <n v="0"/>
    <n v="0"/>
    <n v="0"/>
    <m/>
    <n v="0"/>
    <n v="9440"/>
    <n v="9440"/>
    <n v="0"/>
  </r>
  <r>
    <x v="0"/>
    <n v="0"/>
    <n v="0"/>
    <n v="0"/>
    <n v="0"/>
    <m/>
    <n v="-3899.63"/>
    <n v="5125"/>
    <n v="1225.3699999999999"/>
    <n v="0"/>
  </r>
  <r>
    <x v="0"/>
    <n v="-1000"/>
    <n v="2000"/>
    <n v="2000"/>
    <n v="-1000"/>
    <m/>
    <n v="-1000"/>
    <n v="12000"/>
    <n v="12000"/>
    <n v="-1000"/>
  </r>
  <r>
    <x v="0"/>
    <n v="0"/>
    <n v="0"/>
    <n v="0"/>
    <n v="0"/>
    <m/>
    <n v="-618"/>
    <n v="618"/>
    <n v="0"/>
    <n v="0"/>
  </r>
  <r>
    <x v="0"/>
    <n v="0"/>
    <n v="0"/>
    <n v="0"/>
    <n v="0"/>
    <m/>
    <n v="-1235"/>
    <n v="1235"/>
    <n v="0"/>
    <n v="0"/>
  </r>
  <r>
    <x v="1"/>
    <n v="-10000"/>
    <n v="10000"/>
    <n v="0"/>
    <n v="0"/>
    <m/>
    <n v="-10000"/>
    <n v="120000"/>
    <n v="110000"/>
    <n v="0"/>
  </r>
  <r>
    <x v="3"/>
    <n v="0"/>
    <n v="0"/>
    <n v="0"/>
    <n v="0"/>
    <m/>
    <n v="0"/>
    <n v="0"/>
    <n v="0"/>
    <n v="0"/>
  </r>
  <r>
    <x v="1"/>
    <n v="0"/>
    <n v="0"/>
    <n v="0"/>
    <n v="0"/>
    <m/>
    <n v="0"/>
    <n v="111628"/>
    <n v="111628"/>
    <n v="0"/>
  </r>
  <r>
    <x v="2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45500"/>
    <n v="45500"/>
    <n v="0"/>
  </r>
  <r>
    <x v="1"/>
    <n v="0"/>
    <n v="0"/>
    <n v="0"/>
    <n v="0"/>
    <m/>
    <n v="0"/>
    <n v="0"/>
    <n v="0"/>
    <n v="0"/>
  </r>
  <r>
    <x v="1"/>
    <n v="0"/>
    <n v="211575.85"/>
    <n v="211575.85"/>
    <n v="0"/>
    <m/>
    <n v="0"/>
    <n v="1812500.73"/>
    <n v="1812500.73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1048430"/>
    <n v="1048430"/>
    <n v="0"/>
  </r>
  <r>
    <x v="1"/>
    <n v="0"/>
    <n v="0"/>
    <n v="0"/>
    <n v="0"/>
    <m/>
    <n v="-180"/>
    <n v="45624"/>
    <n v="45444"/>
    <n v="0"/>
  </r>
  <r>
    <x v="3"/>
    <n v="113723"/>
    <n v="0"/>
    <n v="0"/>
    <n v="113723"/>
    <m/>
    <n v="113723"/>
    <n v="0"/>
    <n v="0"/>
    <n v="113723"/>
  </r>
  <r>
    <x v="0"/>
    <n v="0"/>
    <n v="0"/>
    <n v="0"/>
    <n v="0"/>
    <m/>
    <n v="0"/>
    <n v="0"/>
    <n v="0"/>
    <n v="0"/>
  </r>
  <r>
    <x v="3"/>
    <n v="0"/>
    <n v="0"/>
    <n v="0"/>
    <n v="0"/>
    <m/>
    <n v="0"/>
    <n v="0"/>
    <n v="0"/>
    <n v="0"/>
  </r>
  <r>
    <x v="0"/>
    <n v="0"/>
    <n v="0"/>
    <n v="0"/>
    <n v="0"/>
    <m/>
    <n v="0"/>
    <n v="93223"/>
    <n v="93223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42620"/>
    <n v="4262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-587"/>
    <n v="587"/>
    <n v="0"/>
    <n v="0"/>
  </r>
  <r>
    <x v="2"/>
    <n v="0"/>
    <n v="0"/>
    <n v="0"/>
    <n v="0"/>
    <m/>
    <n v="0"/>
    <n v="13127"/>
    <n v="13127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110979"/>
    <n v="110979"/>
    <n v="0"/>
  </r>
  <r>
    <x v="1"/>
    <n v="282"/>
    <n v="0"/>
    <n v="0"/>
    <n v="282"/>
    <m/>
    <n v="0"/>
    <n v="6232783"/>
    <n v="6232501"/>
    <n v="282"/>
  </r>
  <r>
    <x v="1"/>
    <n v="24841"/>
    <n v="0"/>
    <n v="24841"/>
    <n v="0"/>
    <m/>
    <n v="0"/>
    <n v="35235543"/>
    <n v="35235543"/>
    <n v="0"/>
  </r>
  <r>
    <x v="1"/>
    <n v="1433"/>
    <n v="0"/>
    <n v="9603"/>
    <n v="-8170"/>
    <m/>
    <n v="0"/>
    <n v="28246533"/>
    <n v="28254703"/>
    <n v="-8170"/>
  </r>
  <r>
    <x v="1"/>
    <n v="0"/>
    <n v="0"/>
    <n v="0"/>
    <n v="0"/>
    <m/>
    <n v="0"/>
    <n v="24405.1"/>
    <n v="24405.1"/>
    <n v="0"/>
  </r>
  <r>
    <x v="1"/>
    <n v="0"/>
    <n v="0"/>
    <n v="0"/>
    <n v="0"/>
    <m/>
    <n v="0"/>
    <n v="18885"/>
    <n v="18885"/>
    <n v="0"/>
  </r>
  <r>
    <x v="1"/>
    <n v="279"/>
    <n v="0"/>
    <n v="304"/>
    <n v="-25"/>
    <m/>
    <n v="0"/>
    <n v="6229420"/>
    <n v="6229445"/>
    <n v="-25"/>
  </r>
  <r>
    <x v="1"/>
    <n v="0"/>
    <n v="0"/>
    <n v="0"/>
    <n v="0"/>
    <m/>
    <n v="0"/>
    <n v="9173175"/>
    <n v="9173175"/>
    <n v="0"/>
  </r>
  <r>
    <x v="1"/>
    <n v="0"/>
    <n v="0"/>
    <n v="0"/>
    <n v="0"/>
    <m/>
    <n v="0"/>
    <n v="94293"/>
    <n v="94293"/>
    <n v="0"/>
  </r>
  <r>
    <x v="0"/>
    <n v="199900"/>
    <n v="0"/>
    <n v="100000"/>
    <n v="99900"/>
    <m/>
    <n v="0"/>
    <n v="300000"/>
    <n v="200100"/>
    <n v="99900"/>
  </r>
  <r>
    <x v="1"/>
    <n v="0"/>
    <n v="0"/>
    <n v="0"/>
    <n v="0"/>
    <m/>
    <n v="0"/>
    <n v="89147"/>
    <n v="89147"/>
    <n v="0"/>
  </r>
  <r>
    <x v="1"/>
    <n v="0"/>
    <n v="0"/>
    <n v="0"/>
    <n v="0"/>
    <m/>
    <n v="0"/>
    <n v="2043500"/>
    <n v="2043500"/>
    <n v="0"/>
  </r>
  <r>
    <x v="1"/>
    <n v="0"/>
    <n v="0"/>
    <n v="0"/>
    <n v="0"/>
    <m/>
    <n v="0"/>
    <n v="31860"/>
    <n v="31860"/>
    <n v="0"/>
  </r>
  <r>
    <x v="1"/>
    <n v="0"/>
    <n v="0"/>
    <n v="0"/>
    <n v="0"/>
    <m/>
    <n v="0"/>
    <n v="91833"/>
    <n v="91833"/>
    <n v="0"/>
  </r>
  <r>
    <x v="1"/>
    <n v="0"/>
    <n v="0"/>
    <n v="0"/>
    <n v="0"/>
    <m/>
    <n v="0"/>
    <n v="1780000"/>
    <n v="1780000"/>
    <n v="0"/>
  </r>
  <r>
    <x v="1"/>
    <n v="-220301"/>
    <n v="0"/>
    <n v="0"/>
    <n v="-220301"/>
    <m/>
    <n v="0"/>
    <n v="432011"/>
    <n v="652312"/>
    <n v="-220301"/>
  </r>
  <r>
    <x v="1"/>
    <n v="0"/>
    <n v="0"/>
    <n v="0"/>
    <n v="0"/>
    <m/>
    <n v="0"/>
    <n v="356603"/>
    <n v="356603"/>
    <n v="0"/>
  </r>
  <r>
    <x v="0"/>
    <n v="0"/>
    <n v="0"/>
    <n v="0"/>
    <n v="0"/>
    <m/>
    <n v="0"/>
    <n v="5014424"/>
    <n v="5014424"/>
    <n v="0"/>
  </r>
  <r>
    <x v="4"/>
    <n v="0"/>
    <n v="2572500"/>
    <n v="2572500"/>
    <n v="0"/>
    <m/>
    <n v="0"/>
    <n v="5255775"/>
    <n v="5255775"/>
    <n v="0"/>
  </r>
  <r>
    <x v="4"/>
    <n v="0"/>
    <n v="0"/>
    <n v="0"/>
    <n v="0"/>
    <m/>
    <n v="0"/>
    <n v="651000"/>
    <n v="651000"/>
    <n v="0"/>
  </r>
  <r>
    <x v="4"/>
    <n v="0"/>
    <n v="609000"/>
    <n v="609000"/>
    <n v="0"/>
    <m/>
    <n v="0"/>
    <n v="2416050"/>
    <n v="2416050"/>
    <n v="0"/>
  </r>
  <r>
    <x v="4"/>
    <n v="-2069"/>
    <n v="2069"/>
    <n v="0"/>
    <n v="0"/>
    <m/>
    <n v="0"/>
    <n v="4749362"/>
    <n v="4749362"/>
    <n v="0"/>
  </r>
  <r>
    <x v="4"/>
    <n v="0"/>
    <n v="0"/>
    <n v="0"/>
    <n v="0"/>
    <m/>
    <n v="0"/>
    <n v="4736"/>
    <n v="4736"/>
    <n v="0"/>
  </r>
  <r>
    <x v="4"/>
    <n v="0"/>
    <n v="0"/>
    <n v="0"/>
    <n v="0"/>
    <m/>
    <n v="0"/>
    <n v="6342"/>
    <n v="6342"/>
    <n v="0"/>
  </r>
  <r>
    <x v="4"/>
    <n v="0"/>
    <n v="33205"/>
    <n v="33205"/>
    <n v="0"/>
    <m/>
    <n v="0"/>
    <n v="95601"/>
    <n v="95601"/>
    <n v="0"/>
  </r>
  <r>
    <x v="4"/>
    <n v="-4843178"/>
    <n v="2349878"/>
    <n v="0"/>
    <n v="-2493300"/>
    <m/>
    <n v="0"/>
    <n v="4628400"/>
    <n v="7121700"/>
    <n v="-2493300"/>
  </r>
  <r>
    <x v="4"/>
    <n v="0"/>
    <n v="551250"/>
    <n v="551250"/>
    <n v="0"/>
    <m/>
    <n v="0"/>
    <n v="1030050"/>
    <n v="1030050"/>
    <n v="0"/>
  </r>
  <r>
    <x v="4"/>
    <n v="0"/>
    <n v="44972"/>
    <n v="44972"/>
    <n v="0"/>
    <m/>
    <n v="0"/>
    <n v="84823"/>
    <n v="84823"/>
    <n v="0"/>
  </r>
  <r>
    <x v="4"/>
    <n v="0"/>
    <n v="2734200"/>
    <n v="2734200"/>
    <n v="0"/>
    <m/>
    <n v="0"/>
    <n v="5666183"/>
    <n v="5666183"/>
    <n v="0"/>
  </r>
  <r>
    <x v="4"/>
    <n v="-25200"/>
    <n v="25200"/>
    <n v="25200"/>
    <n v="-25200"/>
    <m/>
    <n v="0"/>
    <n v="75600"/>
    <n v="100800"/>
    <n v="-25200"/>
  </r>
  <r>
    <x v="4"/>
    <n v="11800"/>
    <n v="0"/>
    <n v="0"/>
    <n v="11800"/>
    <m/>
    <n v="0"/>
    <n v="17651800"/>
    <n v="17640000"/>
    <n v="11800"/>
  </r>
  <r>
    <x v="4"/>
    <n v="0"/>
    <n v="0"/>
    <n v="0"/>
    <n v="0"/>
    <m/>
    <n v="0"/>
    <n v="154344"/>
    <n v="154344"/>
    <n v="0"/>
  </r>
  <r>
    <x v="4"/>
    <n v="0"/>
    <n v="3627173"/>
    <n v="3627173"/>
    <n v="0"/>
    <m/>
    <n v="0"/>
    <n v="6390774"/>
    <n v="6390774"/>
    <n v="0"/>
  </r>
  <r>
    <x v="4"/>
    <n v="455.32"/>
    <n v="133.5"/>
    <n v="588.82000000000005"/>
    <n v="0"/>
    <m/>
    <n v="0"/>
    <n v="1633.5"/>
    <n v="1633.5"/>
    <n v="0"/>
  </r>
  <r>
    <x v="4"/>
    <n v="0"/>
    <n v="0"/>
    <n v="0"/>
    <n v="0"/>
    <m/>
    <n v="0"/>
    <n v="37388"/>
    <n v="37388"/>
    <n v="0"/>
  </r>
  <r>
    <x v="4"/>
    <n v="0"/>
    <n v="1013253"/>
    <n v="1013253"/>
    <n v="0"/>
    <m/>
    <n v="0"/>
    <n v="1365004"/>
    <n v="1365004"/>
    <n v="0"/>
  </r>
  <r>
    <x v="4"/>
    <n v="0"/>
    <n v="1128897"/>
    <n v="1128897"/>
    <n v="0"/>
    <m/>
    <n v="0"/>
    <n v="1635653"/>
    <n v="1635653"/>
    <n v="0"/>
  </r>
  <r>
    <x v="4"/>
    <n v="0"/>
    <n v="0"/>
    <n v="0"/>
    <n v="0"/>
    <m/>
    <n v="0"/>
    <n v="4000"/>
    <n v="4000"/>
    <n v="0"/>
  </r>
  <r>
    <x v="4"/>
    <n v="-17246"/>
    <n v="402716"/>
    <n v="2319667.73"/>
    <n v="-1934197.73"/>
    <m/>
    <n v="0"/>
    <n v="1513808"/>
    <n v="3448005.73"/>
    <n v="-1934197.73"/>
  </r>
  <r>
    <x v="4"/>
    <n v="0"/>
    <n v="0"/>
    <n v="0"/>
    <n v="0"/>
    <m/>
    <n v="0"/>
    <n v="24600"/>
    <n v="24600"/>
    <n v="0"/>
  </r>
  <r>
    <x v="4"/>
    <n v="0"/>
    <n v="0"/>
    <n v="0"/>
    <n v="0"/>
    <m/>
    <n v="0"/>
    <n v="6500"/>
    <n v="6500"/>
    <n v="0"/>
  </r>
  <r>
    <x v="4"/>
    <n v="0"/>
    <n v="21660"/>
    <n v="21660"/>
    <n v="0"/>
    <m/>
    <n v="0"/>
    <n v="104585"/>
    <n v="104585"/>
    <n v="0"/>
  </r>
  <r>
    <x v="4"/>
    <n v="8785"/>
    <n v="9987215"/>
    <n v="9996000"/>
    <n v="0"/>
    <m/>
    <n v="0"/>
    <n v="24470460"/>
    <n v="24470460"/>
    <n v="0"/>
  </r>
  <r>
    <x v="4"/>
    <n v="0"/>
    <n v="0"/>
    <n v="0"/>
    <n v="0"/>
    <m/>
    <n v="0"/>
    <n v="148000"/>
    <n v="148000"/>
    <n v="0"/>
  </r>
  <r>
    <x v="0"/>
    <n v="0"/>
    <n v="0"/>
    <n v="0"/>
    <n v="0"/>
    <m/>
    <n v="0"/>
    <n v="21240"/>
    <n v="21240"/>
    <n v="0"/>
  </r>
  <r>
    <x v="0"/>
    <n v="0"/>
    <n v="0"/>
    <n v="0"/>
    <n v="0"/>
    <m/>
    <n v="0"/>
    <n v="8364"/>
    <n v="8364"/>
    <n v="0"/>
  </r>
  <r>
    <x v="0"/>
    <n v="0"/>
    <n v="0"/>
    <n v="0"/>
    <n v="0"/>
    <m/>
    <n v="0"/>
    <n v="6799"/>
    <n v="6799"/>
    <n v="0"/>
  </r>
  <r>
    <x v="0"/>
    <n v="100000"/>
    <n v="0"/>
    <n v="0"/>
    <n v="100000"/>
    <m/>
    <n v="0"/>
    <n v="100000"/>
    <n v="0"/>
    <n v="100000"/>
  </r>
  <r>
    <x v="0"/>
    <n v="0"/>
    <n v="7918"/>
    <n v="7918"/>
    <n v="0"/>
    <m/>
    <n v="0"/>
    <n v="13534"/>
    <n v="13534"/>
    <n v="0"/>
  </r>
  <r>
    <x v="0"/>
    <n v="0"/>
    <n v="0"/>
    <n v="0"/>
    <n v="0"/>
    <m/>
    <n v="0"/>
    <n v="124100"/>
    <n v="124100"/>
    <n v="0"/>
  </r>
  <r>
    <x v="0"/>
    <n v="0"/>
    <n v="0"/>
    <n v="0"/>
    <n v="0"/>
    <m/>
    <n v="0"/>
    <n v="8850"/>
    <n v="885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34810"/>
    <n v="34810"/>
    <n v="0"/>
  </r>
  <r>
    <x v="0"/>
    <n v="0"/>
    <n v="0"/>
    <n v="0"/>
    <n v="0"/>
    <m/>
    <n v="18"/>
    <n v="0"/>
    <n v="18"/>
    <n v="0"/>
  </r>
  <r>
    <x v="0"/>
    <n v="-226"/>
    <n v="0"/>
    <n v="0"/>
    <n v="-226"/>
    <m/>
    <n v="-5359"/>
    <n v="16284"/>
    <n v="11151"/>
    <n v="-226"/>
  </r>
  <r>
    <x v="1"/>
    <n v="19798"/>
    <n v="790001"/>
    <n v="809799"/>
    <n v="0"/>
    <m/>
    <n v="0"/>
    <n v="30071711"/>
    <n v="30071711"/>
    <n v="0"/>
  </r>
  <r>
    <x v="0"/>
    <n v="0"/>
    <n v="0"/>
    <n v="0"/>
    <n v="0"/>
    <m/>
    <n v="-12744"/>
    <n v="27134"/>
    <n v="14390"/>
    <n v="0"/>
  </r>
  <r>
    <x v="4"/>
    <n v="0"/>
    <n v="663348"/>
    <n v="663348"/>
    <n v="0"/>
    <m/>
    <n v="0"/>
    <n v="3329823"/>
    <n v="3329823"/>
    <n v="0"/>
  </r>
  <r>
    <x v="4"/>
    <n v="0"/>
    <n v="0"/>
    <n v="0"/>
    <n v="0"/>
    <m/>
    <n v="0"/>
    <n v="436450"/>
    <n v="436450"/>
    <n v="0"/>
  </r>
  <r>
    <x v="4"/>
    <n v="0"/>
    <n v="2552000"/>
    <n v="2652000"/>
    <n v="-100000"/>
    <m/>
    <n v="0"/>
    <n v="2552000"/>
    <n v="2652000"/>
    <n v="-100000"/>
  </r>
  <r>
    <x v="4"/>
    <n v="-2065"/>
    <n v="3319"/>
    <n v="1254"/>
    <n v="0"/>
    <m/>
    <n v="0"/>
    <n v="3319"/>
    <n v="3319"/>
    <n v="0"/>
  </r>
  <r>
    <x v="4"/>
    <n v="-30377"/>
    <n v="23375"/>
    <n v="0"/>
    <n v="-7002"/>
    <m/>
    <n v="0"/>
    <n v="32325"/>
    <n v="39327"/>
    <n v="-7002"/>
  </r>
  <r>
    <x v="0"/>
    <n v="0"/>
    <n v="306800"/>
    <n v="306800"/>
    <n v="0"/>
    <m/>
    <n v="0"/>
    <n v="306800"/>
    <n v="306800"/>
    <n v="0"/>
  </r>
  <r>
    <x v="0"/>
    <n v="0"/>
    <n v="0"/>
    <n v="0"/>
    <n v="0"/>
    <m/>
    <n v="0"/>
    <n v="5457.5"/>
    <n v="5457.5"/>
    <n v="0"/>
  </r>
  <r>
    <x v="4"/>
    <n v="-50000"/>
    <n v="0"/>
    <n v="0"/>
    <n v="-50000"/>
    <m/>
    <n v="0"/>
    <n v="4757040"/>
    <n v="4807040"/>
    <n v="-50000"/>
  </r>
  <r>
    <x v="0"/>
    <n v="-79006"/>
    <n v="161922"/>
    <n v="82916"/>
    <n v="0"/>
    <m/>
    <n v="0"/>
    <n v="161922"/>
    <n v="161922"/>
    <n v="0"/>
  </r>
  <r>
    <x v="0"/>
    <n v="0"/>
    <n v="0"/>
    <n v="0"/>
    <n v="0"/>
    <m/>
    <n v="0"/>
    <n v="0"/>
    <n v="0"/>
    <n v="0"/>
  </r>
  <r>
    <x v="4"/>
    <n v="-161460"/>
    <n v="161460"/>
    <n v="2146725"/>
    <n v="-2146725"/>
    <m/>
    <n v="0"/>
    <n v="2808000"/>
    <n v="4954725"/>
    <n v="-2146725"/>
  </r>
  <r>
    <x v="4"/>
    <n v="-7600"/>
    <n v="7600"/>
    <n v="0"/>
    <n v="0"/>
    <m/>
    <n v="0"/>
    <n v="7600"/>
    <n v="7600"/>
    <n v="0"/>
  </r>
  <r>
    <x v="0"/>
    <n v="-20900"/>
    <n v="20900"/>
    <n v="0"/>
    <n v="0"/>
    <m/>
    <n v="0"/>
    <n v="20900"/>
    <n v="20900"/>
    <n v="0"/>
  </r>
  <r>
    <x v="4"/>
    <n v="-318718"/>
    <n v="318718"/>
    <n v="0"/>
    <n v="0"/>
    <m/>
    <n v="0"/>
    <n v="467221"/>
    <n v="467221"/>
    <n v="0"/>
  </r>
  <r>
    <x v="4"/>
    <n v="0"/>
    <n v="0"/>
    <n v="0"/>
    <n v="0"/>
    <m/>
    <n v="0"/>
    <n v="18880"/>
    <n v="18880"/>
    <n v="0"/>
  </r>
  <r>
    <x v="0"/>
    <n v="12000"/>
    <n v="0"/>
    <n v="0"/>
    <n v="12000"/>
    <m/>
    <n v="0"/>
    <n v="12000"/>
    <n v="0"/>
    <n v="12000"/>
  </r>
  <r>
    <x v="4"/>
    <n v="0"/>
    <n v="0"/>
    <n v="0"/>
    <n v="0"/>
    <m/>
    <n v="0"/>
    <n v="819000"/>
    <n v="819000"/>
    <n v="0"/>
  </r>
  <r>
    <x v="0"/>
    <n v="0"/>
    <n v="3108269"/>
    <n v="3108269"/>
    <n v="0"/>
    <m/>
    <n v="0"/>
    <n v="3238452"/>
    <n v="3238452"/>
    <n v="0"/>
  </r>
  <r>
    <x v="4"/>
    <n v="-1596000"/>
    <n v="3066000"/>
    <n v="1470000"/>
    <n v="0"/>
    <m/>
    <n v="0"/>
    <n v="3066000"/>
    <n v="3066000"/>
    <n v="0"/>
  </r>
  <r>
    <x v="4"/>
    <n v="0"/>
    <n v="0"/>
    <n v="0"/>
    <n v="0"/>
    <m/>
    <n v="0"/>
    <n v="1597050"/>
    <n v="1597050"/>
    <n v="0"/>
  </r>
  <r>
    <x v="0"/>
    <n v="0"/>
    <n v="35400"/>
    <n v="35400"/>
    <n v="0"/>
    <m/>
    <n v="0"/>
    <n v="35400"/>
    <n v="35400"/>
    <n v="0"/>
  </r>
  <r>
    <x v="4"/>
    <n v="0"/>
    <n v="0"/>
    <n v="0"/>
    <n v="0"/>
    <m/>
    <n v="0"/>
    <n v="0"/>
    <n v="0"/>
    <n v="0"/>
  </r>
  <r>
    <x v="4"/>
    <n v="0"/>
    <n v="15930"/>
    <n v="15930"/>
    <n v="0"/>
    <m/>
    <n v="0"/>
    <n v="15930"/>
    <n v="15930"/>
    <n v="0"/>
  </r>
  <r>
    <x v="0"/>
    <n v="0"/>
    <n v="5999"/>
    <n v="5999"/>
    <n v="0"/>
    <m/>
    <n v="0"/>
    <n v="5999"/>
    <n v="5999"/>
    <n v="0"/>
  </r>
  <r>
    <x v="1"/>
    <n v="0"/>
    <n v="220301"/>
    <n v="0"/>
    <n v="220301"/>
    <m/>
    <n v="0"/>
    <n v="220301"/>
    <n v="0"/>
    <n v="220301"/>
  </r>
  <r>
    <x v="0"/>
    <n v="0"/>
    <n v="3894"/>
    <n v="3894"/>
    <n v="0"/>
    <m/>
    <n v="0"/>
    <n v="3894"/>
    <n v="3894"/>
    <n v="0"/>
  </r>
  <r>
    <x v="4"/>
    <n v="-108055"/>
    <n v="108055"/>
    <n v="0"/>
    <n v="0"/>
    <m/>
    <n v="0"/>
    <n v="108055"/>
    <n v="108055"/>
    <n v="0"/>
  </r>
  <r>
    <x v="0"/>
    <n v="0"/>
    <n v="10460"/>
    <n v="10460"/>
    <n v="0"/>
    <m/>
    <n v="0"/>
    <n v="10460"/>
    <n v="10460"/>
    <n v="0"/>
  </r>
  <r>
    <x v="4"/>
    <n v="-339916"/>
    <n v="339916"/>
    <n v="684600"/>
    <n v="-684600"/>
    <m/>
    <n v="0"/>
    <n v="343350"/>
    <n v="1027950"/>
    <n v="-684600"/>
  </r>
  <r>
    <x v="0"/>
    <n v="461145"/>
    <n v="0"/>
    <n v="86308.03"/>
    <n v="374836.97"/>
    <m/>
    <n v="0"/>
    <n v="461145"/>
    <n v="86308.03"/>
    <n v="374836.97"/>
  </r>
  <r>
    <x v="4"/>
    <n v="0"/>
    <n v="0"/>
    <n v="0"/>
    <n v="0"/>
    <m/>
    <n v="0"/>
    <n v="32450"/>
    <n v="32450"/>
    <n v="0"/>
  </r>
  <r>
    <x v="4"/>
    <n v="0"/>
    <n v="11930100"/>
    <n v="11930100"/>
    <n v="0"/>
    <m/>
    <n v="0"/>
    <n v="11930100"/>
    <n v="11930100"/>
    <n v="0"/>
  </r>
  <r>
    <x v="4"/>
    <n v="-20244"/>
    <n v="20244"/>
    <n v="0"/>
    <n v="0"/>
    <m/>
    <n v="0"/>
    <n v="20244"/>
    <n v="20244"/>
    <n v="0"/>
  </r>
  <r>
    <x v="4"/>
    <n v="0"/>
    <n v="1512000"/>
    <n v="1512000"/>
    <n v="0"/>
    <m/>
    <n v="0"/>
    <n v="1512000"/>
    <n v="1512000"/>
    <n v="0"/>
  </r>
  <r>
    <x v="4"/>
    <n v="50000"/>
    <n v="100000"/>
    <n v="0"/>
    <n v="150000"/>
    <m/>
    <n v="0"/>
    <n v="150000"/>
    <n v="0"/>
    <n v="150000"/>
  </r>
  <r>
    <x v="4"/>
    <n v="0"/>
    <n v="257250"/>
    <n v="257250"/>
    <n v="0"/>
    <m/>
    <n v="0"/>
    <n v="257250"/>
    <n v="257250"/>
    <n v="0"/>
  </r>
  <r>
    <x v="0"/>
    <n v="0"/>
    <n v="91382"/>
    <n v="91382"/>
    <n v="0"/>
    <m/>
    <n v="0"/>
    <n v="91382"/>
    <n v="91382"/>
    <n v="0"/>
  </r>
  <r>
    <x v="4"/>
    <n v="0"/>
    <n v="3912300"/>
    <n v="3912300"/>
    <n v="0"/>
    <m/>
    <n v="0"/>
    <n v="3912300"/>
    <n v="3912300"/>
    <n v="0"/>
  </r>
  <r>
    <x v="4"/>
    <n v="-5983"/>
    <n v="22780"/>
    <n v="16797"/>
    <n v="0"/>
    <m/>
    <n v="0"/>
    <n v="22780"/>
    <n v="22780"/>
    <n v="0"/>
  </r>
  <r>
    <x v="0"/>
    <n v="0"/>
    <n v="0"/>
    <n v="3506"/>
    <n v="-3506"/>
    <m/>
    <n v="0"/>
    <n v="0"/>
    <n v="3506"/>
    <n v="-3506"/>
  </r>
  <r>
    <x v="0"/>
    <n v="0"/>
    <n v="0"/>
    <n v="19517"/>
    <n v="-19517"/>
    <m/>
    <n v="0"/>
    <n v="0"/>
    <n v="19517"/>
    <n v="-19517"/>
  </r>
  <r>
    <x v="0"/>
    <n v="0"/>
    <n v="13351"/>
    <n v="13351"/>
    <n v="0"/>
    <m/>
    <n v="0"/>
    <n v="13351"/>
    <n v="13351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0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1"/>
    <n v="0"/>
    <n v="0"/>
    <n v="0"/>
    <n v="0"/>
    <m/>
    <n v="0"/>
    <n v="0"/>
    <n v="0"/>
    <n v="0"/>
  </r>
  <r>
    <x v="4"/>
    <n v="0"/>
    <n v="2121504"/>
    <n v="0"/>
    <n v="2121504"/>
    <m/>
    <n v="0"/>
    <n v="2121504"/>
    <n v="0"/>
    <n v="21215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02D15-2412-4F5D-A225-01CBB2E12E02}" name="PivotTable6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K28" firstHeaderRow="1" firstDataRow="2" firstDataCol="1" rowPageCount="1" colPageCount="1"/>
  <pivotFields count="17">
    <pivotField numFmtId="166" showAll="0"/>
    <pivotField showAll="0"/>
    <pivotField showAll="0"/>
    <pivotField axis="axisPage" multipleItemSelectionAllowed="1" showAll="0">
      <items count="4">
        <item x="1"/>
        <item x="2"/>
        <item x="0"/>
        <item t="default"/>
      </items>
    </pivotField>
    <pivotField axis="axisRow" showAll="0">
      <items count="9">
        <item x="6"/>
        <item x="5"/>
        <item x="7"/>
        <item x="3"/>
        <item x="1"/>
        <item x="2"/>
        <item x="0"/>
        <item x="4"/>
        <item t="default"/>
      </items>
    </pivotField>
    <pivotField showAll="0"/>
    <pivotField axis="axisCol" showAll="0">
      <items count="10">
        <item x="2"/>
        <item x="5"/>
        <item x="1"/>
        <item x="6"/>
        <item x="0"/>
        <item x="3"/>
        <item x="7"/>
        <item x="4"/>
        <item x="8"/>
        <item t="default"/>
      </items>
    </pivotField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" hier="-1"/>
  </pageFields>
  <dataFields count="1">
    <dataField name="Sum of Closing YTD" fld="16" baseField="0" baseItem="0" numFmtId="165"/>
  </dataFields>
  <formats count="42">
    <format dxfId="42">
      <pivotArea dataOnly="0" labelOnly="1" fieldPosition="0">
        <references count="1">
          <reference field="4" count="6">
            <x v="0"/>
            <x v="1"/>
            <x v="2"/>
            <x v="3"/>
            <x v="4"/>
            <x v="5"/>
          </reference>
        </references>
      </pivotArea>
    </format>
    <format dxfId="41">
      <pivotArea dataOnly="0" labelOnly="1" grandRow="1" outline="0" fieldPosition="0"/>
    </format>
    <format dxfId="40">
      <pivotArea outline="0" collapsedLevelsAreSubtotals="1" fieldPosition="0"/>
    </format>
    <format dxfId="39">
      <pivotArea field="6" type="button" dataOnly="0" labelOnly="1" outline="0" axis="axisCol" fieldPosition="0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6" count="0"/>
        </references>
      </pivotArea>
    </format>
    <format dxfId="36">
      <pivotArea dataOnly="0" labelOnly="1" grandCol="1" outline="0" fieldPosition="0"/>
    </format>
    <format dxfId="35">
      <pivotArea outline="0" collapsedLevelsAreSubtotals="1" fieldPosition="0"/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6">
            <x v="0"/>
            <x v="1"/>
            <x v="2"/>
            <x v="3"/>
            <x v="4"/>
            <x v="5"/>
          </reference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6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6" count="0"/>
        </references>
      </pivotArea>
    </format>
    <format dxfId="26">
      <pivotArea dataOnly="0" labelOnly="1" grandCol="1" outline="0" fieldPosition="0"/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6" count="0"/>
        </references>
      </pivotArea>
    </format>
    <format dxfId="23">
      <pivotArea dataOnly="0" labelOnly="1" grandCol="1" outline="0" fieldPosition="0"/>
    </format>
    <format dxfId="22">
      <pivotArea type="origin" dataOnly="0" labelOnly="1" outline="0" fieldPosition="0"/>
    </format>
    <format dxfId="21">
      <pivotArea field="6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grandCol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6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6">
            <x v="0"/>
            <x v="1"/>
            <x v="2"/>
            <x v="3"/>
            <x v="4"/>
            <x v="5"/>
          </reference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Col="1" outline="0" fieldPosition="0"/>
    </format>
    <format dxfId="6">
      <pivotArea outline="0" collapsedLevelsAreSubtotals="1" fieldPosition="0">
        <references count="1">
          <reference field="6" count="3" selected="0">
            <x v="0"/>
            <x v="1"/>
            <x v="2"/>
          </reference>
        </references>
      </pivotArea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field="6" type="button" dataOnly="0" labelOnly="1" outline="0" axis="axisCol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">
      <pivotArea dataOnly="0" labelOnly="1" fieldPosition="0">
        <references count="1">
          <reference field="4" count="2">
            <x v="6"/>
            <x v="7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2D6B1-A5C6-44D7-B6EB-4591A8E3B56E}" name="PivotTable8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ndry Debtor">
  <location ref="A39:E46" firstHeaderRow="0" firstDataRow="1" firstDataCol="1"/>
  <pivotFields count="10">
    <pivotField axis="axisRow" showAll="0">
      <items count="7">
        <item x="0"/>
        <item x="1"/>
        <item x="4"/>
        <item x="3"/>
        <item x="2"/>
        <item x="5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pening YTD" fld="6" baseField="0" baseItem="0"/>
    <dataField name="Sum of Debit YTD" fld="7" baseField="0" baseItem="0"/>
    <dataField name="Sum of Credit YTD" fld="8" baseField="0" baseItem="0"/>
    <dataField name="Sum of Closing YTD" fld="9" baseField="0" baseItem="0"/>
  </dataFields>
  <formats count="14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4">
      <pivotArea outline="0" collapsedLevelsAreSubtotals="1" fieldPosition="0"/>
    </format>
    <format dxfId="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D7254-44FE-4269-8434-7F3C97806C05}" name="PivotTable4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K14" firstHeaderRow="1" firstDataRow="2" firstDataCol="1" rowPageCount="1" colPageCount="1"/>
  <pivotFields count="12">
    <pivotField numFmtId="166" showAll="0"/>
    <pivotField showAll="0"/>
    <pivotField showAll="0"/>
    <pivotField axis="axisPage" multipleItemSelectionAllowed="1" showAll="0">
      <items count="4">
        <item x="1"/>
        <item x="2"/>
        <item x="0"/>
        <item t="default"/>
      </items>
    </pivotField>
    <pivotField axis="axisRow" showAll="0">
      <items count="9">
        <item x="6"/>
        <item n="2. Indirect Income" x="5"/>
        <item x="7"/>
        <item x="3"/>
        <item x="1"/>
        <item x="2"/>
        <item x="0"/>
        <item x="4"/>
        <item t="default"/>
      </items>
    </pivotField>
    <pivotField showAll="0"/>
    <pivotField axis="axisCol" showAll="0">
      <items count="10">
        <item x="2"/>
        <item x="5"/>
        <item x="1"/>
        <item x="6"/>
        <item x="0"/>
        <item x="3"/>
        <item x="7"/>
        <item x="4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" hier="-1"/>
  </pageFields>
  <dataFields count="1">
    <dataField name="Sum of Closing" fld="11" baseField="0" baseItem="0" numFmtId="165"/>
  </dataFields>
  <formats count="31">
    <format dxfId="87">
      <pivotArea outline="0" collapsedLevelsAreSubtotals="1" fieldPosition="0"/>
    </format>
    <format dxfId="86">
      <pivotArea field="6" type="button" dataOnly="0" labelOnly="1" outline="0" axis="axisCol" fieldPosition="0"/>
    </format>
    <format dxfId="85">
      <pivotArea type="topRight" dataOnly="0" labelOnly="1" outline="0" fieldPosition="0"/>
    </format>
    <format dxfId="84">
      <pivotArea dataOnly="0" labelOnly="1" fieldPosition="0">
        <references count="1">
          <reference field="6" count="0"/>
        </references>
      </pivotArea>
    </format>
    <format dxfId="83">
      <pivotArea dataOnly="0" labelOnly="1" grandCol="1" outline="0" fieldPosition="0"/>
    </format>
    <format dxfId="82">
      <pivotArea outline="0" collapsedLevelsAreSubtotals="1" fieldPosition="0"/>
    </format>
    <format dxfId="81">
      <pivotArea field="4" type="button" dataOnly="0" labelOnly="1" outline="0" axis="axisRow" fieldPosition="0"/>
    </format>
    <format dxfId="80">
      <pivotArea dataOnly="0" labelOnly="1" fieldPosition="0">
        <references count="1">
          <reference field="4" count="6">
            <x v="0"/>
            <x v="1"/>
            <x v="2"/>
            <x v="3"/>
            <x v="4"/>
            <x v="5"/>
          </reference>
        </references>
      </pivotArea>
    </format>
    <format dxfId="79">
      <pivotArea dataOnly="0" labelOnly="1" grandRow="1" outline="0" fieldPosition="0"/>
    </format>
    <format dxfId="78">
      <pivotArea dataOnly="0" labelOnly="1" fieldPosition="0">
        <references count="1">
          <reference field="6" count="0"/>
        </references>
      </pivotArea>
    </format>
    <format dxfId="77">
      <pivotArea dataOnly="0" labelOnly="1" grandCol="1" outline="0" fieldPosition="0"/>
    </format>
    <format dxfId="76">
      <pivotArea field="4" type="button" dataOnly="0" labelOnly="1" outline="0" axis="axisRow" fieldPosition="0"/>
    </format>
    <format dxfId="75">
      <pivotArea dataOnly="0" labelOnly="1" fieldPosition="0">
        <references count="1">
          <reference field="6" count="0"/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6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4" type="button" dataOnly="0" labelOnly="1" outline="0" axis="axisRow" fieldPosition="0"/>
    </format>
    <format dxfId="67">
      <pivotArea dataOnly="0" labelOnly="1" fieldPosition="0">
        <references count="1">
          <reference field="4" count="6">
            <x v="0"/>
            <x v="1"/>
            <x v="2"/>
            <x v="3"/>
            <x v="4"/>
            <x v="5"/>
          </reference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6" count="0"/>
        </references>
      </pivotArea>
    </format>
    <format dxfId="64">
      <pivotArea dataOnly="0" labelOnly="1" grandCol="1" outline="0" fieldPosition="0"/>
    </format>
    <format dxfId="63">
      <pivotArea outline="0" collapsedLevelsAreSubtotals="1" fieldPosition="0">
        <references count="1">
          <reference field="6" count="3" selected="0">
            <x v="0"/>
            <x v="1"/>
            <x v="2"/>
          </reference>
        </references>
      </pivotArea>
    </format>
    <format dxfId="62">
      <pivotArea dataOnly="0" labelOnly="1" outline="0" fieldPosition="0">
        <references count="1">
          <reference field="3" count="0"/>
        </references>
      </pivotArea>
    </format>
    <format dxfId="61">
      <pivotArea field="6" type="button" dataOnly="0" labelOnly="1" outline="0" axis="axisCol" fieldPosition="0"/>
    </format>
    <format dxfId="60">
      <pivotArea type="topRight" dataOnly="0" labelOnly="1" outline="0" fieldPosition="0"/>
    </format>
    <format dxfId="59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58">
      <pivotArea dataOnly="0" labelOnly="1" fieldPosition="0">
        <references count="1">
          <reference field="4" count="1">
            <x v="1"/>
          </reference>
        </references>
      </pivotArea>
    </format>
    <format dxfId="57">
      <pivotArea dataOnly="0" labelOnly="1" fieldPosition="0">
        <references count="1">
          <reference field="4" count="2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12F3B-2E76-4FC4-A62A-EF3950B9E286}" name="PivotTable10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ndry Creditor">
  <location ref="A56:E62" firstHeaderRow="0" firstDataRow="1" firstDataCol="1"/>
  <pivotFields count="10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pening YTD" fld="6" baseField="0" baseItem="0"/>
    <dataField name="Sum of Debit YTD" fld="7" baseField="0" baseItem="0"/>
    <dataField name="Sum of Credit YTD" fld="8" baseField="0" baseItem="0"/>
    <dataField name="Sum of Closing YTD" fld="9" baseField="0" baseItem="0"/>
  </dataFields>
  <formats count="14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dataOnly="0" labelOnly="1" fieldPosition="0">
        <references count="1">
          <reference field="0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0"/>
    </format>
    <format dxfId="92">
      <pivotArea dataOnly="0" labelOnly="1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9">
      <pivotArea outline="0" collapsedLevelsAreSubtotals="1" fieldPosition="0"/>
    </format>
    <format dxfId="8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2A657-8D7D-4198-BA31-6DB4B6001BCB}" name="PivotTable9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ndry Creditor">
  <location ref="A48:E54" firstHeaderRow="0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pening" fld="2" baseField="0" baseItem="0"/>
    <dataField name="Sum of Debit" fld="3" baseField="0" baseItem="0"/>
    <dataField name="Sum of Credit" fld="4" baseField="0" baseItem="0"/>
    <dataField name="Sum of Closing" fld="5" baseField="0" baseItem="0"/>
  </dataFields>
  <formats count="14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" type="button" dataOnly="0" labelOnly="1" outline="0" axis="axisRow" fieldPosition="0"/>
    </format>
    <format dxfId="112">
      <pivotArea dataOnly="0" labelOnly="1" fieldPosition="0">
        <references count="1">
          <reference field="1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" type="button" dataOnly="0" labelOnly="1" outline="0" axis="axisRow" fieldPosition="0"/>
    </format>
    <format dxfId="106">
      <pivotArea dataOnly="0" labelOnly="1" fieldPosition="0">
        <references count="1">
          <reference field="1" count="0"/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3">
      <pivotArea outline="0" collapsedLevelsAreSubtotals="1" fieldPosition="0"/>
    </format>
    <format dxfId="10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2859D-DD67-473D-B88D-AD7B54604675}" name="PivotTable7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ndry Debtor">
  <location ref="A30:E37" firstHeaderRow="0" firstDataRow="1" firstDataCol="1"/>
  <pivotFields count="5">
    <pivotField axis="axisRow" showAll="0">
      <items count="7">
        <item x="0"/>
        <item x="1"/>
        <item x="4"/>
        <item x="3"/>
        <item x="2"/>
        <item x="5"/>
        <item t="default"/>
      </items>
    </pivotField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pening" fld="1" baseField="0" baseItem="0" numFmtId="165"/>
    <dataField name="Sum of Debit" fld="2" baseField="0" baseItem="0" numFmtId="165"/>
    <dataField name="Sum of Credit" fld="3" baseField="0" baseItem="0" numFmtId="165"/>
    <dataField name="Sum of Closing" fld="4" baseField="0" baseItem="0" numFmtId="165"/>
  </dataFields>
  <formats count="12">
    <format dxfId="127">
      <pivotArea outline="0" collapsedLevelsAreSubtotals="1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0" type="button" dataOnly="0" labelOnly="1" outline="0" axis="axisRow" fieldPosition="0"/>
    </format>
    <format dxfId="123">
      <pivotArea dataOnly="0" labelOnly="1" fieldPosition="0">
        <references count="1">
          <reference field="0" count="0"/>
        </references>
      </pivotArea>
    </format>
    <format dxfId="122">
      <pivotArea dataOnly="0" labelOnly="1" grandRow="1" outline="0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4"/>
  <sheetViews>
    <sheetView showGridLines="0" tabSelected="1" view="pageBreakPreview" zoomScale="115" zoomScaleNormal="90" zoomScaleSheetLayoutView="11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6" sqref="A26"/>
    </sheetView>
  </sheetViews>
  <sheetFormatPr defaultColWidth="9.42578125" defaultRowHeight="15" outlineLevelRow="1" outlineLevelCol="1" x14ac:dyDescent="0.25"/>
  <cols>
    <col min="1" max="1" width="30.5703125" style="2" bestFit="1" customWidth="1"/>
    <col min="2" max="2" width="11.42578125" style="2" customWidth="1" outlineLevel="1"/>
    <col min="3" max="3" width="12.42578125" style="2" customWidth="1" outlineLevel="1"/>
    <col min="4" max="4" width="13.42578125" style="2" customWidth="1" outlineLevel="1"/>
    <col min="5" max="5" width="8" style="2" hidden="1" customWidth="1" outlineLevel="1"/>
    <col min="6" max="6" width="10.42578125" style="2" hidden="1" customWidth="1" outlineLevel="1"/>
    <col min="7" max="7" width="10.42578125" style="2" customWidth="1" outlineLevel="1"/>
    <col min="8" max="8" width="14.42578125" style="2" customWidth="1" outlineLevel="1"/>
    <col min="9" max="9" width="13.5703125" style="2" customWidth="1" outlineLevel="1"/>
    <col min="10" max="10" width="14.42578125" style="2" customWidth="1" outlineLevel="1"/>
    <col min="11" max="11" width="7.5703125" style="2" customWidth="1" outlineLevel="1"/>
    <col min="12" max="12" width="14.42578125" style="2" customWidth="1"/>
    <col min="13" max="13" width="11.5703125" style="2" customWidth="1"/>
    <col min="14" max="14" width="13.5703125" style="2" bestFit="1" customWidth="1"/>
    <col min="15" max="15" width="11.42578125" style="2" bestFit="1" customWidth="1"/>
    <col min="16" max="16" width="14.140625" style="2" bestFit="1" customWidth="1"/>
    <col min="17" max="17" width="8" style="2" hidden="1" customWidth="1"/>
    <col min="18" max="18" width="7.140625" style="2" hidden="1" customWidth="1"/>
    <col min="19" max="19" width="11.5703125" style="2" bestFit="1" customWidth="1"/>
    <col min="20" max="20" width="14.42578125" style="2" bestFit="1" customWidth="1"/>
    <col min="21" max="21" width="14.140625" style="2" bestFit="1" customWidth="1"/>
    <col min="22" max="22" width="14.42578125" style="2" bestFit="1" customWidth="1"/>
    <col min="23" max="23" width="10.42578125" style="2" bestFit="1" customWidth="1"/>
    <col min="24" max="24" width="13.5703125" style="2" customWidth="1"/>
    <col min="25" max="25" width="10.28515625" style="2" bestFit="1" customWidth="1"/>
    <col min="26" max="26" width="9.42578125" style="2"/>
    <col min="27" max="27" width="12.140625" style="2" bestFit="1" customWidth="1"/>
    <col min="28" max="16384" width="9.42578125" style="2"/>
  </cols>
  <sheetData>
    <row r="1" spans="1:27" x14ac:dyDescent="0.25">
      <c r="A1" s="1" t="s">
        <v>23</v>
      </c>
    </row>
    <row r="2" spans="1:27" x14ac:dyDescent="0.25">
      <c r="A2" s="3" t="s">
        <v>24</v>
      </c>
    </row>
    <row r="3" spans="1:27" x14ac:dyDescent="0.25">
      <c r="A3" s="3"/>
    </row>
    <row r="4" spans="1:27" x14ac:dyDescent="0.25">
      <c r="A4" s="3" t="s">
        <v>25</v>
      </c>
    </row>
    <row r="5" spans="1:27" x14ac:dyDescent="0.25">
      <c r="A5" s="3" t="s">
        <v>1341</v>
      </c>
      <c r="B5" s="3"/>
      <c r="L5" s="38" t="s">
        <v>1342</v>
      </c>
      <c r="N5" s="1" t="s">
        <v>1343</v>
      </c>
      <c r="W5" s="12"/>
      <c r="X5" s="38" t="s">
        <v>0</v>
      </c>
    </row>
    <row r="6" spans="1:27" s="143" customFormat="1" ht="57" x14ac:dyDescent="0.25">
      <c r="A6" s="144" t="s">
        <v>26</v>
      </c>
      <c r="B6" s="144" t="s">
        <v>2</v>
      </c>
      <c r="C6" s="144" t="s">
        <v>3</v>
      </c>
      <c r="D6" s="144" t="s">
        <v>4</v>
      </c>
      <c r="E6" s="144" t="s">
        <v>5</v>
      </c>
      <c r="F6" s="144" t="s">
        <v>6</v>
      </c>
      <c r="G6" s="144" t="s">
        <v>7</v>
      </c>
      <c r="H6" s="144" t="s">
        <v>8</v>
      </c>
      <c r="I6" s="144" t="s">
        <v>9</v>
      </c>
      <c r="J6" s="145" t="s">
        <v>10</v>
      </c>
      <c r="K6" s="145" t="s">
        <v>11</v>
      </c>
      <c r="L6" s="145" t="s">
        <v>12</v>
      </c>
      <c r="M6" s="2"/>
      <c r="N6" s="144" t="s">
        <v>2</v>
      </c>
      <c r="O6" s="144" t="s">
        <v>3</v>
      </c>
      <c r="P6" s="144" t="s">
        <v>4</v>
      </c>
      <c r="Q6" s="144" t="s">
        <v>5</v>
      </c>
      <c r="R6" s="144" t="s">
        <v>6</v>
      </c>
      <c r="S6" s="144" t="s">
        <v>7</v>
      </c>
      <c r="T6" s="144" t="s">
        <v>8</v>
      </c>
      <c r="U6" s="144" t="s">
        <v>9</v>
      </c>
      <c r="V6" s="145" t="s">
        <v>10</v>
      </c>
      <c r="W6" s="145" t="s">
        <v>11</v>
      </c>
      <c r="X6" s="145" t="s">
        <v>12</v>
      </c>
    </row>
    <row r="7" spans="1:27" x14ac:dyDescent="0.25">
      <c r="A7" s="42" t="s">
        <v>27</v>
      </c>
      <c r="B7" s="5">
        <f>-SUMIFS('List of Ledgers '!$L:$L,'List of Ledgers '!$F:$F,'P&amp;L'!$A$7,'List of Ledgers '!$G:$G,'P&amp;L'!B6)</f>
        <v>0</v>
      </c>
      <c r="C7" s="5">
        <f>-SUMIFS('List of Ledgers '!$L:$L,'List of Ledgers '!$F:$F,'P&amp;L'!$A$7,'List of Ledgers '!$G:$G,'P&amp;L'!C6)</f>
        <v>28434.720000000001</v>
      </c>
      <c r="D7" s="5">
        <f>-SUMIFS('List of Ledgers '!$L:$L,'List of Ledgers '!$F:$F,'P&amp;L'!$A$7,'List of Ledgers '!$G:$G,'P&amp;L'!D6)</f>
        <v>0</v>
      </c>
      <c r="E7" s="5">
        <f>-SUMIFS('List of Ledgers '!$L:$L,'List of Ledgers '!$F:$F,'P&amp;L'!$A$7,'List of Ledgers '!$G:$G,'P&amp;L'!E6)</f>
        <v>0</v>
      </c>
      <c r="F7" s="5">
        <f>-SUMIFS('List of Ledgers '!$L:$L,'List of Ledgers '!$F:$F,'P&amp;L'!$A$7,'List of Ledgers '!$G:$G,'P&amp;L'!F6)</f>
        <v>0</v>
      </c>
      <c r="G7" s="5">
        <f>-SUMIFS('List of Ledgers '!$L:$L,'List of Ledgers '!$F:$F,'P&amp;L'!$A$7,'List of Ledgers '!$G:$G,'P&amp;L'!G6)</f>
        <v>0</v>
      </c>
      <c r="H7" s="5">
        <f>-SUMIFS('List of Ledgers '!$L:$L,'List of Ledgers '!$F:$F,'P&amp;L'!$A$7,'List of Ledgers '!$G:$G,'P&amp;L'!H6)</f>
        <v>0</v>
      </c>
      <c r="I7" s="5">
        <f>-SUMIFS('List of Ledgers '!$L:$L,'List of Ledgers '!$F:$F,'P&amp;L'!$A$7,'List of Ledgers '!$G:$G,'P&amp;L'!I6)</f>
        <v>75012624.840000004</v>
      </c>
      <c r="J7" s="57">
        <f>SUM(B7:I7)</f>
        <v>75041059.560000002</v>
      </c>
      <c r="K7" s="5">
        <f>'Shares(FIFO) '!J5</f>
        <v>0</v>
      </c>
      <c r="L7" s="5">
        <f t="shared" ref="L7:L14" si="0">J7+K7</f>
        <v>75041059.560000002</v>
      </c>
      <c r="N7" s="5">
        <f>-SUMIFS('List of Ledgers '!$Q:$Q,'List of Ledgers '!$F:$F,'P&amp;L'!$A$7,'List of Ledgers '!$G:$G,'P&amp;L'!N6)</f>
        <v>1770750.32</v>
      </c>
      <c r="O7" s="5">
        <f>-SUMIFS('List of Ledgers '!$Q:$Q,'List of Ledgers '!$F:$F,'P&amp;L'!$A$7,'List of Ledgers '!$G:$G,'P&amp;L'!O6)</f>
        <v>837740.01</v>
      </c>
      <c r="P7" s="5">
        <f>-SUMIFS('List of Ledgers '!$Q:$Q,'List of Ledgers '!$F:$F,'P&amp;L'!$A$7,'List of Ledgers '!$G:$G,'P&amp;L'!P6)</f>
        <v>105815329.29000001</v>
      </c>
      <c r="Q7" s="5">
        <f>-SUMIFS('List of Ledgers '!$Q:$Q,'List of Ledgers '!$F:$F,'P&amp;L'!$A$7,'List of Ledgers '!$G:$G,'P&amp;L'!Q6)</f>
        <v>0</v>
      </c>
      <c r="R7" s="5">
        <f>-SUMIFS('List of Ledgers '!$Q:$Q,'List of Ledgers '!$F:$F,'P&amp;L'!$A$7,'List of Ledgers '!$G:$G,'P&amp;L'!R6)</f>
        <v>0</v>
      </c>
      <c r="S7" s="5">
        <f>-SUMIFS('List of Ledgers '!$Q:$Q,'List of Ledgers '!$F:$F,'P&amp;L'!$A$7,'List of Ledgers '!$G:$G,'P&amp;L'!S6)</f>
        <v>0</v>
      </c>
      <c r="T7" s="5">
        <f>-SUMIFS('List of Ledgers '!$Q:$Q,'List of Ledgers '!$F:$F,'P&amp;L'!$A$7,'List of Ledgers '!$G:$G,'P&amp;L'!T6)</f>
        <v>0</v>
      </c>
      <c r="U7" s="5">
        <f>-SUMIFS('List of Ledgers '!$Q:$Q,'List of Ledgers '!$F:$F,'P&amp;L'!$A$7,'List of Ledgers '!$G:$G,'P&amp;L'!U6)-1124270</f>
        <v>119891778.17999999</v>
      </c>
      <c r="V7" s="57">
        <f>SUM(N7:U7)</f>
        <v>228315597.80000001</v>
      </c>
      <c r="W7" s="5">
        <f>'Shares FIFO YTD'!J5</f>
        <v>0</v>
      </c>
      <c r="X7" s="5">
        <f>V7+W7</f>
        <v>228315597.80000001</v>
      </c>
      <c r="Y7" s="7">
        <f>V7-X7</f>
        <v>0</v>
      </c>
    </row>
    <row r="8" spans="1:27" x14ac:dyDescent="0.25">
      <c r="A8" s="42" t="s">
        <v>28</v>
      </c>
      <c r="B8" s="5">
        <f>COGS!B11</f>
        <v>0</v>
      </c>
      <c r="C8" s="5">
        <f>COGS!C11</f>
        <v>28434.719999999972</v>
      </c>
      <c r="D8" s="5">
        <f>COGS!D11</f>
        <v>16865.54999999993</v>
      </c>
      <c r="E8" s="5">
        <f>COGS!E11</f>
        <v>0</v>
      </c>
      <c r="F8" s="5">
        <f>COGS!F11</f>
        <v>0</v>
      </c>
      <c r="G8" s="5">
        <f>COGS!G11</f>
        <v>16540</v>
      </c>
      <c r="H8" s="5"/>
      <c r="I8" s="5">
        <f>COGS!H11</f>
        <v>69588311.75999999</v>
      </c>
      <c r="J8" s="57">
        <f>SUM(B8:I8)</f>
        <v>69650152.029999986</v>
      </c>
      <c r="K8" s="5">
        <f>COGS!J11</f>
        <v>0</v>
      </c>
      <c r="L8" s="5">
        <f t="shared" si="0"/>
        <v>69650152.029999986</v>
      </c>
      <c r="N8" s="5">
        <f>COGS!B18</f>
        <v>1831803.37</v>
      </c>
      <c r="O8" s="5">
        <f>COGS!C18</f>
        <v>509355.45999999973</v>
      </c>
      <c r="P8" s="5">
        <f>COGS!D18</f>
        <v>102312593.17</v>
      </c>
      <c r="Q8" s="5">
        <f>COGS!E18</f>
        <v>0</v>
      </c>
      <c r="R8" s="5">
        <f>COGS!F18</f>
        <v>0</v>
      </c>
      <c r="S8" s="5">
        <f>COGS!G18</f>
        <v>17570</v>
      </c>
      <c r="T8" s="5"/>
      <c r="U8" s="5">
        <f>COGS!H18</f>
        <v>110654393.45999999</v>
      </c>
      <c r="V8" s="57">
        <f>SUM(N8:U8)</f>
        <v>215325715.45999998</v>
      </c>
      <c r="W8" s="5">
        <f>COGS!J18</f>
        <v>0</v>
      </c>
      <c r="X8" s="5">
        <f>V8+W8</f>
        <v>215325715.45999998</v>
      </c>
      <c r="Y8" s="7">
        <f t="shared" ref="Y8:Y69" si="1">V8-X8</f>
        <v>0</v>
      </c>
    </row>
    <row r="9" spans="1:27" x14ac:dyDescent="0.25">
      <c r="A9" s="42" t="s">
        <v>1291</v>
      </c>
      <c r="B9" s="5">
        <f t="shared" ref="B9:I9" si="2">SUM(B10:B14)</f>
        <v>0</v>
      </c>
      <c r="C9" s="5">
        <f t="shared" si="2"/>
        <v>0</v>
      </c>
      <c r="D9" s="5">
        <f t="shared" si="2"/>
        <v>79554.92</v>
      </c>
      <c r="E9" s="5">
        <f t="shared" si="2"/>
        <v>0</v>
      </c>
      <c r="F9" s="5">
        <f t="shared" si="2"/>
        <v>0</v>
      </c>
      <c r="G9" s="5">
        <f t="shared" si="2"/>
        <v>18510</v>
      </c>
      <c r="H9" s="5">
        <f t="shared" si="2"/>
        <v>0</v>
      </c>
      <c r="I9" s="5">
        <f t="shared" si="2"/>
        <v>2088133.3299999998</v>
      </c>
      <c r="J9" s="57">
        <f>SUM(B9:I9)</f>
        <v>2186198.25</v>
      </c>
      <c r="K9" s="5">
        <f>SUM(K10:K14)</f>
        <v>0</v>
      </c>
      <c r="L9" s="5">
        <f>J9+K9</f>
        <v>2186198.25</v>
      </c>
      <c r="N9" s="5">
        <f t="shared" ref="N9:U9" si="3">SUM(N10:N14)</f>
        <v>0</v>
      </c>
      <c r="O9" s="5">
        <f t="shared" si="3"/>
        <v>0</v>
      </c>
      <c r="P9" s="5">
        <f t="shared" si="3"/>
        <v>621733.82000000007</v>
      </c>
      <c r="Q9" s="5">
        <f t="shared" si="3"/>
        <v>0</v>
      </c>
      <c r="R9" s="5">
        <f t="shared" si="3"/>
        <v>0</v>
      </c>
      <c r="S9" s="5">
        <f t="shared" si="3"/>
        <v>60190</v>
      </c>
      <c r="T9" s="5">
        <f t="shared" si="3"/>
        <v>0</v>
      </c>
      <c r="U9" s="5">
        <f t="shared" si="3"/>
        <v>3597029.2700000005</v>
      </c>
      <c r="V9" s="57">
        <f t="shared" ref="V9" si="4">SUM(N9:U9)</f>
        <v>4278953.0900000008</v>
      </c>
      <c r="W9" s="5"/>
      <c r="X9" s="57">
        <f t="shared" ref="X9:X14" si="5">V9+W9</f>
        <v>4278953.0900000008</v>
      </c>
      <c r="Y9" s="7">
        <f t="shared" si="1"/>
        <v>0</v>
      </c>
      <c r="AA9" s="7"/>
    </row>
    <row r="10" spans="1:27" outlineLevel="1" x14ac:dyDescent="0.25">
      <c r="A10" s="4" t="s">
        <v>71</v>
      </c>
      <c r="B10" s="5">
        <f>SUMIFS('List of Ledgers '!$L:$L,'List of Ledgers '!$F:$F,'P&amp;L'!$A10,'List of Ledgers '!$G:$G,'P&amp;L'!B$6)</f>
        <v>0</v>
      </c>
      <c r="C10" s="5">
        <f>SUMIFS('List of Ledgers '!$L:$L,'List of Ledgers '!$F:$F,'P&amp;L'!$A10,'List of Ledgers '!$G:$G,'P&amp;L'!C$6)</f>
        <v>0</v>
      </c>
      <c r="D10" s="5">
        <f>SUMIFS('List of Ledgers '!$L:$L,'List of Ledgers '!$F:$F,'P&amp;L'!$A10,'List of Ledgers '!$G:$G,'P&amp;L'!D$6)</f>
        <v>0</v>
      </c>
      <c r="E10" s="5">
        <f>SUMIFS('List of Ledgers '!$L:$L,'List of Ledgers '!$F:$F,'P&amp;L'!$A10,'List of Ledgers '!$G:$G,'P&amp;L'!E$6)</f>
        <v>0</v>
      </c>
      <c r="F10" s="5">
        <f>SUMIFS('List of Ledgers '!$L:$L,'List of Ledgers '!$F:$F,'P&amp;L'!$A10,'List of Ledgers '!$G:$G,'P&amp;L'!F$6)</f>
        <v>0</v>
      </c>
      <c r="G10" s="5">
        <f>SUMIFS('List of Ledgers '!$L:$L,'List of Ledgers '!$F:$F,'P&amp;L'!$A10,'List of Ledgers '!$G:$G,'P&amp;L'!G$6)</f>
        <v>0</v>
      </c>
      <c r="H10" s="5">
        <f>SUMIFS('List of Ledgers '!$L:$L,'List of Ledgers '!$F:$F,'P&amp;L'!$A10,'List of Ledgers '!$G:$G,'P&amp;L'!H$6)</f>
        <v>0</v>
      </c>
      <c r="I10" s="5">
        <f>SUMIFS('List of Ledgers '!$L:$L,'List of Ledgers '!$F:$F,'P&amp;L'!$A10,'List of Ledgers '!$G:$G,'P&amp;L'!I$6)</f>
        <v>1836553.2499999998</v>
      </c>
      <c r="J10" s="57">
        <f t="shared" ref="J10:J14" si="6">SUM(B10:I10)</f>
        <v>1836553.2499999998</v>
      </c>
      <c r="K10" s="5">
        <f>SUMIFS('List of Ledgers '!$L:$L,'List of Ledgers '!$F:$F,'P&amp;L'!$A10,'List of Ledgers '!$G:$G,'P&amp;L'!K$6)</f>
        <v>0</v>
      </c>
      <c r="L10" s="5">
        <f t="shared" si="0"/>
        <v>1836553.2499999998</v>
      </c>
      <c r="N10" s="5">
        <f>SUMIFS('List of Ledgers '!$Q:$Q,'List of Ledgers '!$F:$F,'P&amp;L'!$A$10,'List of Ledgers '!$G:$G,'P&amp;L'!N6)</f>
        <v>0</v>
      </c>
      <c r="O10" s="5">
        <f>SUMIFS('List of Ledgers '!$Q:$Q,'List of Ledgers '!$F:$F,'P&amp;L'!$A$10,'List of Ledgers '!$G:$G,'P&amp;L'!O6)</f>
        <v>0</v>
      </c>
      <c r="P10" s="5">
        <f>SUMIFS('List of Ledgers '!$Q:$Q,'List of Ledgers '!$F:$F,'P&amp;L'!$A$10,'List of Ledgers '!$G:$G,'P&amp;L'!P6)</f>
        <v>242217.9</v>
      </c>
      <c r="Q10" s="5">
        <f>SUMIFS('List of Ledgers '!$Q:$Q,'List of Ledgers '!$F:$F,'P&amp;L'!$A$10,'List of Ledgers '!$G:$G,'P&amp;L'!Q6)</f>
        <v>0</v>
      </c>
      <c r="R10" s="5">
        <f>SUMIFS('List of Ledgers '!$Q:$Q,'List of Ledgers '!$F:$F,'P&amp;L'!$A$10,'List of Ledgers '!$G:$G,'P&amp;L'!R6)</f>
        <v>0</v>
      </c>
      <c r="S10" s="5">
        <f>SUMIFS('List of Ledgers '!$Q:$Q,'List of Ledgers '!$F:$F,'P&amp;L'!$A$10,'List of Ledgers '!$G:$G,'P&amp;L'!S6)</f>
        <v>0</v>
      </c>
      <c r="T10" s="5">
        <f>SUMIFS('List of Ledgers '!$Q:$Q,'List of Ledgers '!$F:$F,'P&amp;L'!$A$10,'List of Ledgers '!$G:$G,'P&amp;L'!T6)</f>
        <v>0</v>
      </c>
      <c r="U10" s="5">
        <f>SUMIFS('List of Ledgers '!$Q:$Q,'List of Ledgers '!$F:$F,'P&amp;L'!$A$10,'List of Ledgers '!$G:$G,'P&amp;L'!U6)</f>
        <v>2785094.5900000003</v>
      </c>
      <c r="V10" s="57">
        <f t="shared" ref="V10:V14" si="7">SUM(N10:U10)</f>
        <v>3027312.49</v>
      </c>
      <c r="W10" s="5"/>
      <c r="X10" s="5">
        <f t="shared" si="5"/>
        <v>3027312.49</v>
      </c>
      <c r="Y10" s="7">
        <f t="shared" si="1"/>
        <v>0</v>
      </c>
    </row>
    <row r="11" spans="1:27" outlineLevel="1" x14ac:dyDescent="0.25">
      <c r="A11" s="4" t="s">
        <v>55</v>
      </c>
      <c r="B11" s="5">
        <f>SUMIFS('List of Ledgers '!$L:$L,'List of Ledgers '!$F:$F,'P&amp;L'!$A11,'List of Ledgers '!$G:$G,'P&amp;L'!B$6)</f>
        <v>0</v>
      </c>
      <c r="C11" s="5">
        <f>SUMIFS('List of Ledgers '!$L:$L,'List of Ledgers '!$F:$F,'P&amp;L'!$A11,'List of Ledgers '!$G:$G,'P&amp;L'!C$6)</f>
        <v>0</v>
      </c>
      <c r="D11" s="5">
        <f>SUMIFS('List of Ledgers '!$L:$L,'List of Ledgers '!$F:$F,'P&amp;L'!$A11,'List of Ledgers '!$G:$G,'P&amp;L'!D$6)</f>
        <v>0</v>
      </c>
      <c r="E11" s="5">
        <f>SUMIFS('List of Ledgers '!$L:$L,'List of Ledgers '!$F:$F,'P&amp;L'!$A11,'List of Ledgers '!$G:$G,'P&amp;L'!E$6)</f>
        <v>0</v>
      </c>
      <c r="F11" s="5">
        <f>SUMIFS('List of Ledgers '!$L:$L,'List of Ledgers '!$F:$F,'P&amp;L'!$A11,'List of Ledgers '!$G:$G,'P&amp;L'!F$6)</f>
        <v>0</v>
      </c>
      <c r="G11" s="5">
        <f>SUMIFS('List of Ledgers '!$L:$L,'List of Ledgers '!$F:$F,'P&amp;L'!$A11,'List of Ledgers '!$G:$G,'P&amp;L'!G$6)</f>
        <v>18510</v>
      </c>
      <c r="H11" s="5">
        <f>SUMIFS('List of Ledgers '!$L:$L,'List of Ledgers '!$F:$F,'P&amp;L'!$A11,'List of Ledgers '!$G:$G,'P&amp;L'!H$6)</f>
        <v>0</v>
      </c>
      <c r="I11" s="5">
        <f>SUMIFS('List of Ledgers '!$L:$L,'List of Ledgers '!$F:$F,'P&amp;L'!$A11,'List of Ledgers '!$G:$G,'P&amp;L'!I$6)</f>
        <v>0</v>
      </c>
      <c r="J11" s="57">
        <f t="shared" si="6"/>
        <v>18510</v>
      </c>
      <c r="K11" s="5">
        <f>SUMIFS('List of Ledgers '!$L:$L,'List of Ledgers '!$F:$F,'P&amp;L'!$A11,'List of Ledgers '!$G:$G,'P&amp;L'!K$6)</f>
        <v>0</v>
      </c>
      <c r="L11" s="5">
        <f t="shared" si="0"/>
        <v>18510</v>
      </c>
      <c r="N11" s="5">
        <f>SUMIFS('List of Ledgers '!$Q:$Q,'List of Ledgers '!$F:$F,'P&amp;L'!$A$11,'List of Ledgers '!$G:$G,'P&amp;L'!N6)</f>
        <v>0</v>
      </c>
      <c r="O11" s="5">
        <f>SUMIFS('List of Ledgers '!$Q:$Q,'List of Ledgers '!$F:$F,'P&amp;L'!$A$11,'List of Ledgers '!$G:$G,'P&amp;L'!O6)</f>
        <v>0</v>
      </c>
      <c r="P11" s="5">
        <f>SUMIFS('List of Ledgers '!$Q:$Q,'List of Ledgers '!$F:$F,'P&amp;L'!$A$11,'List of Ledgers '!$G:$G,'P&amp;L'!P6)</f>
        <v>4750</v>
      </c>
      <c r="Q11" s="5">
        <f>SUMIFS('List of Ledgers '!$Q:$Q,'List of Ledgers '!$F:$F,'P&amp;L'!$A$11,'List of Ledgers '!$G:$G,'P&amp;L'!Q6)</f>
        <v>0</v>
      </c>
      <c r="R11" s="5">
        <f>SUMIFS('List of Ledgers '!$Q:$Q,'List of Ledgers '!$F:$F,'P&amp;L'!$A$11,'List of Ledgers '!$G:$G,'P&amp;L'!R6)</f>
        <v>0</v>
      </c>
      <c r="S11" s="5">
        <f>SUMIFS('List of Ledgers '!$Q:$Q,'List of Ledgers '!$F:$F,'P&amp;L'!$A$11,'List of Ledgers '!$G:$G,'P&amp;L'!S6)</f>
        <v>60190</v>
      </c>
      <c r="T11" s="5">
        <f>SUMIFS('List of Ledgers '!$Q:$Q,'List of Ledgers '!$F:$F,'P&amp;L'!$A$11,'List of Ledgers '!$G:$G,'P&amp;L'!T6)</f>
        <v>0</v>
      </c>
      <c r="U11" s="5">
        <f>SUMIFS('List of Ledgers '!$Q:$Q,'List of Ledgers '!$F:$F,'P&amp;L'!$A$11,'List of Ledgers '!$G:$G,'P&amp;L'!U6)</f>
        <v>0</v>
      </c>
      <c r="V11" s="57">
        <f>SUM(N11:U11)</f>
        <v>64940</v>
      </c>
      <c r="W11" s="5"/>
      <c r="X11" s="5">
        <f t="shared" si="5"/>
        <v>64940</v>
      </c>
      <c r="Y11" s="7">
        <f t="shared" si="1"/>
        <v>0</v>
      </c>
    </row>
    <row r="12" spans="1:27" outlineLevel="1" x14ac:dyDescent="0.25">
      <c r="A12" s="4" t="s">
        <v>1290</v>
      </c>
      <c r="B12" s="5">
        <f>SUMIFS('List of Ledgers '!$L:$L,'List of Ledgers '!$F:$F,'P&amp;L'!$A12,'List of Ledgers '!$G:$G,'P&amp;L'!B$6)</f>
        <v>0</v>
      </c>
      <c r="C12" s="5">
        <f>SUMIFS('List of Ledgers '!$L:$L,'List of Ledgers '!$F:$F,'P&amp;L'!$A12,'List of Ledgers '!$G:$G,'P&amp;L'!C$6)</f>
        <v>0</v>
      </c>
      <c r="D12" s="5">
        <f>SUMIFS('List of Ledgers '!$L:$L,'List of Ledgers '!$F:$F,'P&amp;L'!$A12,'List of Ledgers '!$G:$G,'P&amp;L'!D$6)</f>
        <v>81550.92</v>
      </c>
      <c r="E12" s="5">
        <f>SUMIFS('List of Ledgers '!$L:$L,'List of Ledgers '!$F:$F,'P&amp;L'!$A12,'List of Ledgers '!$G:$G,'P&amp;L'!E$6)</f>
        <v>0</v>
      </c>
      <c r="F12" s="5">
        <f>SUMIFS('List of Ledgers '!$L:$L,'List of Ledgers '!$F:$F,'P&amp;L'!$A12,'List of Ledgers '!$G:$G,'P&amp;L'!F$6)</f>
        <v>0</v>
      </c>
      <c r="G12" s="5">
        <f>SUMIFS('List of Ledgers '!$L:$L,'List of Ledgers '!$F:$F,'P&amp;L'!$A12,'List of Ledgers '!$G:$G,'P&amp;L'!G$6)</f>
        <v>0</v>
      </c>
      <c r="H12" s="5">
        <f>SUMIFS('List of Ledgers '!$L:$L,'List of Ledgers '!$F:$F,'P&amp;L'!$A12,'List of Ledgers '!$G:$G,'P&amp;L'!H$6)</f>
        <v>0</v>
      </c>
      <c r="I12" s="5">
        <f>SUMIFS('List of Ledgers '!$L:$L,'List of Ledgers '!$F:$F,'P&amp;L'!$A12,'List of Ledgers '!$G:$G,'P&amp;L'!I$6)</f>
        <v>251580.08000000002</v>
      </c>
      <c r="J12" s="57">
        <f t="shared" si="6"/>
        <v>333131</v>
      </c>
      <c r="K12" s="5">
        <f>SUMIFS('List of Ledgers '!$L:$L,'List of Ledgers '!$F:$F,'P&amp;L'!$A12,'List of Ledgers '!$G:$G,'P&amp;L'!K$6)</f>
        <v>0</v>
      </c>
      <c r="L12" s="5">
        <f t="shared" si="0"/>
        <v>333131</v>
      </c>
      <c r="N12" s="5">
        <f>SUMIFS('List of Ledgers '!$Q:$Q,'List of Ledgers '!$F:$F,'P&amp;L'!$A$12,'List of Ledgers '!$G:$G,'P&amp;L'!N6)</f>
        <v>0</v>
      </c>
      <c r="O12" s="5">
        <f>SUMIFS('List of Ledgers '!$Q:$Q,'List of Ledgers '!$F:$F,'P&amp;L'!$A$12,'List of Ledgers '!$G:$G,'P&amp;L'!O6)</f>
        <v>0</v>
      </c>
      <c r="P12" s="5">
        <f>SUMIFS('List of Ledgers '!$Q:$Q,'List of Ledgers '!$F:$F,'P&amp;L'!$A$12,'List of Ledgers '!$G:$G,'P&amp;L'!P6)</f>
        <v>196185.92</v>
      </c>
      <c r="Q12" s="5">
        <f>SUMIFS('List of Ledgers '!$Q:$Q,'List of Ledgers '!$F:$F,'P&amp;L'!$A$12,'List of Ledgers '!$G:$G,'P&amp;L'!Q6)</f>
        <v>0</v>
      </c>
      <c r="R12" s="5">
        <f>SUMIFS('List of Ledgers '!$Q:$Q,'List of Ledgers '!$F:$F,'P&amp;L'!$A$12,'List of Ledgers '!$G:$G,'P&amp;L'!R6)</f>
        <v>0</v>
      </c>
      <c r="S12" s="5">
        <f>SUMIFS('List of Ledgers '!$Q:$Q,'List of Ledgers '!$F:$F,'P&amp;L'!$A$12,'List of Ledgers '!$G:$G,'P&amp;L'!S6)</f>
        <v>0</v>
      </c>
      <c r="T12" s="5">
        <f>SUMIFS('List of Ledgers '!$Q:$Q,'List of Ledgers '!$F:$F,'P&amp;L'!$A$12,'List of Ledgers '!$G:$G,'P&amp;L'!T6)</f>
        <v>0</v>
      </c>
      <c r="U12" s="5">
        <f>SUMIFS('List of Ledgers '!$Q:$Q,'List of Ledgers '!$F:$F,'P&amp;L'!$A$12,'List of Ledgers '!$G:$G,'P&amp;L'!U6)</f>
        <v>811934.67999999993</v>
      </c>
      <c r="V12" s="57">
        <f t="shared" si="7"/>
        <v>1008120.6</v>
      </c>
      <c r="W12" s="5"/>
      <c r="X12" s="5">
        <f t="shared" si="5"/>
        <v>1008120.6</v>
      </c>
      <c r="Y12" s="7">
        <f t="shared" si="1"/>
        <v>0</v>
      </c>
    </row>
    <row r="13" spans="1:27" outlineLevel="1" x14ac:dyDescent="0.25">
      <c r="A13" s="4" t="s">
        <v>50</v>
      </c>
      <c r="B13" s="5">
        <f>SUMIFS('List of Ledgers '!$L:$L,'List of Ledgers '!$F:$F,'P&amp;L'!$A13,'List of Ledgers '!$G:$G,'P&amp;L'!B$6)</f>
        <v>0</v>
      </c>
      <c r="C13" s="5">
        <f>SUMIFS('List of Ledgers '!$L:$L,'List of Ledgers '!$F:$F,'P&amp;L'!$A13,'List of Ledgers '!$G:$G,'P&amp;L'!C$6)</f>
        <v>0</v>
      </c>
      <c r="D13" s="5">
        <f>SUMIFS('List of Ledgers '!$L:$L,'List of Ledgers '!$F:$F,'P&amp;L'!$A13,'List of Ledgers '!$G:$G,'P&amp;L'!D$6)</f>
        <v>-16833</v>
      </c>
      <c r="E13" s="5">
        <f>SUMIFS('List of Ledgers '!$L:$L,'List of Ledgers '!$F:$F,'P&amp;L'!$A13,'List of Ledgers '!$G:$G,'P&amp;L'!E$6)</f>
        <v>0</v>
      </c>
      <c r="F13" s="5">
        <f>SUMIFS('List of Ledgers '!$L:$L,'List of Ledgers '!$F:$F,'P&amp;L'!$A13,'List of Ledgers '!$G:$G,'P&amp;L'!F$6)</f>
        <v>0</v>
      </c>
      <c r="G13" s="5">
        <f>SUMIFS('List of Ledgers '!$L:$L,'List of Ledgers '!$F:$F,'P&amp;L'!$A13,'List of Ledgers '!$G:$G,'P&amp;L'!G$6)</f>
        <v>0</v>
      </c>
      <c r="H13" s="5">
        <f>SUMIFS('List of Ledgers '!$L:$L,'List of Ledgers '!$F:$F,'P&amp;L'!$A13,'List of Ledgers '!$G:$G,'P&amp;L'!H$6)</f>
        <v>0</v>
      </c>
      <c r="I13" s="5">
        <f>SUMIFS('List of Ledgers '!$L:$L,'List of Ledgers '!$F:$F,'P&amp;L'!$A13,'List of Ledgers '!$G:$G,'P&amp;L'!I$6)</f>
        <v>0</v>
      </c>
      <c r="J13" s="57">
        <f t="shared" si="6"/>
        <v>-16833</v>
      </c>
      <c r="K13" s="5">
        <f>SUMIFS('List of Ledgers '!$L:$L,'List of Ledgers '!$F:$F,'P&amp;L'!$A13,'List of Ledgers '!$G:$G,'P&amp;L'!K$6)</f>
        <v>0</v>
      </c>
      <c r="L13" s="5">
        <f t="shared" si="0"/>
        <v>-16833</v>
      </c>
      <c r="N13" s="5">
        <f>SUMIFS('List of Ledgers '!$Q:$Q,'List of Ledgers '!$F:$F,'P&amp;L'!$A$13,'List of Ledgers '!$G:$G,'P&amp;L'!N6)</f>
        <v>0</v>
      </c>
      <c r="O13" s="5">
        <f>SUMIFS('List of Ledgers '!$Q:$Q,'List of Ledgers '!$F:$F,'P&amp;L'!$A$13,'List of Ledgers '!$G:$G,'P&amp;L'!O6)</f>
        <v>0</v>
      </c>
      <c r="P13" s="5">
        <f>SUMIFS('List of Ledgers '!$Q:$Q,'List of Ledgers '!$F:$F,'P&amp;L'!$A$13,'List of Ledgers '!$G:$G,'P&amp;L'!P6)</f>
        <v>1575</v>
      </c>
      <c r="Q13" s="5">
        <f>SUMIFS('List of Ledgers '!$Q:$Q,'List of Ledgers '!$F:$F,'P&amp;L'!$A$13,'List of Ledgers '!$G:$G,'P&amp;L'!Q6)</f>
        <v>0</v>
      </c>
      <c r="R13" s="5">
        <f>SUMIFS('List of Ledgers '!$Q:$Q,'List of Ledgers '!$F:$F,'P&amp;L'!$A$13,'List of Ledgers '!$G:$G,'P&amp;L'!R6)</f>
        <v>0</v>
      </c>
      <c r="S13" s="5">
        <f>SUMIFS('List of Ledgers '!$Q:$Q,'List of Ledgers '!$F:$F,'P&amp;L'!$A$13,'List of Ledgers '!$G:$G,'P&amp;L'!S6)</f>
        <v>0</v>
      </c>
      <c r="T13" s="5">
        <f>SUMIFS('List of Ledgers '!$Q:$Q,'List of Ledgers '!$F:$F,'P&amp;L'!$A$13,'List of Ledgers '!$G:$G,'P&amp;L'!T6)</f>
        <v>0</v>
      </c>
      <c r="U13" s="5">
        <f>SUMIFS('List of Ledgers '!$Q:$Q,'List of Ledgers '!$F:$F,'P&amp;L'!$A$13,'List of Ledgers '!$G:$G,'P&amp;L'!U6)</f>
        <v>0</v>
      </c>
      <c r="V13" s="57">
        <f t="shared" si="7"/>
        <v>1575</v>
      </c>
      <c r="W13" s="5"/>
      <c r="X13" s="5">
        <f t="shared" si="5"/>
        <v>1575</v>
      </c>
      <c r="Y13" s="7">
        <f t="shared" si="1"/>
        <v>0</v>
      </c>
    </row>
    <row r="14" spans="1:27" outlineLevel="1" x14ac:dyDescent="0.25">
      <c r="A14" s="4" t="s">
        <v>52</v>
      </c>
      <c r="B14" s="5">
        <f>SUMIFS('List of Ledgers '!$L:$L,'List of Ledgers '!$F:$F,'P&amp;L'!$A14,'List of Ledgers '!$G:$G,'P&amp;L'!B$6)</f>
        <v>0</v>
      </c>
      <c r="C14" s="5">
        <f>SUMIFS('List of Ledgers '!$L:$L,'List of Ledgers '!$F:$F,'P&amp;L'!$A14,'List of Ledgers '!$G:$G,'P&amp;L'!C$6)</f>
        <v>0</v>
      </c>
      <c r="D14" s="5">
        <f>SUMIFS('List of Ledgers '!$L:$L,'List of Ledgers '!$F:$F,'P&amp;L'!$A14,'List of Ledgers '!$G:$G,'P&amp;L'!D$6)</f>
        <v>14837</v>
      </c>
      <c r="E14" s="5">
        <f>SUMIFS('List of Ledgers '!$L:$L,'List of Ledgers '!$F:$F,'P&amp;L'!$A14,'List of Ledgers '!$G:$G,'P&amp;L'!E$6)</f>
        <v>0</v>
      </c>
      <c r="F14" s="5">
        <f>SUMIFS('List of Ledgers '!$L:$L,'List of Ledgers '!$F:$F,'P&amp;L'!$A14,'List of Ledgers '!$G:$G,'P&amp;L'!F$6)</f>
        <v>0</v>
      </c>
      <c r="G14" s="5">
        <f>SUMIFS('List of Ledgers '!$L:$L,'List of Ledgers '!$F:$F,'P&amp;L'!$A14,'List of Ledgers '!$G:$G,'P&amp;L'!G$6)</f>
        <v>0</v>
      </c>
      <c r="H14" s="5">
        <f>SUMIFS('List of Ledgers '!$L:$L,'List of Ledgers '!$F:$F,'P&amp;L'!$A14,'List of Ledgers '!$G:$G,'P&amp;L'!H$6)</f>
        <v>0</v>
      </c>
      <c r="I14" s="5">
        <f>SUMIFS('List of Ledgers '!$L:$L,'List of Ledgers '!$F:$F,'P&amp;L'!$A14,'List of Ledgers '!$G:$G,'P&amp;L'!I$6)</f>
        <v>0</v>
      </c>
      <c r="J14" s="57">
        <f t="shared" si="6"/>
        <v>14837</v>
      </c>
      <c r="K14" s="5">
        <f>SUMIFS('List of Ledgers '!$L:$L,'List of Ledgers '!$F:$F,'P&amp;L'!$A14,'List of Ledgers '!$G:$G,'P&amp;L'!K$6)</f>
        <v>0</v>
      </c>
      <c r="L14" s="5">
        <f t="shared" si="0"/>
        <v>14837</v>
      </c>
      <c r="N14" s="5">
        <f>SUMIFS('List of Ledgers '!$Q:$Q,'List of Ledgers '!$F:$F,'P&amp;L'!$A$14,'List of Ledgers '!$G:$G,'P&amp;L'!N6,'List of Ledgers '!E:E,'P&amp;L'!A9)</f>
        <v>0</v>
      </c>
      <c r="O14" s="5">
        <f>SUMIFS('List of Ledgers '!$Q:$Q,'List of Ledgers '!$F:$F,'P&amp;L'!$A$14,'List of Ledgers '!$G:$G,'P&amp;L'!O6,'List of Ledgers '!F:F,'P&amp;L'!B9)</f>
        <v>0</v>
      </c>
      <c r="P14" s="5">
        <f>SUMIFS('List of Ledgers '!$Q:$Q,'List of Ledgers '!$F:$F,'P&amp;L'!$A$14,'List of Ledgers '!$G:$G,'P&amp;L'!P6,'List of Ledgers '!E:E,'P&amp;L'!A9)</f>
        <v>177005</v>
      </c>
      <c r="Q14" s="5">
        <f>SUMIFS('List of Ledgers '!$Q:$Q,'List of Ledgers '!$F:$F,'P&amp;L'!$A$14,'List of Ledgers '!$G:$G,'P&amp;L'!Q6)</f>
        <v>0</v>
      </c>
      <c r="R14" s="5">
        <f>SUMIFS('List of Ledgers '!$Q:$Q,'List of Ledgers '!$F:$F,'P&amp;L'!$A$14,'List of Ledgers '!$G:$G,'P&amp;L'!R6)</f>
        <v>0</v>
      </c>
      <c r="S14" s="5">
        <f>SUMIFS('List of Ledgers '!$Q:$Q,'List of Ledgers '!$F:$F,'P&amp;L'!$A$14,'List of Ledgers '!$G:$G,'P&amp;L'!S6,'List of Ledgers '!H:H,'P&amp;L'!D9)</f>
        <v>0</v>
      </c>
      <c r="T14" s="5">
        <f>SUMIFS('List of Ledgers '!$Q:$Q,'List of Ledgers '!$F:$F,'P&amp;L'!$A$14,'List of Ledgers '!$G:$G,'P&amp;L'!T6)</f>
        <v>0</v>
      </c>
      <c r="U14" s="5">
        <f>SUMIFS('List of Ledgers '!$Q:$Q,'List of Ledgers '!$F:$F,'P&amp;L'!$A$14,'List of Ledgers '!$G:$G,'P&amp;L'!U6)</f>
        <v>0</v>
      </c>
      <c r="V14" s="57">
        <f t="shared" si="7"/>
        <v>177005</v>
      </c>
      <c r="W14" s="5"/>
      <c r="X14" s="5">
        <f t="shared" si="5"/>
        <v>177005</v>
      </c>
      <c r="Y14" s="7">
        <f t="shared" si="1"/>
        <v>0</v>
      </c>
    </row>
    <row r="15" spans="1:27" x14ac:dyDescent="0.25">
      <c r="A15" s="42"/>
      <c r="B15" s="5"/>
      <c r="C15" s="5"/>
      <c r="D15" s="5"/>
      <c r="E15" s="5"/>
      <c r="F15" s="5"/>
      <c r="G15" s="5"/>
      <c r="H15" s="5"/>
      <c r="I15" s="5"/>
      <c r="J15" s="57"/>
      <c r="K15" s="5"/>
      <c r="L15" s="5"/>
      <c r="N15" s="5"/>
      <c r="O15" s="5"/>
      <c r="P15" s="5"/>
      <c r="Q15" s="5"/>
      <c r="R15" s="5"/>
      <c r="S15" s="5"/>
      <c r="T15" s="5"/>
      <c r="U15" s="5"/>
      <c r="V15" s="57"/>
      <c r="W15" s="5"/>
      <c r="X15" s="5"/>
      <c r="Y15" s="7">
        <f t="shared" si="1"/>
        <v>0</v>
      </c>
    </row>
    <row r="16" spans="1:27" s="1" customFormat="1" x14ac:dyDescent="0.25">
      <c r="A16" s="44" t="s">
        <v>29</v>
      </c>
      <c r="B16" s="52">
        <f t="shared" ref="B16:L16" si="8">B7-B8-B9</f>
        <v>0</v>
      </c>
      <c r="C16" s="52">
        <f t="shared" si="8"/>
        <v>2.9103830456733704E-11</v>
      </c>
      <c r="D16" s="52">
        <f t="shared" si="8"/>
        <v>-96420.469999999928</v>
      </c>
      <c r="E16" s="52">
        <f t="shared" si="8"/>
        <v>0</v>
      </c>
      <c r="F16" s="52">
        <f t="shared" si="8"/>
        <v>0</v>
      </c>
      <c r="G16" s="52">
        <f t="shared" si="8"/>
        <v>-35050</v>
      </c>
      <c r="H16" s="52">
        <f t="shared" si="8"/>
        <v>0</v>
      </c>
      <c r="I16" s="52">
        <f t="shared" si="8"/>
        <v>3336179.750000013</v>
      </c>
      <c r="J16" s="52">
        <f t="shared" si="8"/>
        <v>3204709.2800000161</v>
      </c>
      <c r="K16" s="52">
        <f t="shared" si="8"/>
        <v>0</v>
      </c>
      <c r="L16" s="52">
        <f t="shared" si="8"/>
        <v>3204709.2800000161</v>
      </c>
      <c r="N16" s="52">
        <f t="shared" ref="N16:V16" si="9">N7-N8-N9</f>
        <v>-61053.050000000047</v>
      </c>
      <c r="O16" s="52">
        <f t="shared" si="9"/>
        <v>328384.55000000028</v>
      </c>
      <c r="P16" s="52">
        <f t="shared" si="9"/>
        <v>2881002.3000000045</v>
      </c>
      <c r="Q16" s="52">
        <f t="shared" si="9"/>
        <v>0</v>
      </c>
      <c r="R16" s="52">
        <f t="shared" si="9"/>
        <v>0</v>
      </c>
      <c r="S16" s="52">
        <f t="shared" si="9"/>
        <v>-77760</v>
      </c>
      <c r="T16" s="52">
        <f t="shared" si="9"/>
        <v>0</v>
      </c>
      <c r="U16" s="52">
        <f t="shared" si="9"/>
        <v>5640355.4499999983</v>
      </c>
      <c r="V16" s="52">
        <f t="shared" si="9"/>
        <v>8710929.2500000335</v>
      </c>
      <c r="W16" s="52">
        <f>W7-W8</f>
        <v>0</v>
      </c>
      <c r="X16" s="52">
        <f>X7-X8-X9</f>
        <v>8710929.2500000335</v>
      </c>
      <c r="Y16" s="7">
        <f t="shared" si="1"/>
        <v>0</v>
      </c>
    </row>
    <row r="17" spans="1:25" s="1" customFormat="1" x14ac:dyDescent="0.25">
      <c r="A17" s="42" t="s">
        <v>30</v>
      </c>
      <c r="B17" s="182">
        <f t="shared" ref="B17:L17" si="10">IFERROR(B16/B7,0)</f>
        <v>0</v>
      </c>
      <c r="C17" s="182">
        <f>IFERROR(C16/C7,0)</f>
        <v>1.0235314593121965E-15</v>
      </c>
      <c r="D17" s="182">
        <f t="shared" si="10"/>
        <v>0</v>
      </c>
      <c r="E17" s="182">
        <f t="shared" si="10"/>
        <v>0</v>
      </c>
      <c r="F17" s="182">
        <f t="shared" si="10"/>
        <v>0</v>
      </c>
      <c r="G17" s="182">
        <f t="shared" si="10"/>
        <v>0</v>
      </c>
      <c r="H17" s="182">
        <f t="shared" si="10"/>
        <v>0</v>
      </c>
      <c r="I17" s="182">
        <f t="shared" si="10"/>
        <v>4.4474910151671113E-2</v>
      </c>
      <c r="J17" s="182">
        <f t="shared" si="10"/>
        <v>4.2706077163498092E-2</v>
      </c>
      <c r="K17" s="182">
        <f t="shared" si="10"/>
        <v>0</v>
      </c>
      <c r="L17" s="182">
        <f t="shared" si="10"/>
        <v>4.2706077163498092E-2</v>
      </c>
      <c r="N17" s="182">
        <f t="shared" ref="N17:X17" si="11">IFERROR(N16/N7,0)</f>
        <v>-3.4478632763991282E-2</v>
      </c>
      <c r="O17" s="182">
        <f t="shared" si="11"/>
        <v>0.391988619476346</v>
      </c>
      <c r="P17" s="182">
        <f t="shared" si="11"/>
        <v>2.7226700699520209E-2</v>
      </c>
      <c r="Q17" s="182">
        <f t="shared" si="11"/>
        <v>0</v>
      </c>
      <c r="R17" s="182">
        <f t="shared" si="11"/>
        <v>0</v>
      </c>
      <c r="S17" s="182">
        <f t="shared" si="11"/>
        <v>0</v>
      </c>
      <c r="T17" s="182">
        <f t="shared" si="11"/>
        <v>0</v>
      </c>
      <c r="U17" s="182">
        <f t="shared" si="11"/>
        <v>4.7045389897644431E-2</v>
      </c>
      <c r="V17" s="182">
        <f t="shared" si="11"/>
        <v>3.8153018602043287E-2</v>
      </c>
      <c r="W17" s="182">
        <f t="shared" si="11"/>
        <v>0</v>
      </c>
      <c r="X17" s="182">
        <f t="shared" si="11"/>
        <v>3.8153018602043287E-2</v>
      </c>
      <c r="Y17" s="7">
        <f t="shared" si="1"/>
        <v>0</v>
      </c>
    </row>
    <row r="18" spans="1:25" x14ac:dyDescent="0.25">
      <c r="A18" s="121" t="s">
        <v>31</v>
      </c>
      <c r="B18" s="122">
        <v>0</v>
      </c>
      <c r="C18" s="122">
        <v>-3.2041399882378379</v>
      </c>
      <c r="D18" s="122">
        <v>0</v>
      </c>
      <c r="E18" s="122">
        <v>0</v>
      </c>
      <c r="F18" s="122">
        <v>0</v>
      </c>
      <c r="G18" s="122">
        <v>0</v>
      </c>
      <c r="H18" s="122">
        <v>0</v>
      </c>
      <c r="I18" s="122">
        <v>8.0499262166136204E-2</v>
      </c>
      <c r="J18" s="122">
        <v>7.6269749887290267E-2</v>
      </c>
      <c r="K18" s="122">
        <v>0</v>
      </c>
      <c r="L18" s="122">
        <v>7.6269749887290267E-2</v>
      </c>
      <c r="N18" s="122">
        <v>-3.4478632763991282E-2</v>
      </c>
      <c r="O18" s="122">
        <v>0.44505526800312079</v>
      </c>
      <c r="P18" s="122">
        <v>9.2295017048496589E-3</v>
      </c>
      <c r="Q18" s="122">
        <v>0</v>
      </c>
      <c r="R18" s="122">
        <v>0</v>
      </c>
      <c r="S18" s="122">
        <v>0</v>
      </c>
      <c r="T18" s="122">
        <v>0</v>
      </c>
      <c r="U18" s="122">
        <v>0.10579676469141992</v>
      </c>
      <c r="V18" s="122">
        <v>4.1737928833061155E-2</v>
      </c>
      <c r="W18" s="122">
        <v>0</v>
      </c>
      <c r="X18" s="122">
        <v>4.1737928833061155E-2</v>
      </c>
      <c r="Y18" s="7">
        <f t="shared" si="1"/>
        <v>0</v>
      </c>
    </row>
    <row r="19" spans="1:25" x14ac:dyDescent="0.25">
      <c r="A19" s="42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7">
        <f t="shared" si="1"/>
        <v>0</v>
      </c>
    </row>
    <row r="20" spans="1:25" x14ac:dyDescent="0.25">
      <c r="A20" s="184" t="s">
        <v>273</v>
      </c>
      <c r="B20" s="178">
        <f>SUM(B21:B27)</f>
        <v>0</v>
      </c>
      <c r="C20" s="178">
        <f t="shared" ref="C20:I20" si="12">SUM(C21:C27)</f>
        <v>0</v>
      </c>
      <c r="D20" s="178">
        <f t="shared" si="12"/>
        <v>17000000</v>
      </c>
      <c r="E20" s="178">
        <f t="shared" si="12"/>
        <v>0</v>
      </c>
      <c r="F20" s="178">
        <f t="shared" si="12"/>
        <v>0</v>
      </c>
      <c r="G20" s="178">
        <f t="shared" si="12"/>
        <v>0</v>
      </c>
      <c r="H20" s="178">
        <f t="shared" si="12"/>
        <v>200000</v>
      </c>
      <c r="I20" s="178">
        <f t="shared" si="12"/>
        <v>0</v>
      </c>
      <c r="J20" s="178">
        <f>SUM(B20:I20)</f>
        <v>17200000</v>
      </c>
      <c r="K20" s="178">
        <f t="shared" ref="K20" si="13">SUM(K21:K27)</f>
        <v>0</v>
      </c>
      <c r="L20" s="178">
        <f t="shared" ref="L20" si="14">SUM(L21:L27)</f>
        <v>17200000</v>
      </c>
      <c r="N20" s="178">
        <f>SUM(N21:N28)</f>
        <v>0</v>
      </c>
      <c r="O20" s="178">
        <f t="shared" ref="O20:V20" si="15">SUM(O21:O28)</f>
        <v>0</v>
      </c>
      <c r="P20" s="178">
        <f t="shared" si="15"/>
        <v>17548744.239999998</v>
      </c>
      <c r="Q20" s="178">
        <f t="shared" si="15"/>
        <v>0</v>
      </c>
      <c r="R20" s="178">
        <f t="shared" si="15"/>
        <v>0</v>
      </c>
      <c r="S20" s="178">
        <f t="shared" si="15"/>
        <v>691117.44</v>
      </c>
      <c r="T20" s="178">
        <f t="shared" si="15"/>
        <v>200000</v>
      </c>
      <c r="U20" s="178">
        <f t="shared" si="15"/>
        <v>0</v>
      </c>
      <c r="V20" s="178">
        <f t="shared" si="15"/>
        <v>18439861.68</v>
      </c>
      <c r="W20" s="178">
        <f>SUM(W21:W28)</f>
        <v>-211354.2</v>
      </c>
      <c r="X20" s="183">
        <f t="shared" ref="X20:X28" si="16">SUM(V20:W20)</f>
        <v>18228507.48</v>
      </c>
      <c r="Y20" s="7">
        <f t="shared" si="1"/>
        <v>211354.19999999925</v>
      </c>
    </row>
    <row r="21" spans="1:25" x14ac:dyDescent="0.25">
      <c r="A21" s="185" t="s">
        <v>472</v>
      </c>
      <c r="B21" s="5">
        <f>SUMIFS('List of Ledgers '!$L:$L,'List of Ledgers '!$F:$F,'P&amp;L'!$A$21,'List of Ledgers '!$G:$G,'P&amp;L'!B6)</f>
        <v>0</v>
      </c>
      <c r="C21" s="5">
        <f>SUMIFS('List of Ledgers '!$L:$L,'List of Ledgers '!$F:$F,'P&amp;L'!$A$21,'List of Ledgers '!$G:$G,'P&amp;L'!C6)</f>
        <v>0</v>
      </c>
      <c r="D21" s="5">
        <f>SUMIFS('List of Ledgers '!$L:$L,'List of Ledgers '!$F:$F,'P&amp;L'!$A$21,'List of Ledgers '!$G:$G,'P&amp;L'!D6)</f>
        <v>0</v>
      </c>
      <c r="E21" s="5">
        <f>SUMIFS('List of Ledgers '!$L:$L,'List of Ledgers '!$F:$F,'P&amp;L'!$A$21,'List of Ledgers '!$G:$G,'P&amp;L'!E6)</f>
        <v>0</v>
      </c>
      <c r="F21" s="5">
        <f>SUMIFS('List of Ledgers '!$L:$L,'List of Ledgers '!$F:$F,'P&amp;L'!$A$21,'List of Ledgers '!$G:$G,'P&amp;L'!F6)</f>
        <v>0</v>
      </c>
      <c r="G21" s="5">
        <f>-SUMIFS('List of Ledgers '!$L:$L,'List of Ledgers '!$F:$F,'P&amp;L'!$A$21,'List of Ledgers '!$G:$G,'P&amp;L'!G6)</f>
        <v>0</v>
      </c>
      <c r="H21" s="5">
        <f>SUMIFS('List of Ledgers '!$L:$L,'List of Ledgers '!$F:$F,'P&amp;L'!$A$21,'List of Ledgers '!$G:$G,'P&amp;L'!H6)</f>
        <v>0</v>
      </c>
      <c r="I21" s="5">
        <f>SUMIFS('List of Ledgers '!$L:$L,'List of Ledgers '!$F:$F,'P&amp;L'!$A$21,'List of Ledgers '!$G:$G,'P&amp;L'!I6)</f>
        <v>0</v>
      </c>
      <c r="J21" s="5">
        <f t="shared" ref="J21:J28" si="17">SUM(B21:I21)</f>
        <v>0</v>
      </c>
      <c r="K21" s="5">
        <f>SUMIFS('List of Ledgers '!$L:$L,'List of Ledgers '!$F:$F,'P&amp;L'!$A$21,'List of Ledgers '!$G:$G,'P&amp;L'!K6)</f>
        <v>0</v>
      </c>
      <c r="L21" s="5">
        <f>J21+K21</f>
        <v>0</v>
      </c>
      <c r="N21" s="5">
        <f>-SUMIFS('List of Ledgers '!$Q:$Q,'List of Ledgers '!$F:$F,'P&amp;L'!$A$21,'List of Ledgers '!$G:$G,'P&amp;L'!N6)</f>
        <v>0</v>
      </c>
      <c r="O21" s="5">
        <f>-SUMIFS('List of Ledgers '!$Q:$Q,'List of Ledgers '!$F:$F,'P&amp;L'!$A$21,'List of Ledgers '!$G:$G,'P&amp;L'!O6)</f>
        <v>0</v>
      </c>
      <c r="P21" s="5">
        <f>-SUMIFS('List of Ledgers '!$Q:$Q,'List of Ledgers '!$F:$F,'P&amp;L'!$A$21,'List of Ledgers '!$G:$G,'P&amp;L'!P6)</f>
        <v>0</v>
      </c>
      <c r="Q21" s="5">
        <f>-SUMIFS('List of Ledgers '!$Q:$Q,'List of Ledgers '!$F:$F,'P&amp;L'!$A$21,'List of Ledgers '!$G:$G,'P&amp;L'!Q6)</f>
        <v>0</v>
      </c>
      <c r="R21" s="5">
        <f>-SUMIFS('List of Ledgers '!$Q:$Q,'List of Ledgers '!$F:$F,'P&amp;L'!$A$21,'List of Ledgers '!$G:$G,'P&amp;L'!R6)</f>
        <v>0</v>
      </c>
      <c r="S21" s="5">
        <f>-SUMIFS('List of Ledgers '!$Q:$Q,'List of Ledgers '!$F:$F,'P&amp;L'!$A$21,'List of Ledgers '!$G:$G,'P&amp;L'!S6)</f>
        <v>566542.43999999994</v>
      </c>
      <c r="T21" s="5">
        <f>-SUMIFS('List of Ledgers '!$Q:$Q,'List of Ledgers '!$F:$F,'P&amp;L'!$A$21,'List of Ledgers '!$G:$G,'P&amp;L'!T6)</f>
        <v>0</v>
      </c>
      <c r="U21" s="5">
        <f>-SUMIFS('List of Ledgers '!$Q:$Q,'List of Ledgers '!$F:$F,'P&amp;L'!$A$21,'List of Ledgers '!$G:$G,'P&amp;L'!U6)</f>
        <v>0</v>
      </c>
      <c r="V21" s="5">
        <f>SUM(N21:U21)</f>
        <v>566542.43999999994</v>
      </c>
      <c r="W21" s="5">
        <f>-SUMIFS('List of Ledgers '!$Q:$Q,'List of Ledgers '!$F:$F,'P&amp;L'!$A$21,'List of Ledgers '!$G:$G,'P&amp;L'!W6)</f>
        <v>0</v>
      </c>
      <c r="X21" s="57">
        <f t="shared" si="16"/>
        <v>566542.43999999994</v>
      </c>
      <c r="Y21" s="7">
        <f t="shared" si="1"/>
        <v>0</v>
      </c>
    </row>
    <row r="22" spans="1:25" x14ac:dyDescent="0.25">
      <c r="A22" s="185" t="s">
        <v>1358</v>
      </c>
      <c r="B22" s="5">
        <f>SUMIFS('List of Ledgers '!$L:$L,'List of Ledgers '!$F:$F,'P&amp;L'!$A$22,'List of Ledgers '!$G:$G,'P&amp;L'!B6)</f>
        <v>0</v>
      </c>
      <c r="C22" s="5">
        <f>SUMIFS('List of Ledgers '!$L:$L,'List of Ledgers '!$F:$F,'P&amp;L'!$A$22,'List of Ledgers '!$G:$G,'P&amp;L'!C6)</f>
        <v>0</v>
      </c>
      <c r="D22" s="5">
        <f>SUMIFS('List of Ledgers '!$L:$L,'List of Ledgers '!$F:$F,'P&amp;L'!$A$22,'List of Ledgers '!$G:$G,'P&amp;L'!D6)</f>
        <v>0</v>
      </c>
      <c r="E22" s="5">
        <f>SUMIFS('List of Ledgers '!$L:$L,'List of Ledgers '!$F:$F,'P&amp;L'!$A$22,'List of Ledgers '!$G:$G,'P&amp;L'!E6)</f>
        <v>0</v>
      </c>
      <c r="F22" s="5">
        <f>SUMIFS('List of Ledgers '!$L:$L,'List of Ledgers '!$F:$F,'P&amp;L'!$A$22,'List of Ledgers '!$G:$G,'P&amp;L'!F6)</f>
        <v>0</v>
      </c>
      <c r="G22" s="5">
        <f>SUMIFS('List of Ledgers '!$L:$L,'List of Ledgers '!$F:$F,'P&amp;L'!$A$22,'List of Ledgers '!$G:$G,'P&amp;L'!G6)</f>
        <v>0</v>
      </c>
      <c r="H22" s="5">
        <f>-SUMIFS('List of Ledgers '!$L:$L,'List of Ledgers '!$F:$F,'P&amp;L'!$A$22,'List of Ledgers '!$G:$G,'P&amp;L'!H6)</f>
        <v>200000</v>
      </c>
      <c r="I22" s="5">
        <f>SUMIFS('List of Ledgers '!$L:$L,'List of Ledgers '!$F:$F,'P&amp;L'!$A$22,'List of Ledgers '!$G:$G,'P&amp;L'!I6)</f>
        <v>0</v>
      </c>
      <c r="J22" s="5">
        <f t="shared" ref="J22" si="18">SUM(B22:I22)</f>
        <v>200000</v>
      </c>
      <c r="K22" s="5">
        <f>SUMIFS('List of Ledgers '!$L:$L,'List of Ledgers '!$F:$F,'P&amp;L'!$A$22,'List of Ledgers '!$G:$G,'P&amp;L'!K6)</f>
        <v>0</v>
      </c>
      <c r="L22" s="5">
        <f>J22+K22</f>
        <v>200000</v>
      </c>
      <c r="N22" s="5">
        <f>-SUMIFS('List of Ledgers '!$Q:$Q,'List of Ledgers '!$F:$F,'P&amp;L'!$A$22,'List of Ledgers '!$G:$G,'P&amp;L'!N6)</f>
        <v>0</v>
      </c>
      <c r="O22" s="5">
        <f>-SUMIFS('List of Ledgers '!$Q:$Q,'List of Ledgers '!$F:$F,'P&amp;L'!$A$22,'List of Ledgers '!$G:$G,'P&amp;L'!O6)</f>
        <v>0</v>
      </c>
      <c r="P22" s="5">
        <f>-SUMIFS('List of Ledgers '!$Q:$Q,'List of Ledgers '!$F:$F,'P&amp;L'!$A$22,'List of Ledgers '!$G:$G,'P&amp;L'!P6)</f>
        <v>0</v>
      </c>
      <c r="Q22" s="5">
        <f>-SUMIFS('List of Ledgers '!$Q:$Q,'List of Ledgers '!$F:$F,'P&amp;L'!$A$22,'List of Ledgers '!$G:$G,'P&amp;L'!Q6)</f>
        <v>0</v>
      </c>
      <c r="R22" s="5">
        <f>-SUMIFS('List of Ledgers '!$Q:$Q,'List of Ledgers '!$F:$F,'P&amp;L'!$A$22,'List of Ledgers '!$G:$G,'P&amp;L'!R6)</f>
        <v>0</v>
      </c>
      <c r="S22" s="5">
        <f>-SUMIFS('List of Ledgers '!$Q:$Q,'List of Ledgers '!$F:$F,'P&amp;L'!$A$22,'List of Ledgers '!$G:$G,'P&amp;L'!S6)</f>
        <v>0</v>
      </c>
      <c r="T22" s="5">
        <f>-SUMIFS('List of Ledgers '!$Q:$Q,'List of Ledgers '!$F:$F,'P&amp;L'!$A$22,'List of Ledgers '!$G:$G,'P&amp;L'!T6)</f>
        <v>200000</v>
      </c>
      <c r="U22" s="5">
        <f>-SUMIFS('List of Ledgers '!$Q:$Q,'List of Ledgers '!$F:$F,'P&amp;L'!$A$22,'List of Ledgers '!$G:$G,'P&amp;L'!U6)</f>
        <v>0</v>
      </c>
      <c r="V22" s="5">
        <f>SUM(N22:U22)</f>
        <v>200000</v>
      </c>
      <c r="W22" s="5">
        <f>-SUMIFS('List of Ledgers '!$Q:$Q,'List of Ledgers '!$F:$F,'P&amp;L'!$A$21,'List of Ledgers '!$G:$G,'P&amp;L'!W7)</f>
        <v>0</v>
      </c>
      <c r="X22" s="57"/>
      <c r="Y22" s="7"/>
    </row>
    <row r="23" spans="1:25" x14ac:dyDescent="0.25">
      <c r="A23" s="177" t="s">
        <v>309</v>
      </c>
      <c r="B23" s="5">
        <f>SUMIFS('List of Ledgers '!$L:$L,'List of Ledgers '!$F:$F,'P&amp;L'!$A$23,'List of Ledgers '!$G:$G,'P&amp;L'!B6)</f>
        <v>0</v>
      </c>
      <c r="C23" s="5">
        <f>SUMIFS('List of Ledgers '!$L:$L,'List of Ledgers '!$F:$F,'P&amp;L'!$A$23,'List of Ledgers '!$G:$G,'P&amp;L'!C6)</f>
        <v>0</v>
      </c>
      <c r="D23" s="5">
        <f>-SUMIFS('List of Ledgers '!$L:$L,'List of Ledgers '!$F:$F,'P&amp;L'!$A$23,'List of Ledgers '!$G:$G,'P&amp;L'!D6)</f>
        <v>17000000</v>
      </c>
      <c r="E23" s="5">
        <f>SUMIFS('List of Ledgers '!$L:$L,'List of Ledgers '!$F:$F,'P&amp;L'!$A$23,'List of Ledgers '!$G:$G,'P&amp;L'!E6)</f>
        <v>0</v>
      </c>
      <c r="F23" s="5">
        <f>SUMIFS('List of Ledgers '!$L:$L,'List of Ledgers '!$F:$F,'P&amp;L'!$A$23,'List of Ledgers '!$G:$G,'P&amp;L'!F6)</f>
        <v>0</v>
      </c>
      <c r="G23" s="5">
        <f>SUMIFS('List of Ledgers '!$L:$L,'List of Ledgers '!$F:$F,'P&amp;L'!$A$23,'List of Ledgers '!$G:$G,'P&amp;L'!G6)</f>
        <v>0</v>
      </c>
      <c r="H23" s="5">
        <f>SUMIFS('List of Ledgers '!$L:$L,'List of Ledgers '!$F:$F,'P&amp;L'!$A$23,'List of Ledgers '!$G:$G,'P&amp;L'!H6)</f>
        <v>0</v>
      </c>
      <c r="I23" s="5">
        <f>SUMIFS('List of Ledgers '!$L:$L,'List of Ledgers '!$F:$F,'P&amp;L'!$A$23,'List of Ledgers '!$G:$G,'P&amp;L'!I6)</f>
        <v>0</v>
      </c>
      <c r="J23" s="5">
        <f t="shared" si="17"/>
        <v>17000000</v>
      </c>
      <c r="K23" s="5">
        <f>SUMIFS('List of Ledgers '!$L:$L,'List of Ledgers '!$F:$F,'P&amp;L'!$A$21,'List of Ledgers '!$G:$G,'P&amp;L'!K7)</f>
        <v>0</v>
      </c>
      <c r="L23" s="5">
        <f t="shared" ref="L23:L28" si="19">J23+K23</f>
        <v>17000000</v>
      </c>
      <c r="N23" s="5">
        <f>-SUMIFS('List of Ledgers '!$Q:$Q,'List of Ledgers '!$F:$F,'P&amp;L'!$A$23,'List of Ledgers '!$G:$G,'P&amp;L'!N6)</f>
        <v>0</v>
      </c>
      <c r="O23" s="5">
        <f>-SUMIFS('List of Ledgers '!$Q:$Q,'List of Ledgers '!$F:$F,'P&amp;L'!$A$23,'List of Ledgers '!$G:$G,'P&amp;L'!O6)</f>
        <v>0</v>
      </c>
      <c r="P23" s="5">
        <f>-SUMIFS('List of Ledgers '!$Q:$Q,'List of Ledgers '!$F:$F,'P&amp;L'!$A$23,'List of Ledgers '!$G:$G,'P&amp;L'!P6)</f>
        <v>17548744.239999998</v>
      </c>
      <c r="Q23" s="5">
        <f>-SUMIFS('List of Ledgers '!$Q:$Q,'List of Ledgers '!$F:$F,'P&amp;L'!$A$23,'List of Ledgers '!$G:$G,'P&amp;L'!Q6)</f>
        <v>0</v>
      </c>
      <c r="R23" s="5">
        <f>-SUMIFS('List of Ledgers '!$Q:$Q,'List of Ledgers '!$F:$F,'P&amp;L'!$A$23,'List of Ledgers '!$G:$G,'P&amp;L'!R6)</f>
        <v>0</v>
      </c>
      <c r="S23" s="5">
        <f>-SUMIFS('List of Ledgers '!$Q:$Q,'List of Ledgers '!$F:$F,'P&amp;L'!$A$23,'List of Ledgers '!$G:$G,'P&amp;L'!S6)</f>
        <v>0</v>
      </c>
      <c r="T23" s="5">
        <f>-SUMIFS('List of Ledgers '!$Q:$Q,'List of Ledgers '!$F:$F,'P&amp;L'!$A$23,'List of Ledgers '!$G:$G,'P&amp;L'!T6)</f>
        <v>0</v>
      </c>
      <c r="U23" s="5">
        <f>-SUMIFS('List of Ledgers '!$Q:$Q,'List of Ledgers '!$F:$F,'P&amp;L'!$A$23,'List of Ledgers '!$G:$G,'P&amp;L'!U6)</f>
        <v>0</v>
      </c>
      <c r="V23" s="5">
        <f t="shared" ref="V23:V27" si="20">SUM(N23:U23)</f>
        <v>17548744.239999998</v>
      </c>
      <c r="W23" s="5">
        <f>-SUMIFS('List of Ledgers '!$Q:$Q,'List of Ledgers '!$F:$F,'P&amp;L'!$A$23,'List of Ledgers '!$G:$G,'P&amp;L'!W6)</f>
        <v>0</v>
      </c>
      <c r="X23" s="57">
        <f t="shared" si="16"/>
        <v>17548744.239999998</v>
      </c>
      <c r="Y23" s="7">
        <f t="shared" si="1"/>
        <v>0</v>
      </c>
    </row>
    <row r="24" spans="1:25" x14ac:dyDescent="0.25">
      <c r="A24" s="177" t="s">
        <v>1292</v>
      </c>
      <c r="B24" s="5">
        <f>SUMIFS('List of Ledgers '!$L:$L,'List of Ledgers '!$F:$F,'P&amp;L'!$A$24,'List of Ledgers '!$G:$G,'P&amp;L'!B6)</f>
        <v>0</v>
      </c>
      <c r="C24" s="5">
        <f>SUMIFS('List of Ledgers '!$L:$L,'List of Ledgers '!$F:$F,'P&amp;L'!$A$24,'List of Ledgers '!$G:$G,'P&amp;L'!C6)</f>
        <v>0</v>
      </c>
      <c r="D24" s="5">
        <f>SUMIFS('List of Ledgers '!$L:$L,'List of Ledgers '!$F:$F,'P&amp;L'!$A$24,'List of Ledgers '!$G:$G,'P&amp;L'!D6)</f>
        <v>0</v>
      </c>
      <c r="E24" s="5">
        <f>SUMIFS('List of Ledgers '!$L:$L,'List of Ledgers '!$F:$F,'P&amp;L'!$A$24,'List of Ledgers '!$G:$G,'P&amp;L'!E6)</f>
        <v>0</v>
      </c>
      <c r="F24" s="5">
        <f>SUMIFS('List of Ledgers '!$L:$L,'List of Ledgers '!$F:$F,'P&amp;L'!$A$24,'List of Ledgers '!$G:$G,'P&amp;L'!F6)</f>
        <v>0</v>
      </c>
      <c r="G24" s="5">
        <f>SUMIFS('List of Ledgers '!$L:$L,'List of Ledgers '!$F:$F,'P&amp;L'!$A$24,'List of Ledgers '!$G:$G,'P&amp;L'!G6)</f>
        <v>0</v>
      </c>
      <c r="H24" s="5">
        <f>SUMIFS('List of Ledgers '!$L:$L,'List of Ledgers '!$F:$F,'P&amp;L'!$A$24,'List of Ledgers '!$G:$G,'P&amp;L'!H6)</f>
        <v>0</v>
      </c>
      <c r="I24" s="5">
        <f>SUMIFS('List of Ledgers '!$L:$L,'List of Ledgers '!$F:$F,'P&amp;L'!$A$24,'List of Ledgers '!$G:$G,'P&amp;L'!I6)</f>
        <v>0</v>
      </c>
      <c r="J24" s="5">
        <f t="shared" si="17"/>
        <v>0</v>
      </c>
      <c r="K24" s="5">
        <f>SUMIFS('List of Ledgers '!$L:$L,'List of Ledgers '!$F:$F,'P&amp;L'!$A$21,'List of Ledgers '!$G:$G,'P&amp;L'!K8)</f>
        <v>0</v>
      </c>
      <c r="L24" s="5">
        <f t="shared" si="19"/>
        <v>0</v>
      </c>
      <c r="N24" s="5">
        <f>-SUMIFS('List of Ledgers '!$Q:$Q,'List of Ledgers '!$F:$F,'P&amp;L'!$A$24,'List of Ledgers '!$G:$G,'P&amp;L'!N6)</f>
        <v>0</v>
      </c>
      <c r="O24" s="5">
        <f>-SUMIFS('List of Ledgers '!$Q:$Q,'List of Ledgers '!$F:$F,'P&amp;L'!$A$24,'List of Ledgers '!$G:$G,'P&amp;L'!O6)</f>
        <v>0</v>
      </c>
      <c r="P24" s="5">
        <f>-SUMIFS('List of Ledgers '!$Q:$Q,'List of Ledgers '!$F:$F,'P&amp;L'!$A$24,'List of Ledgers '!$G:$G,'P&amp;L'!P6)</f>
        <v>0</v>
      </c>
      <c r="Q24" s="5">
        <f>-SUMIFS('List of Ledgers '!$Q:$Q,'List of Ledgers '!$F:$F,'P&amp;L'!$A$24,'List of Ledgers '!$G:$G,'P&amp;L'!Q6)</f>
        <v>0</v>
      </c>
      <c r="R24" s="5">
        <f>-SUMIFS('List of Ledgers '!$Q:$Q,'List of Ledgers '!$F:$F,'P&amp;L'!$A$24,'List of Ledgers '!$G:$G,'P&amp;L'!R6)</f>
        <v>0</v>
      </c>
      <c r="S24" s="5">
        <f>-SUMIFS('List of Ledgers '!$Q:$Q,'List of Ledgers '!$F:$F,'P&amp;L'!$A$24,'List of Ledgers '!$G:$G,'P&amp;L'!S6)</f>
        <v>0</v>
      </c>
      <c r="T24" s="5">
        <f>-SUMIFS('List of Ledgers '!$Q:$Q,'List of Ledgers '!$F:$F,'P&amp;L'!$A$24,'List of Ledgers '!$G:$G,'P&amp;L'!T6)</f>
        <v>0</v>
      </c>
      <c r="U24" s="5">
        <f>-SUMIFS('List of Ledgers '!$Q:$Q,'List of Ledgers '!$F:$F,'P&amp;L'!$A$24,'List of Ledgers '!$G:$G,'P&amp;L'!U6)</f>
        <v>0</v>
      </c>
      <c r="V24" s="5">
        <f t="shared" si="20"/>
        <v>0</v>
      </c>
      <c r="W24" s="5">
        <f>-SUMIFS('List of Ledgers '!$Q:$Q,'List of Ledgers '!$F:$F,'P&amp;L'!$A$24,'List of Ledgers '!$G:$G,'P&amp;L'!W6)</f>
        <v>10487</v>
      </c>
      <c r="X24" s="57">
        <f t="shared" si="16"/>
        <v>10487</v>
      </c>
      <c r="Y24" s="7">
        <f t="shared" si="1"/>
        <v>-10487</v>
      </c>
    </row>
    <row r="25" spans="1:25" x14ac:dyDescent="0.25">
      <c r="A25" s="177" t="s">
        <v>566</v>
      </c>
      <c r="B25" s="5">
        <f>SUMIFS('List of Ledgers '!$L:$L,'List of Ledgers '!$F:$F,'P&amp;L'!$A$25,'List of Ledgers '!$G:$G,'P&amp;L'!B6)</f>
        <v>0</v>
      </c>
      <c r="C25" s="5">
        <f>SUMIFS('List of Ledgers '!$L:$L,'List of Ledgers '!$F:$F,'P&amp;L'!$A$25,'List of Ledgers '!$G:$G,'P&amp;L'!C6)</f>
        <v>0</v>
      </c>
      <c r="D25" s="5">
        <f>SUMIFS('List of Ledgers '!$L:$L,'List of Ledgers '!$F:$F,'P&amp;L'!$A$25,'List of Ledgers '!$G:$G,'P&amp;L'!D6)</f>
        <v>0</v>
      </c>
      <c r="E25" s="5">
        <f>SUMIFS('List of Ledgers '!$L:$L,'List of Ledgers '!$F:$F,'P&amp;L'!$A$25,'List of Ledgers '!$G:$G,'P&amp;L'!E6)</f>
        <v>0</v>
      </c>
      <c r="F25" s="5">
        <f>SUMIFS('List of Ledgers '!$L:$L,'List of Ledgers '!$F:$F,'P&amp;L'!$A$25,'List of Ledgers '!$G:$G,'P&amp;L'!F6)</f>
        <v>0</v>
      </c>
      <c r="G25" s="5">
        <f>SUMIFS('List of Ledgers '!$L:$L,'List of Ledgers '!$F:$F,'P&amp;L'!$A$25,'List of Ledgers '!$G:$G,'P&amp;L'!G6)</f>
        <v>0</v>
      </c>
      <c r="H25" s="5">
        <f>SUMIFS('List of Ledgers '!$L:$L,'List of Ledgers '!$F:$F,'P&amp;L'!$A$25,'List of Ledgers '!$G:$G,'P&amp;L'!H6)</f>
        <v>0</v>
      </c>
      <c r="I25" s="5">
        <f>SUMIFS('List of Ledgers '!$L:$L,'List of Ledgers '!$F:$F,'P&amp;L'!$A$25,'List of Ledgers '!$G:$G,'P&amp;L'!I6)</f>
        <v>0</v>
      </c>
      <c r="J25" s="5">
        <f t="shared" si="17"/>
        <v>0</v>
      </c>
      <c r="K25" s="5">
        <f>SUMIFS('List of Ledgers '!$L:$L,'List of Ledgers '!$F:$F,'P&amp;L'!$A$21,'List of Ledgers '!$G:$G,'P&amp;L'!K9)</f>
        <v>0</v>
      </c>
      <c r="L25" s="5">
        <f t="shared" si="19"/>
        <v>0</v>
      </c>
      <c r="N25" s="5">
        <f>-SUMIFS('List of Ledgers '!$Q:$Q,'List of Ledgers '!$F:$F,'P&amp;L'!$A$25,'List of Ledgers '!$G:$G,'P&amp;L'!N6)</f>
        <v>0</v>
      </c>
      <c r="O25" s="5">
        <f>-SUMIFS('List of Ledgers '!$Q:$Q,'List of Ledgers '!$F:$F,'P&amp;L'!$A$25,'List of Ledgers '!$G:$G,'P&amp;L'!O6)</f>
        <v>0</v>
      </c>
      <c r="P25" s="5">
        <f>-SUMIFS('List of Ledgers '!$Q:$Q,'List of Ledgers '!$F:$F,'P&amp;L'!$A$25,'List of Ledgers '!$G:$G,'P&amp;L'!P6)</f>
        <v>0</v>
      </c>
      <c r="Q25" s="5">
        <f>-SUMIFS('List of Ledgers '!$Q:$Q,'List of Ledgers '!$F:$F,'P&amp;L'!$A$25,'List of Ledgers '!$G:$G,'P&amp;L'!Q6)</f>
        <v>0</v>
      </c>
      <c r="R25" s="5">
        <f>-SUMIFS('List of Ledgers '!$Q:$Q,'List of Ledgers '!$F:$F,'P&amp;L'!$A$25,'List of Ledgers '!$G:$G,'P&amp;L'!R6)</f>
        <v>0</v>
      </c>
      <c r="S25" s="5">
        <f>-SUMIFS('List of Ledgers '!$Q:$Q,'List of Ledgers '!$F:$F,'P&amp;L'!$A$25,'List of Ledgers '!$G:$G,'P&amp;L'!S6)</f>
        <v>124575</v>
      </c>
      <c r="T25" s="5">
        <f>-SUMIFS('List of Ledgers '!$Q:$Q,'List of Ledgers '!$F:$F,'P&amp;L'!$A$25,'List of Ledgers '!$G:$G,'P&amp;L'!T6)</f>
        <v>0</v>
      </c>
      <c r="U25" s="5">
        <f>-SUMIFS('List of Ledgers '!$Q:$Q,'List of Ledgers '!$F:$F,'P&amp;L'!$A$25,'List of Ledgers '!$G:$G,'P&amp;L'!U6)</f>
        <v>0</v>
      </c>
      <c r="V25" s="5">
        <f>SUM(N25:U25)</f>
        <v>124575</v>
      </c>
      <c r="W25" s="5">
        <f>-SUMIFS('List of Ledgers '!$Q:$Q,'List of Ledgers '!$F:$F,'P&amp;L'!$A$25,'List of Ledgers '!$G:$G,'P&amp;L'!W6)</f>
        <v>0</v>
      </c>
      <c r="X25" s="57">
        <f t="shared" si="16"/>
        <v>124575</v>
      </c>
      <c r="Y25" s="7">
        <f t="shared" si="1"/>
        <v>0</v>
      </c>
    </row>
    <row r="26" spans="1:25" x14ac:dyDescent="0.25">
      <c r="A26" s="177" t="s">
        <v>1294</v>
      </c>
      <c r="B26" s="5">
        <f>SUMIFS('List of Ledgers '!$L:$L,'List of Ledgers '!$F:$F,'P&amp;L'!$A$26,'List of Ledgers '!$G:$G,'P&amp;L'!B6)</f>
        <v>0</v>
      </c>
      <c r="C26" s="5">
        <f>SUMIFS('List of Ledgers '!$L:$L,'List of Ledgers '!$F:$F,'P&amp;L'!$A$26,'List of Ledgers '!$G:$G,'P&amp;L'!C6)</f>
        <v>0</v>
      </c>
      <c r="D26" s="5">
        <f>SUMIFS('List of Ledgers '!$L:$L,'List of Ledgers '!$F:$F,'P&amp;L'!$A$26,'List of Ledgers '!$G:$G,'P&amp;L'!D6)</f>
        <v>0</v>
      </c>
      <c r="E26" s="5">
        <f>SUMIFS('List of Ledgers '!$L:$L,'List of Ledgers '!$F:$F,'P&amp;L'!$A$26,'List of Ledgers '!$G:$G,'P&amp;L'!E6)</f>
        <v>0</v>
      </c>
      <c r="F26" s="5">
        <f>SUMIFS('List of Ledgers '!$L:$L,'List of Ledgers '!$F:$F,'P&amp;L'!$A$26,'List of Ledgers '!$G:$G,'P&amp;L'!F6)</f>
        <v>0</v>
      </c>
      <c r="G26" s="5">
        <f>SUMIFS('List of Ledgers '!$L:$L,'List of Ledgers '!$F:$F,'P&amp;L'!$A$26,'List of Ledgers '!$G:$G,'P&amp;L'!G6)</f>
        <v>0</v>
      </c>
      <c r="H26" s="5">
        <f>SUMIFS('List of Ledgers '!$L:$L,'List of Ledgers '!$F:$F,'P&amp;L'!$A$26,'List of Ledgers '!$G:$G,'P&amp;L'!H6)</f>
        <v>0</v>
      </c>
      <c r="I26" s="5">
        <f>SUMIFS('List of Ledgers '!$L:$L,'List of Ledgers '!$F:$F,'P&amp;L'!$A$26,'List of Ledgers '!$G:$G,'P&amp;L'!I6)</f>
        <v>0</v>
      </c>
      <c r="J26" s="5">
        <f t="shared" si="17"/>
        <v>0</v>
      </c>
      <c r="K26" s="5">
        <f>SUMIFS('List of Ledgers '!$L:$L,'List of Ledgers '!$F:$F,'P&amp;L'!$A$21,'List of Ledgers '!$G:$G,'P&amp;L'!K10)</f>
        <v>0</v>
      </c>
      <c r="L26" s="5">
        <f t="shared" si="19"/>
        <v>0</v>
      </c>
      <c r="N26" s="5">
        <f>-SUMIFS('List of Ledgers '!$Q:$Q,'List of Ledgers '!$F:$F,'P&amp;L'!$A$26,'List of Ledgers '!$G:$G,'P&amp;L'!N6)</f>
        <v>0</v>
      </c>
      <c r="O26" s="5">
        <f>-SUMIFS('List of Ledgers '!$Q:$Q,'List of Ledgers '!$F:$F,'P&amp;L'!$A$26,'List of Ledgers '!$G:$G,'P&amp;L'!O6)</f>
        <v>0</v>
      </c>
      <c r="P26" s="5">
        <f>-SUMIFS('List of Ledgers '!$Q:$Q,'List of Ledgers '!$F:$F,'P&amp;L'!$A$26,'List of Ledgers '!$G:$G,'P&amp;L'!P6)</f>
        <v>0</v>
      </c>
      <c r="Q26" s="5">
        <f>-SUMIFS('List of Ledgers '!$Q:$Q,'List of Ledgers '!$F:$F,'P&amp;L'!$A$26,'List of Ledgers '!$G:$G,'P&amp;L'!Q6)</f>
        <v>0</v>
      </c>
      <c r="R26" s="5">
        <f>-SUMIFS('List of Ledgers '!$Q:$Q,'List of Ledgers '!$F:$F,'P&amp;L'!$A$26,'List of Ledgers '!$G:$G,'P&amp;L'!R6)</f>
        <v>0</v>
      </c>
      <c r="S26" s="5">
        <f>-SUMIFS('List of Ledgers '!$Q:$Q,'List of Ledgers '!$F:$F,'P&amp;L'!$A$26,'List of Ledgers '!$G:$G,'P&amp;L'!S6)</f>
        <v>0</v>
      </c>
      <c r="T26" s="5">
        <f>-SUMIFS('List of Ledgers '!$Q:$Q,'List of Ledgers '!$F:$F,'P&amp;L'!$A$26,'List of Ledgers '!$G:$G,'P&amp;L'!T6)</f>
        <v>0</v>
      </c>
      <c r="U26" s="5">
        <f>-SUMIFS('List of Ledgers '!$Q:$Q,'List of Ledgers '!$F:$F,'P&amp;L'!$A$26,'List of Ledgers '!$G:$G,'P&amp;L'!U6)</f>
        <v>0</v>
      </c>
      <c r="V26" s="5">
        <f t="shared" si="20"/>
        <v>0</v>
      </c>
      <c r="W26" s="5">
        <f>-SUMIFS('List of Ledgers '!$Q:$Q,'List of Ledgers '!$F:$F,'P&amp;L'!$A$26,'List of Ledgers '!$G:$G,'P&amp;L'!W6)</f>
        <v>465583.48</v>
      </c>
      <c r="X26" s="57">
        <f t="shared" si="16"/>
        <v>465583.48</v>
      </c>
      <c r="Y26" s="7">
        <f t="shared" si="1"/>
        <v>-465583.48</v>
      </c>
    </row>
    <row r="27" spans="1:25" x14ac:dyDescent="0.25">
      <c r="A27" s="186" t="s">
        <v>1293</v>
      </c>
      <c r="B27" s="5">
        <f>SUMIFS('List of Ledgers '!$L:$L,'List of Ledgers '!$F:$F,'P&amp;L'!$A$27,'List of Ledgers '!$G:$G,'P&amp;L'!B6)</f>
        <v>0</v>
      </c>
      <c r="C27" s="5">
        <f>SUMIFS('List of Ledgers '!$L:$L,'List of Ledgers '!$F:$F,'P&amp;L'!$A$27,'List of Ledgers '!$G:$G,'P&amp;L'!C6)</f>
        <v>0</v>
      </c>
      <c r="D27" s="5">
        <f>SUMIFS('List of Ledgers '!$L:$L,'List of Ledgers '!$F:$F,'P&amp;L'!$A$27,'List of Ledgers '!$G:$G,'P&amp;L'!D6)</f>
        <v>0</v>
      </c>
      <c r="E27" s="5">
        <f>SUMIFS('List of Ledgers '!$L:$L,'List of Ledgers '!$F:$F,'P&amp;L'!$A$27,'List of Ledgers '!$G:$G,'P&amp;L'!E6)</f>
        <v>0</v>
      </c>
      <c r="F27" s="5">
        <f>SUMIFS('List of Ledgers '!$L:$L,'List of Ledgers '!$F:$F,'P&amp;L'!$A$27,'List of Ledgers '!$G:$G,'P&amp;L'!F6)</f>
        <v>0</v>
      </c>
      <c r="G27" s="5">
        <f>SUMIFS('List of Ledgers '!$L:$L,'List of Ledgers '!$F:$F,'P&amp;L'!$A$27,'List of Ledgers '!$G:$G,'P&amp;L'!G6)</f>
        <v>0</v>
      </c>
      <c r="H27" s="5">
        <f>SUMIFS('List of Ledgers '!$L:$L,'List of Ledgers '!$F:$F,'P&amp;L'!$A$27,'List of Ledgers '!$G:$G,'P&amp;L'!H6)</f>
        <v>0</v>
      </c>
      <c r="I27" s="5">
        <f>SUMIFS('List of Ledgers '!$L:$L,'List of Ledgers '!$F:$F,'P&amp;L'!$A$27,'List of Ledgers '!$G:$G,'P&amp;L'!I6)</f>
        <v>0</v>
      </c>
      <c r="J27" s="5">
        <f t="shared" si="17"/>
        <v>0</v>
      </c>
      <c r="K27" s="5">
        <f>SUMIFS('List of Ledgers '!$L:$L,'List of Ledgers '!$F:$F,'P&amp;L'!$A$21,'List of Ledgers '!$G:$G,'P&amp;L'!K11)</f>
        <v>0</v>
      </c>
      <c r="L27" s="5">
        <f t="shared" si="19"/>
        <v>0</v>
      </c>
      <c r="N27" s="5">
        <f>-SUMIFS('List of Ledgers '!$Q:$Q,'List of Ledgers '!$F:$F,'P&amp;L'!$A$27,'List of Ledgers '!$G:$G,'P&amp;L'!N6)</f>
        <v>0</v>
      </c>
      <c r="O27" s="5">
        <f>-SUMIFS('List of Ledgers '!$Q:$Q,'List of Ledgers '!$F:$F,'P&amp;L'!$A$27,'List of Ledgers '!$G:$G,'P&amp;L'!O6)</f>
        <v>0</v>
      </c>
      <c r="P27" s="5">
        <f>-SUMIFS('List of Ledgers '!$Q:$Q,'List of Ledgers '!$F:$F,'P&amp;L'!$A$27,'List of Ledgers '!$G:$G,'P&amp;L'!P6)</f>
        <v>0</v>
      </c>
      <c r="Q27" s="5">
        <f>-SUMIFS('List of Ledgers '!$Q:$Q,'List of Ledgers '!$F:$F,'P&amp;L'!$A$27,'List of Ledgers '!$G:$G,'P&amp;L'!Q6)</f>
        <v>0</v>
      </c>
      <c r="R27" s="5">
        <f>-SUMIFS('List of Ledgers '!$Q:$Q,'List of Ledgers '!$F:$F,'P&amp;L'!$A$27,'List of Ledgers '!$G:$G,'P&amp;L'!R6)</f>
        <v>0</v>
      </c>
      <c r="S27" s="5">
        <f>-SUMIFS('List of Ledgers '!$Q:$Q,'List of Ledgers '!$F:$F,'P&amp;L'!$A$27,'List of Ledgers '!$G:$G,'P&amp;L'!S6)</f>
        <v>0</v>
      </c>
      <c r="T27" s="5">
        <f>-SUMIFS('List of Ledgers '!$Q:$Q,'List of Ledgers '!$F:$F,'P&amp;L'!$A$27,'List of Ledgers '!$G:$G,'P&amp;L'!T6)</f>
        <v>0</v>
      </c>
      <c r="U27" s="5">
        <f>-SUMIFS('List of Ledgers '!$Q:$Q,'List of Ledgers '!$F:$F,'P&amp;L'!$A$27,'List of Ledgers '!$G:$G,'P&amp;L'!U6)</f>
        <v>0</v>
      </c>
      <c r="V27" s="5">
        <f t="shared" si="20"/>
        <v>0</v>
      </c>
      <c r="W27" s="5">
        <f>-SUMIFS('List of Ledgers '!$Q:$Q,'List of Ledgers '!$F:$F,'P&amp;L'!$A$27,'List of Ledgers '!$G:$G,'P&amp;L'!W6)</f>
        <v>23630.29</v>
      </c>
      <c r="X27" s="57">
        <f t="shared" si="16"/>
        <v>23630.29</v>
      </c>
      <c r="Y27" s="7">
        <f t="shared" si="1"/>
        <v>-23630.29</v>
      </c>
    </row>
    <row r="28" spans="1:25" x14ac:dyDescent="0.25">
      <c r="A28" s="186" t="s">
        <v>270</v>
      </c>
      <c r="B28" s="5">
        <f>SUMIFS('List of Ledgers '!$L:$L,'List of Ledgers '!$F:$F,'P&amp;L'!$A$28,'List of Ledgers '!$G:$G,'P&amp;L'!B6)</f>
        <v>0</v>
      </c>
      <c r="C28" s="5">
        <f>SUMIFS('List of Ledgers '!$L:$L,'List of Ledgers '!$F:$F,'P&amp;L'!$A$28,'List of Ledgers '!$G:$G,'P&amp;L'!C6)</f>
        <v>0</v>
      </c>
      <c r="D28" s="5">
        <f>SUMIFS('List of Ledgers '!$L:$L,'List of Ledgers '!$F:$F,'P&amp;L'!$A$28,'List of Ledgers '!$G:$G,'P&amp;L'!D6)</f>
        <v>0</v>
      </c>
      <c r="E28" s="5">
        <f>SUMIFS('List of Ledgers '!$L:$L,'List of Ledgers '!$F:$F,'P&amp;L'!$A$28,'List of Ledgers '!$G:$G,'P&amp;L'!E6)</f>
        <v>0</v>
      </c>
      <c r="F28" s="5">
        <f>SUMIFS('List of Ledgers '!$L:$L,'List of Ledgers '!$F:$F,'P&amp;L'!$A$28,'List of Ledgers '!$G:$G,'P&amp;L'!F6)</f>
        <v>0</v>
      </c>
      <c r="G28" s="5">
        <f>SUMIFS('List of Ledgers '!$L:$L,'List of Ledgers '!$F:$F,'P&amp;L'!$A$28,'List of Ledgers '!$G:$G,'P&amp;L'!G6)</f>
        <v>0</v>
      </c>
      <c r="H28" s="5">
        <f>SUMIFS('List of Ledgers '!$L:$L,'List of Ledgers '!$F:$F,'P&amp;L'!$A$28,'List of Ledgers '!$G:$G,'P&amp;L'!H6)</f>
        <v>0</v>
      </c>
      <c r="I28" s="5">
        <f>SUMIFS('List of Ledgers '!$L:$L,'List of Ledgers '!$F:$F,'P&amp;L'!$A$28,'List of Ledgers '!$G:$G,'P&amp;L'!I6)</f>
        <v>0</v>
      </c>
      <c r="J28" s="5">
        <f t="shared" si="17"/>
        <v>0</v>
      </c>
      <c r="K28" s="5">
        <f>SUMIFS('List of Ledgers '!$L:$L,'List of Ledgers '!$F:$F,'P&amp;L'!$A$28,'List of Ledgers '!$G:$G,'P&amp;L'!K6)</f>
        <v>0</v>
      </c>
      <c r="L28" s="5">
        <f t="shared" si="19"/>
        <v>0</v>
      </c>
      <c r="N28" s="5">
        <f>-SUMIFS('List of Ledgers '!$Q:$Q,'List of Ledgers '!$F:$F,$A$28,'List of Ledgers '!$G:$G,'P&amp;L'!N6)</f>
        <v>0</v>
      </c>
      <c r="O28" s="5">
        <f>-SUMIFS('List of Ledgers '!$Q:$Q,'List of Ledgers '!$F:$F,$A$28,'List of Ledgers '!$G:$G,'P&amp;L'!O6)</f>
        <v>0</v>
      </c>
      <c r="P28" s="5">
        <f>-SUMIFS('List of Ledgers '!$Q:$Q,'List of Ledgers '!$F:$F,$A$28,'List of Ledgers '!$G:$G,'P&amp;L'!P6)</f>
        <v>0</v>
      </c>
      <c r="Q28" s="5">
        <f>-SUMIFS('List of Ledgers '!$Q:$Q,'List of Ledgers '!$F:$F,$A$28,'List of Ledgers '!$G:$G,'P&amp;L'!Q6)</f>
        <v>0</v>
      </c>
      <c r="R28" s="5">
        <f>-SUMIFS('List of Ledgers '!$Q:$Q,'List of Ledgers '!$F:$F,$A$28,'List of Ledgers '!$G:$G,'P&amp;L'!R6)</f>
        <v>0</v>
      </c>
      <c r="S28" s="5">
        <f>-SUMIFS('List of Ledgers '!$Q:$Q,'List of Ledgers '!$F:$F,$A$28,'List of Ledgers '!$G:$G,'P&amp;L'!S6)</f>
        <v>0</v>
      </c>
      <c r="T28" s="5">
        <f>-SUMIFS('List of Ledgers '!$Q:$Q,'List of Ledgers '!$F:$F,$A$28,'List of Ledgers '!$G:$G,'P&amp;L'!T6)</f>
        <v>0</v>
      </c>
      <c r="U28" s="5">
        <f>-SUMIFS('List of Ledgers '!$Q:$Q,'List of Ledgers '!$F:$F,$A$28,'List of Ledgers '!$G:$G,'P&amp;L'!U6)</f>
        <v>0</v>
      </c>
      <c r="V28" s="5">
        <f>-SUMIFS('List of Ledgers '!$Q:$Q,'List of Ledgers '!$F:$F,$A$28,'List of Ledgers '!$G:$G,'P&amp;L'!V6)</f>
        <v>0</v>
      </c>
      <c r="W28" s="5">
        <f>-SUMIFS('List of Ledgers '!$Q:$Q,'List of Ledgers '!$F:$F,$A$28,'List of Ledgers '!$G:$G,'P&amp;L'!W6)</f>
        <v>-711054.97</v>
      </c>
      <c r="X28" s="57">
        <f t="shared" si="16"/>
        <v>-711054.97</v>
      </c>
      <c r="Y28" s="7">
        <f t="shared" si="1"/>
        <v>711054.97</v>
      </c>
    </row>
    <row r="29" spans="1:25" x14ac:dyDescent="0.25">
      <c r="A29" s="18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7">
        <f t="shared" si="1"/>
        <v>0</v>
      </c>
    </row>
    <row r="30" spans="1:25" ht="20.100000000000001" customHeight="1" x14ac:dyDescent="0.25">
      <c r="A30" s="42" t="s">
        <v>33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/>
      <c r="H30" s="5"/>
      <c r="I30" s="5"/>
      <c r="J30" s="5"/>
      <c r="K30" s="5">
        <v>0</v>
      </c>
      <c r="L30" s="5">
        <f>SUM(J30:K30)</f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/>
      <c r="T30" s="5"/>
      <c r="U30" s="5"/>
      <c r="V30" s="5"/>
      <c r="W30" s="5">
        <v>0</v>
      </c>
      <c r="X30" s="5">
        <f>SUM(V30:W30)</f>
        <v>0</v>
      </c>
      <c r="Y30" s="7">
        <f t="shared" si="1"/>
        <v>0</v>
      </c>
    </row>
    <row r="31" spans="1:25" x14ac:dyDescent="0.25">
      <c r="A31" s="42" t="s">
        <v>34</v>
      </c>
      <c r="B31" s="5">
        <f>B20+B16</f>
        <v>0</v>
      </c>
      <c r="C31" s="5">
        <f>C20+C16</f>
        <v>2.9103830456733704E-11</v>
      </c>
      <c r="D31" s="5">
        <f t="shared" ref="D31:L31" si="21">D20+D16</f>
        <v>16903579.530000001</v>
      </c>
      <c r="E31" s="5">
        <f t="shared" si="21"/>
        <v>0</v>
      </c>
      <c r="F31" s="5">
        <f t="shared" si="21"/>
        <v>0</v>
      </c>
      <c r="G31" s="5">
        <f t="shared" si="21"/>
        <v>-35050</v>
      </c>
      <c r="H31" s="5">
        <f t="shared" si="21"/>
        <v>200000</v>
      </c>
      <c r="I31" s="5">
        <f t="shared" si="21"/>
        <v>3336179.750000013</v>
      </c>
      <c r="J31" s="5">
        <f>J20+J16</f>
        <v>20404709.280000016</v>
      </c>
      <c r="K31" s="5">
        <f t="shared" si="21"/>
        <v>0</v>
      </c>
      <c r="L31" s="5">
        <f t="shared" si="21"/>
        <v>20404709.280000016</v>
      </c>
      <c r="N31" s="5">
        <f t="shared" ref="N31:W31" si="22">N20+N16</f>
        <v>-61053.050000000047</v>
      </c>
      <c r="O31" s="5">
        <f t="shared" si="22"/>
        <v>328384.55000000028</v>
      </c>
      <c r="P31" s="5">
        <f t="shared" si="22"/>
        <v>20429746.540000003</v>
      </c>
      <c r="Q31" s="5">
        <f t="shared" si="22"/>
        <v>0</v>
      </c>
      <c r="R31" s="5">
        <f t="shared" si="22"/>
        <v>0</v>
      </c>
      <c r="S31" s="5">
        <f t="shared" si="22"/>
        <v>613357.43999999994</v>
      </c>
      <c r="T31" s="5">
        <f t="shared" si="22"/>
        <v>200000</v>
      </c>
      <c r="U31" s="5">
        <f t="shared" si="22"/>
        <v>5640355.4499999983</v>
      </c>
      <c r="V31" s="5">
        <f t="shared" si="22"/>
        <v>27150790.930000033</v>
      </c>
      <c r="W31" s="5">
        <f t="shared" si="22"/>
        <v>-211354.2</v>
      </c>
      <c r="X31" s="5">
        <f t="shared" ref="X31" si="23">X20+X16</f>
        <v>26939436.730000034</v>
      </c>
      <c r="Y31" s="7">
        <f t="shared" si="1"/>
        <v>211354.19999999925</v>
      </c>
    </row>
    <row r="32" spans="1:25" x14ac:dyDescent="0.25">
      <c r="A32" s="42" t="s">
        <v>35</v>
      </c>
      <c r="B32" s="155">
        <v>0</v>
      </c>
      <c r="C32" s="155">
        <f>G31*C7/J7</f>
        <v>-13.281221531835204</v>
      </c>
      <c r="D32" s="155" cm="1">
        <f t="array" ref="D32">SUM($G$30:$G$30/4)</f>
        <v>0</v>
      </c>
      <c r="E32" s="5">
        <v>0</v>
      </c>
      <c r="F32" s="5">
        <v>0</v>
      </c>
      <c r="G32" s="5">
        <f>-G31</f>
        <v>35050</v>
      </c>
      <c r="H32" s="155" cm="1">
        <f t="array" ref="H32">SUM($G$30:$G$30/4)</f>
        <v>0</v>
      </c>
      <c r="I32" s="155">
        <f>G31*I7/J7</f>
        <v>-35036.718778468166</v>
      </c>
      <c r="J32" s="5">
        <f>SUM(B32:I32)</f>
        <v>0</v>
      </c>
      <c r="K32" s="5">
        <f>-K31</f>
        <v>0</v>
      </c>
      <c r="L32" s="5">
        <f>SUM(J32:K32)</f>
        <v>0</v>
      </c>
      <c r="N32" s="155">
        <f>S31*N7/V7</f>
        <v>4757.0244592127501</v>
      </c>
      <c r="O32" s="155">
        <f>S31*O7/V7</f>
        <v>2250.5429890483565</v>
      </c>
      <c r="P32" s="155">
        <f>S31*P7/V7</f>
        <v>284267.12897173513</v>
      </c>
      <c r="Q32" s="155"/>
      <c r="R32" s="155">
        <v>0</v>
      </c>
      <c r="S32" s="5">
        <f>-S31</f>
        <v>-613357.43999999994</v>
      </c>
      <c r="T32" s="5">
        <f>-T31</f>
        <v>-200000</v>
      </c>
      <c r="U32" s="155">
        <f>S31*U7/V7</f>
        <v>322082.74358000362</v>
      </c>
      <c r="V32" s="5">
        <f>SUM(N32:U32)</f>
        <v>-200000.00000000012</v>
      </c>
      <c r="W32" s="5">
        <f>-W31</f>
        <v>211354.2</v>
      </c>
      <c r="X32" s="5">
        <f>SUM(V32:W32)</f>
        <v>11354.199999999895</v>
      </c>
      <c r="Y32" s="7">
        <f t="shared" si="1"/>
        <v>-211354.2</v>
      </c>
    </row>
    <row r="33" spans="1:25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7">
        <f t="shared" si="1"/>
        <v>0</v>
      </c>
    </row>
    <row r="34" spans="1:25" x14ac:dyDescent="0.25">
      <c r="A34" s="4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7">
        <f t="shared" si="1"/>
        <v>0</v>
      </c>
    </row>
    <row r="35" spans="1:25" x14ac:dyDescent="0.25">
      <c r="A35" s="42" t="s">
        <v>152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7">
        <f t="shared" si="1"/>
        <v>0</v>
      </c>
    </row>
    <row r="36" spans="1:25" x14ac:dyDescent="0.25">
      <c r="A36" s="4" t="s">
        <v>37</v>
      </c>
      <c r="B36" s="5">
        <f>SUMIFS('List of Ledgers '!$L:$L,'List of Ledgers '!$F:$F,'P&amp;L'!$A$36,'List of Ledgers '!$G:$G,'P&amp;L'!B$6)</f>
        <v>0</v>
      </c>
      <c r="C36" s="5">
        <f>SUMIFS('List of Ledgers '!$L:$L,'List of Ledgers '!$F:$F,'P&amp;L'!$A$36,'List of Ledgers '!$G:$G,'P&amp;L'!C6)</f>
        <v>0</v>
      </c>
      <c r="D36" s="5">
        <f>SUMIFS('List of Ledgers '!$L:$L,'List of Ledgers '!$F:$F,'P&amp;L'!$A$36,'List of Ledgers '!$G:$G,'P&amp;L'!D6)</f>
        <v>0</v>
      </c>
      <c r="E36" s="5">
        <f>SUMIFS('List of Ledgers '!$L:$L,'List of Ledgers '!$F:$F,'P&amp;L'!$A$36,'List of Ledgers '!$G:$G,'P&amp;L'!E6)</f>
        <v>0</v>
      </c>
      <c r="F36" s="5">
        <f>SUMIFS('List of Ledgers '!$L:$L,'List of Ledgers '!$F:$F,'P&amp;L'!$A$36,'List of Ledgers '!$G:$G,'P&amp;L'!F6)</f>
        <v>0</v>
      </c>
      <c r="G36" s="5">
        <f>SUMIFS('List of Ledgers '!$L:$L,'List of Ledgers '!$F:$F,'P&amp;L'!$A$36,'List of Ledgers '!$G:$G,'P&amp;L'!G6)</f>
        <v>0</v>
      </c>
      <c r="H36" s="5">
        <f>SUMIFS('List of Ledgers '!$L:$L,'List of Ledgers '!$F:$F,'P&amp;L'!$A$36,'List of Ledgers '!$G:$G,'P&amp;L'!H6)</f>
        <v>0</v>
      </c>
      <c r="I36" s="5">
        <f>SUMIFS('List of Ledgers '!$L:$L,'List of Ledgers '!$F:$F,'P&amp;L'!$A$36,'List of Ledgers '!$G:$G,'P&amp;L'!I6)</f>
        <v>0</v>
      </c>
      <c r="J36" s="5">
        <f t="shared" ref="J36:J67" si="24">SUM(B36:I36)</f>
        <v>0</v>
      </c>
      <c r="K36" s="5">
        <f>SUMIFS('List of Ledgers '!$L:$L,'List of Ledgers '!$F:$F,'P&amp;L'!$A36,'List of Ledgers '!$G:$G,'P&amp;L'!$K$6)</f>
        <v>0</v>
      </c>
      <c r="L36" s="5">
        <f t="shared" ref="L36" si="25">J36+K36</f>
        <v>0</v>
      </c>
      <c r="N36" s="5">
        <f>SUMIFS('List of Ledgers '!$Q:$Q,'List of Ledgers '!$F:$F,'P&amp;L'!$A36,'List of Ledgers '!$G:$G,'P&amp;L'!N$6)</f>
        <v>0</v>
      </c>
      <c r="O36" s="5">
        <f>SUMIFS('List of Ledgers '!$Q:$Q,'List of Ledgers '!$F:$F,'P&amp;L'!$A36,'List of Ledgers '!$G:$G,'P&amp;L'!O$6)</f>
        <v>0</v>
      </c>
      <c r="P36" s="5">
        <f>SUMIFS('List of Ledgers '!$Q:$Q,'List of Ledgers '!$F:$F,'P&amp;L'!$A36,'List of Ledgers '!$G:$G,'P&amp;L'!P$6)</f>
        <v>0</v>
      </c>
      <c r="Q36" s="5">
        <f>SUMIFS('List of Ledgers '!$Q:$Q,'List of Ledgers '!$F:$F,'P&amp;L'!$A36,'List of Ledgers '!$G:$G,'P&amp;L'!Q$6)</f>
        <v>0</v>
      </c>
      <c r="R36" s="5">
        <f>SUMIFS('List of Ledgers '!$Q:$Q,'List of Ledgers '!$F:$F,'P&amp;L'!$A36,'List of Ledgers '!$G:$G,'P&amp;L'!R$6)</f>
        <v>0</v>
      </c>
      <c r="S36" s="5">
        <f>SUMIFS('List of Ledgers '!$Q:$Q,'List of Ledgers '!$F:$F,'P&amp;L'!$A36,'List of Ledgers '!$G:$G,'P&amp;L'!S$6)</f>
        <v>220000</v>
      </c>
      <c r="T36" s="5">
        <f>SUMIFS('List of Ledgers '!$Q:$Q,'List of Ledgers '!$F:$F,'P&amp;L'!$A36,'List of Ledgers '!$G:$G,'P&amp;L'!T$6)</f>
        <v>0</v>
      </c>
      <c r="U36" s="5">
        <f>SUMIFS('List of Ledgers '!$Q:$Q,'List of Ledgers '!$F:$F,'P&amp;L'!$A36,'List of Ledgers '!$G:$G,'P&amp;L'!U$6)</f>
        <v>0</v>
      </c>
      <c r="V36" s="5">
        <f>SUM(N36:U36)</f>
        <v>220000</v>
      </c>
      <c r="W36" s="5">
        <f>SUMIFS('List of Ledgers '!$Q:$Q,'List of Ledgers '!$F:$F,'P&amp;L'!$A36,'List of Ledgers '!$G:$G,'P&amp;L'!W$6)</f>
        <v>0</v>
      </c>
      <c r="X36" s="5">
        <f t="shared" ref="X36" si="26">V36+W36</f>
        <v>220000</v>
      </c>
      <c r="Y36" s="7">
        <f t="shared" si="1"/>
        <v>0</v>
      </c>
    </row>
    <row r="37" spans="1:25" outlineLevel="1" x14ac:dyDescent="0.25">
      <c r="A37" s="4" t="s">
        <v>38</v>
      </c>
      <c r="B37" s="5">
        <f>SUMIFS('List of Ledgers '!$L:$L,'List of Ledgers '!$F:$F,'P&amp;L'!$A37,'List of Ledgers '!$G:$G,'P&amp;L'!B$6)</f>
        <v>0</v>
      </c>
      <c r="C37" s="5">
        <f>SUMIFS('List of Ledgers '!$L:$L,'List of Ledgers '!$F:$F,'P&amp;L'!$A37,'List of Ledgers '!$G:$G,'P&amp;L'!C$6)</f>
        <v>0</v>
      </c>
      <c r="D37" s="5">
        <f>SUMIFS('List of Ledgers '!$L:$L,'List of Ledgers '!$F:$F,'P&amp;L'!$A37,'List of Ledgers '!$G:$G,'P&amp;L'!D$6)</f>
        <v>81813.94</v>
      </c>
      <c r="E37" s="5">
        <f>SUMIFS('List of Ledgers '!$L:$L,'List of Ledgers '!$F:$F,'P&amp;L'!$A37,'List of Ledgers '!$G:$G,'P&amp;L'!E$6)</f>
        <v>0</v>
      </c>
      <c r="F37" s="5">
        <f>SUMIFS('List of Ledgers '!$L:$L,'List of Ledgers '!$F:$F,'P&amp;L'!$A37,'List of Ledgers '!$G:$G,'P&amp;L'!F$6)</f>
        <v>0</v>
      </c>
      <c r="G37" s="5">
        <f>SUMIFS('List of Ledgers '!$L:$L,'List of Ledgers '!$F:$F,'P&amp;L'!$A37,'List of Ledgers '!$G:$G,'P&amp;L'!G$6)</f>
        <v>0</v>
      </c>
      <c r="H37" s="5">
        <f>SUMIFS('List of Ledgers '!$L:$L,'List of Ledgers '!$F:$F,'P&amp;L'!$A37,'List of Ledgers '!$G:$G,'P&amp;L'!H$6)</f>
        <v>0</v>
      </c>
      <c r="I37" s="5">
        <f>SUMIFS('List of Ledgers '!$L:$L,'List of Ledgers '!$F:$F,'P&amp;L'!$A37,'List of Ledgers '!$G:$G,'P&amp;L'!I$6)</f>
        <v>0</v>
      </c>
      <c r="J37" s="5">
        <f t="shared" si="24"/>
        <v>81813.94</v>
      </c>
      <c r="K37" s="5">
        <f>SUMIFS('List of Ledgers '!$L:$L,'List of Ledgers '!$F:$F,'P&amp;L'!$A37,'List of Ledgers '!$G:$G,'P&amp;L'!$K$6)</f>
        <v>0</v>
      </c>
      <c r="L37" s="5">
        <f t="shared" ref="L37:L66" si="27">J37+K37</f>
        <v>81813.94</v>
      </c>
      <c r="N37" s="5">
        <f>SUMIFS('List of Ledgers '!$Q:$Q,'List of Ledgers '!$F:$F,'P&amp;L'!$A37,'List of Ledgers '!$G:$G,'P&amp;L'!N$6)</f>
        <v>0</v>
      </c>
      <c r="O37" s="5">
        <f>SUMIFS('List of Ledgers '!$Q:$Q,'List of Ledgers '!$F:$F,'P&amp;L'!$A37,'List of Ledgers '!$G:$G,'P&amp;L'!O$6)</f>
        <v>0</v>
      </c>
      <c r="P37" s="5">
        <f>SUMIFS('List of Ledgers '!$Q:$Q,'List of Ledgers '!$F:$F,'P&amp;L'!$A37,'List of Ledgers '!$G:$G,'P&amp;L'!P$6)</f>
        <v>299599.94</v>
      </c>
      <c r="Q37" s="5">
        <f>SUMIFS('List of Ledgers '!$Q:$Q,'List of Ledgers '!$F:$F,'P&amp;L'!$A37,'List of Ledgers '!$G:$G,'P&amp;L'!Q$6)</f>
        <v>0</v>
      </c>
      <c r="R37" s="5">
        <f>SUMIFS('List of Ledgers '!$Q:$Q,'List of Ledgers '!$F:$F,'P&amp;L'!$A37,'List of Ledgers '!$G:$G,'P&amp;L'!R$6)</f>
        <v>0</v>
      </c>
      <c r="S37" s="5">
        <f>SUMIFS('List of Ledgers '!$Q:$Q,'List of Ledgers '!$F:$F,'P&amp;L'!$A37,'List of Ledgers '!$G:$G,'P&amp;L'!S$6)</f>
        <v>0</v>
      </c>
      <c r="T37" s="5"/>
      <c r="U37" s="5"/>
      <c r="V37" s="5">
        <f>SUM(N37:U37)</f>
        <v>299599.94</v>
      </c>
      <c r="W37" s="5">
        <f>SUMIFS('List of Ledgers '!$Q:$Q,'List of Ledgers '!$F:$F,'P&amp;L'!$A37,'List of Ledgers '!$G:$G,'P&amp;L'!W$6)</f>
        <v>0</v>
      </c>
      <c r="X37" s="5">
        <f t="shared" ref="X37:X66" si="28">V37+W37</f>
        <v>299599.94</v>
      </c>
      <c r="Y37" s="7">
        <f t="shared" si="1"/>
        <v>0</v>
      </c>
    </row>
    <row r="38" spans="1:25" outlineLevel="1" x14ac:dyDescent="0.25">
      <c r="A38" s="4" t="s">
        <v>39</v>
      </c>
      <c r="B38" s="5">
        <f>SUMIFS('List of Ledgers '!$L:$L,'List of Ledgers '!$F:$F,'P&amp;L'!$A38,'List of Ledgers '!$G:$G,'P&amp;L'!B$6)</f>
        <v>0</v>
      </c>
      <c r="C38" s="5">
        <f>SUMIFS('List of Ledgers '!$L:$L,'List of Ledgers '!$F:$F,'P&amp;L'!$A38,'List of Ledgers '!$G:$G,'P&amp;L'!C$6)</f>
        <v>0</v>
      </c>
      <c r="D38" s="5">
        <f>SUMIFS('List of Ledgers '!$L:$L,'List of Ledgers '!$F:$F,'P&amp;L'!$A38,'List of Ledgers '!$G:$G,'P&amp;L'!D$6)</f>
        <v>0</v>
      </c>
      <c r="E38" s="5">
        <f>SUMIFS('List of Ledgers '!$L:$L,'List of Ledgers '!$F:$F,'P&amp;L'!$A38,'List of Ledgers '!$G:$G,'P&amp;L'!E$6)</f>
        <v>0</v>
      </c>
      <c r="F38" s="5">
        <f>SUMIFS('List of Ledgers '!$L:$L,'List of Ledgers '!$F:$F,'P&amp;L'!$A38,'List of Ledgers '!$G:$G,'P&amp;L'!F$6)</f>
        <v>0</v>
      </c>
      <c r="G38" s="5">
        <f>SUMIFS('List of Ledgers '!$L:$L,'List of Ledgers '!$F:$F,'P&amp;L'!$A38,'List of Ledgers '!$G:$G,'P&amp;L'!G$6)</f>
        <v>0</v>
      </c>
      <c r="H38" s="5">
        <f>SUMIFS('List of Ledgers '!$L:$L,'List of Ledgers '!$F:$F,'P&amp;L'!$A38,'List of Ledgers '!$G:$G,'P&amp;L'!H$6)</f>
        <v>0</v>
      </c>
      <c r="I38" s="5">
        <f>SUMIFS('List of Ledgers '!$L:$L,'List of Ledgers '!$F:$F,'P&amp;L'!$A38,'List of Ledgers '!$G:$G,'P&amp;L'!I$6)</f>
        <v>0</v>
      </c>
      <c r="J38" s="5">
        <f t="shared" si="24"/>
        <v>0</v>
      </c>
      <c r="K38" s="5">
        <f>SUMIFS('List of Ledgers '!$L:$L,'List of Ledgers '!$F:$F,'P&amp;L'!$A38,'List of Ledgers '!$G:$G,'P&amp;L'!$K$6)</f>
        <v>0</v>
      </c>
      <c r="L38" s="5">
        <f t="shared" si="27"/>
        <v>0</v>
      </c>
      <c r="N38" s="5">
        <f>SUMIFS('List of Ledgers '!$Q:$Q,'List of Ledgers '!$F:$F,'P&amp;L'!$A38,'List of Ledgers '!$G:$G,'P&amp;L'!N$6)</f>
        <v>0</v>
      </c>
      <c r="O38" s="5">
        <f>SUMIFS('List of Ledgers '!$Q:$Q,'List of Ledgers '!$F:$F,'P&amp;L'!$A38,'List of Ledgers '!$G:$G,'P&amp;L'!O$6)</f>
        <v>0</v>
      </c>
      <c r="P38" s="5">
        <f>SUMIFS('List of Ledgers '!$Q:$Q,'List of Ledgers '!$F:$F,'P&amp;L'!$A38,'List of Ledgers '!$G:$G,'P&amp;L'!P$6)</f>
        <v>0</v>
      </c>
      <c r="Q38" s="5">
        <f>SUMIFS('List of Ledgers '!$Q:$Q,'List of Ledgers '!$F:$F,'P&amp;L'!$A38,'List of Ledgers '!$G:$G,'P&amp;L'!Q$6)</f>
        <v>0</v>
      </c>
      <c r="R38" s="5">
        <f>SUMIFS('List of Ledgers '!$Q:$Q,'List of Ledgers '!$F:$F,'P&amp;L'!$A38,'List of Ledgers '!$G:$G,'P&amp;L'!R$6)</f>
        <v>0</v>
      </c>
      <c r="S38" s="5">
        <f>SUMIFS('List of Ledgers '!$Q:$Q,'List of Ledgers '!$F:$F,'P&amp;L'!$A38,'List of Ledgers '!$G:$G,'P&amp;L'!S$6)</f>
        <v>0</v>
      </c>
      <c r="T38" s="5">
        <f>SUMIFS('List of Ledgers '!$Q:$Q,'List of Ledgers '!$F:$F,'P&amp;L'!$A38,'List of Ledgers '!$G:$G,'P&amp;L'!T$6)</f>
        <v>0</v>
      </c>
      <c r="U38" s="5">
        <f>SUMIFS('List of Ledgers '!$Q:$Q,'List of Ledgers '!$F:$F,'P&amp;L'!$A38,'List of Ledgers '!$G:$G,'P&amp;L'!U$6)</f>
        <v>0</v>
      </c>
      <c r="V38" s="5">
        <f>SUM(N38:U38)</f>
        <v>0</v>
      </c>
      <c r="W38" s="5">
        <f>SUMIFS('List of Ledgers '!$Q:$Q,'List of Ledgers '!$F:$F,'P&amp;L'!$A38,'List of Ledgers '!$G:$G,'P&amp;L'!W$6)</f>
        <v>0</v>
      </c>
      <c r="X38" s="5">
        <f t="shared" si="28"/>
        <v>0</v>
      </c>
      <c r="Y38" s="7">
        <f t="shared" si="1"/>
        <v>0</v>
      </c>
    </row>
    <row r="39" spans="1:25" outlineLevel="1" x14ac:dyDescent="0.25">
      <c r="A39" s="4" t="s">
        <v>40</v>
      </c>
      <c r="B39" s="5">
        <f>SUMIFS('List of Ledgers '!$L:$L,'List of Ledgers '!$F:$F,'P&amp;L'!$A39,'List of Ledgers '!$G:$G,'P&amp;L'!B$6)</f>
        <v>0</v>
      </c>
      <c r="C39" s="5">
        <f>SUMIFS('List of Ledgers '!$L:$L,'List of Ledgers '!$F:$F,'P&amp;L'!$A39,'List of Ledgers '!$G:$G,'P&amp;L'!C$6)</f>
        <v>0</v>
      </c>
      <c r="D39" s="5">
        <f>SUMIFS('List of Ledgers '!$L:$L,'List of Ledgers '!$F:$F,'P&amp;L'!$A39,'List of Ledgers '!$G:$G,'P&amp;L'!D$6)</f>
        <v>0</v>
      </c>
      <c r="E39" s="5">
        <f>SUMIFS('List of Ledgers '!$L:$L,'List of Ledgers '!$F:$F,'P&amp;L'!$A39,'List of Ledgers '!$G:$G,'P&amp;L'!E$6)</f>
        <v>0</v>
      </c>
      <c r="F39" s="5">
        <f>SUMIFS('List of Ledgers '!$L:$L,'List of Ledgers '!$F:$F,'P&amp;L'!$A39,'List of Ledgers '!$G:$G,'P&amp;L'!F$6)</f>
        <v>0</v>
      </c>
      <c r="G39" s="5">
        <f>SUMIFS('List of Ledgers '!$L:$L,'List of Ledgers '!$F:$F,'P&amp;L'!$A39,'List of Ledgers '!$G:$G,'P&amp;L'!G$6)</f>
        <v>0</v>
      </c>
      <c r="H39" s="5">
        <f>SUMIFS('List of Ledgers '!$L:$L,'List of Ledgers '!$F:$F,'P&amp;L'!$A39,'List of Ledgers '!$G:$G,'P&amp;L'!H$6)</f>
        <v>0</v>
      </c>
      <c r="I39" s="5">
        <f>SUMIFS('List of Ledgers '!$L:$L,'List of Ledgers '!$F:$F,'P&amp;L'!$A39,'List of Ledgers '!$G:$G,'P&amp;L'!I$6)</f>
        <v>0</v>
      </c>
      <c r="J39" s="5">
        <f t="shared" si="24"/>
        <v>0</v>
      </c>
      <c r="K39" s="5">
        <f>SUMIFS('List of Ledgers '!$L:$L,'List of Ledgers '!$F:$F,'P&amp;L'!$A39,'List of Ledgers '!$G:$G,'P&amp;L'!$K$6)</f>
        <v>0</v>
      </c>
      <c r="L39" s="5">
        <f t="shared" si="27"/>
        <v>0</v>
      </c>
      <c r="N39" s="5">
        <f>SUMIFS('List of Ledgers '!$Q:$Q,'List of Ledgers '!$F:$F,'P&amp;L'!$A39,'List of Ledgers '!$G:$G,'P&amp;L'!N$6)</f>
        <v>0</v>
      </c>
      <c r="O39" s="5">
        <f>SUMIFS('List of Ledgers '!$Q:$Q,'List of Ledgers '!$F:$F,'P&amp;L'!$A39,'List of Ledgers '!$G:$G,'P&amp;L'!O$6)</f>
        <v>0</v>
      </c>
      <c r="P39" s="5">
        <f>SUMIFS('List of Ledgers '!$Q:$Q,'List of Ledgers '!$F:$F,'P&amp;L'!$A39,'List of Ledgers '!$G:$G,'P&amp;L'!P$6)</f>
        <v>0</v>
      </c>
      <c r="Q39" s="5">
        <f>SUMIFS('List of Ledgers '!$Q:$Q,'List of Ledgers '!$F:$F,'P&amp;L'!$A39,'List of Ledgers '!$G:$G,'P&amp;L'!Q$6)</f>
        <v>0</v>
      </c>
      <c r="R39" s="5">
        <f>SUMIFS('List of Ledgers '!$Q:$Q,'List of Ledgers '!$F:$F,'P&amp;L'!$A39,'List of Ledgers '!$G:$G,'P&amp;L'!R$6)</f>
        <v>0</v>
      </c>
      <c r="S39" s="5">
        <f>SUMIFS('List of Ledgers '!$Q:$Q,'List of Ledgers '!$F:$F,'P&amp;L'!$A39,'List of Ledgers '!$G:$G,'P&amp;L'!S$6)</f>
        <v>0</v>
      </c>
      <c r="T39" s="5">
        <f>SUMIFS('List of Ledgers '!$Q:$Q,'List of Ledgers '!$F:$F,'P&amp;L'!$A39,'List of Ledgers '!$G:$G,'P&amp;L'!T$6)</f>
        <v>0</v>
      </c>
      <c r="U39" s="5">
        <f>SUMIFS('List of Ledgers '!$Q:$Q,'List of Ledgers '!$F:$F,'P&amp;L'!$A39,'List of Ledgers '!$G:$G,'P&amp;L'!U$6)</f>
        <v>0</v>
      </c>
      <c r="V39" s="5">
        <f>SUM(N39:U39)</f>
        <v>0</v>
      </c>
      <c r="W39" s="5">
        <f>SUMIFS('List of Ledgers '!$Q:$Q,'List of Ledgers '!$F:$F,'P&amp;L'!$A39,'List of Ledgers '!$G:$G,'P&amp;L'!W$6)</f>
        <v>0</v>
      </c>
      <c r="X39" s="5">
        <f t="shared" si="28"/>
        <v>0</v>
      </c>
      <c r="Y39" s="7">
        <f t="shared" si="1"/>
        <v>0</v>
      </c>
    </row>
    <row r="40" spans="1:25" outlineLevel="1" x14ac:dyDescent="0.25">
      <c r="A40" s="177" t="s">
        <v>41</v>
      </c>
      <c r="B40" s="5">
        <f>'Marketing Expenses'!B12</f>
        <v>0</v>
      </c>
      <c r="C40" s="5">
        <f>'Marketing Expenses'!C12</f>
        <v>0</v>
      </c>
      <c r="D40" s="5">
        <f>'Marketing Expenses'!D12</f>
        <v>30000</v>
      </c>
      <c r="E40" s="5">
        <f>'Marketing Expenses'!E12</f>
        <v>0</v>
      </c>
      <c r="F40" s="5">
        <f>'Marketing Expenses'!F12</f>
        <v>0</v>
      </c>
      <c r="G40" s="5">
        <f>'Marketing Expenses'!G12</f>
        <v>0</v>
      </c>
      <c r="H40" s="5">
        <f>'Marketing Expenses'!H12</f>
        <v>4000</v>
      </c>
      <c r="I40" s="5">
        <f>'Marketing Expenses'!I12</f>
        <v>0</v>
      </c>
      <c r="J40" s="5">
        <f t="shared" si="24"/>
        <v>34000</v>
      </c>
      <c r="K40" s="5">
        <f>SUMIFS('List of Ledgers '!$L:$L,'List of Ledgers '!$F:$F,'P&amp;L'!$A40,'List of Ledgers '!$G:$G,'P&amp;L'!$K$6)</f>
        <v>0</v>
      </c>
      <c r="L40" s="5">
        <f t="shared" ref="L40" si="29">J40+K40</f>
        <v>34000</v>
      </c>
      <c r="N40" s="5">
        <f>'Marketing Expenses'!N12</f>
        <v>0</v>
      </c>
      <c r="O40" s="5">
        <f>'Marketing Expenses'!O12</f>
        <v>0</v>
      </c>
      <c r="P40" s="5">
        <f>'Marketing Expenses'!P12</f>
        <v>194200.82</v>
      </c>
      <c r="Q40" s="5">
        <f>'Marketing Expenses'!Q12</f>
        <v>0</v>
      </c>
      <c r="R40" s="5">
        <f>'Marketing Expenses'!R12</f>
        <v>0</v>
      </c>
      <c r="S40" s="5">
        <f>'Marketing Expenses'!S12</f>
        <v>11572</v>
      </c>
      <c r="T40" s="5">
        <f>'Marketing Expenses'!T12</f>
        <v>691055</v>
      </c>
      <c r="U40" s="5">
        <f>'Marketing Expenses'!U12</f>
        <v>552704</v>
      </c>
      <c r="V40" s="5">
        <f t="shared" ref="V40:V66" si="30">SUM(N40:U40)</f>
        <v>1449531.82</v>
      </c>
      <c r="W40" s="5">
        <f>'Marketing Expenses'!W12</f>
        <v>0</v>
      </c>
      <c r="X40" s="5">
        <f t="shared" ref="X40" si="31">V40+W40</f>
        <v>1449531.82</v>
      </c>
      <c r="Y40" s="7">
        <f t="shared" si="1"/>
        <v>0</v>
      </c>
    </row>
    <row r="41" spans="1:25" outlineLevel="1" x14ac:dyDescent="0.25">
      <c r="A41" s="4" t="s">
        <v>42</v>
      </c>
      <c r="B41" s="5">
        <f>SUMIFS('List of Ledgers '!$L:$L,'List of Ledgers '!$F:$F,'P&amp;L'!$A41,'List of Ledgers '!$G:$G,'P&amp;L'!B$6)</f>
        <v>0</v>
      </c>
      <c r="C41" s="5">
        <f>SUMIFS('List of Ledgers '!$L:$L,'List of Ledgers '!$F:$F,'P&amp;L'!$A41,'List of Ledgers '!$G:$G,'P&amp;L'!C$6)</f>
        <v>0</v>
      </c>
      <c r="D41" s="5">
        <f>SUMIFS('List of Ledgers '!$L:$L,'List of Ledgers '!$F:$F,'P&amp;L'!$A41,'List of Ledgers '!$G:$G,'P&amp;L'!D$6)</f>
        <v>600</v>
      </c>
      <c r="E41" s="5">
        <f>SUMIFS('List of Ledgers '!$L:$L,'List of Ledgers '!$F:$F,'P&amp;L'!$A41,'List of Ledgers '!$G:$G,'P&amp;L'!E$6)</f>
        <v>0</v>
      </c>
      <c r="F41" s="5">
        <f>SUMIFS('List of Ledgers '!$L:$L,'List of Ledgers '!$F:$F,'P&amp;L'!$A41,'List of Ledgers '!$G:$G,'P&amp;L'!F$6)</f>
        <v>0</v>
      </c>
      <c r="G41" s="5">
        <f>SUMIFS('List of Ledgers '!$L:$L,'List of Ledgers '!$F:$F,'P&amp;L'!$A41,'List of Ledgers '!$G:$G,'P&amp;L'!G$6)</f>
        <v>624.32000000000005</v>
      </c>
      <c r="H41" s="5">
        <f>SUMIFS('List of Ledgers '!$L:$L,'List of Ledgers '!$F:$F,'P&amp;L'!$A41,'List of Ledgers '!$G:$G,'P&amp;L'!H$6)</f>
        <v>0</v>
      </c>
      <c r="I41" s="5">
        <f>SUMIFS('List of Ledgers '!$L:$L,'List of Ledgers '!$F:$F,'P&amp;L'!$A41,'List of Ledgers '!$G:$G,'P&amp;L'!I$6)</f>
        <v>1817.7</v>
      </c>
      <c r="J41" s="5">
        <f t="shared" si="24"/>
        <v>3042.0200000000004</v>
      </c>
      <c r="K41" s="5">
        <f>SUMIFS('List of Ledgers '!$L:$L,'List of Ledgers '!$F:$F,'P&amp;L'!$A41,'List of Ledgers '!$G:$G,'P&amp;L'!$K$6)</f>
        <v>0</v>
      </c>
      <c r="L41" s="5">
        <f t="shared" si="27"/>
        <v>3042.0200000000004</v>
      </c>
      <c r="N41" s="5">
        <f>SUMIFS('List of Ledgers '!$Q:$Q,'List of Ledgers '!$F:$F,'P&amp;L'!$A41,'List of Ledgers '!$G:$G,'P&amp;L'!N$6)</f>
        <v>0</v>
      </c>
      <c r="O41" s="5">
        <f>SUMIFS('List of Ledgers '!$Q:$Q,'List of Ledgers '!$F:$F,'P&amp;L'!$A41,'List of Ledgers '!$G:$G,'P&amp;L'!O$6)</f>
        <v>0</v>
      </c>
      <c r="P41" s="5">
        <f>SUMIFS('List of Ledgers '!$Q:$Q,'List of Ledgers '!$F:$F,'P&amp;L'!$A41,'List of Ledgers '!$G:$G,'P&amp;L'!P$6)</f>
        <v>2650</v>
      </c>
      <c r="Q41" s="5">
        <f>SUMIFS('List of Ledgers '!$Q:$Q,'List of Ledgers '!$F:$F,'P&amp;L'!$A41,'List of Ledgers '!$G:$G,'P&amp;L'!Q$6)</f>
        <v>0</v>
      </c>
      <c r="R41" s="5">
        <f>SUMIFS('List of Ledgers '!$Q:$Q,'List of Ledgers '!$F:$F,'P&amp;L'!$A41,'List of Ledgers '!$G:$G,'P&amp;L'!R$6)</f>
        <v>0</v>
      </c>
      <c r="S41" s="5">
        <f>SUMIFS('List of Ledgers '!$Q:$Q,'List of Ledgers '!$F:$F,'P&amp;L'!$A41,'List of Ledgers '!$G:$G,'P&amp;L'!S$6)</f>
        <v>7258.68</v>
      </c>
      <c r="T41" s="5">
        <f>SUMIFS('List of Ledgers '!$Q:$Q,'List of Ledgers '!$F:$F,'P&amp;L'!$A41,'List of Ledgers '!$G:$G,'P&amp;L'!T$6)</f>
        <v>0</v>
      </c>
      <c r="U41" s="5">
        <f>SUMIFS('List of Ledgers '!$Q:$Q,'List of Ledgers '!$F:$F,'P&amp;L'!$A41,'List of Ledgers '!$G:$G,'P&amp;L'!U$6)</f>
        <v>4385.3999999999996</v>
      </c>
      <c r="V41" s="5">
        <f t="shared" si="30"/>
        <v>14294.08</v>
      </c>
      <c r="W41" s="5">
        <f>SUMIFS('List of Ledgers '!$Q:$Q,'List of Ledgers '!$F:$F,'P&amp;L'!$A41,'List of Ledgers '!$G:$G,'P&amp;L'!W$6)</f>
        <v>0</v>
      </c>
      <c r="X41" s="5">
        <f t="shared" si="28"/>
        <v>14294.08</v>
      </c>
      <c r="Y41" s="7">
        <f t="shared" si="1"/>
        <v>0</v>
      </c>
    </row>
    <row r="42" spans="1:25" outlineLevel="1" x14ac:dyDescent="0.25">
      <c r="A42" s="4" t="s">
        <v>43</v>
      </c>
      <c r="B42" s="5">
        <f>SUMIFS('List of Ledgers '!$L:$L,'List of Ledgers '!$F:$F,'P&amp;L'!$A42,'List of Ledgers '!$G:$G,'P&amp;L'!B$6)</f>
        <v>0</v>
      </c>
      <c r="C42" s="5">
        <f>SUMIFS('List of Ledgers '!$L:$L,'List of Ledgers '!$F:$F,'P&amp;L'!$A42,'List of Ledgers '!$G:$G,'P&amp;L'!C$6)</f>
        <v>0</v>
      </c>
      <c r="D42" s="5">
        <f>SUMIFS('List of Ledgers '!$L:$L,'List of Ledgers '!$F:$F,'P&amp;L'!$A42,'List of Ledgers '!$G:$G,'P&amp;L'!D$6)</f>
        <v>0</v>
      </c>
      <c r="E42" s="5">
        <f>SUMIFS('List of Ledgers '!$L:$L,'List of Ledgers '!$F:$F,'P&amp;L'!$A42,'List of Ledgers '!$G:$G,'P&amp;L'!E$6)</f>
        <v>0</v>
      </c>
      <c r="F42" s="5">
        <f>SUMIFS('List of Ledgers '!$L:$L,'List of Ledgers '!$F:$F,'P&amp;L'!$A42,'List of Ledgers '!$G:$G,'P&amp;L'!F$6)</f>
        <v>0</v>
      </c>
      <c r="G42" s="5">
        <f>SUMIFS('List of Ledgers '!$L:$L,'List of Ledgers '!$F:$F,'P&amp;L'!$A42,'List of Ledgers '!$G:$G,'P&amp;L'!G$6)</f>
        <v>0</v>
      </c>
      <c r="H42" s="5">
        <f>SUMIFS('List of Ledgers '!$L:$L,'List of Ledgers '!$F:$F,'P&amp;L'!$A42,'List of Ledgers '!$G:$G,'P&amp;L'!H$6)</f>
        <v>0</v>
      </c>
      <c r="I42" s="5">
        <f>SUMIFS('List of Ledgers '!$L:$L,'List of Ledgers '!$F:$F,'P&amp;L'!$A42,'List of Ledgers '!$G:$G,'P&amp;L'!I$6)</f>
        <v>0</v>
      </c>
      <c r="J42" s="5">
        <f t="shared" si="24"/>
        <v>0</v>
      </c>
      <c r="K42" s="5">
        <f>SUMIFS('List of Ledgers '!$L:$L,'List of Ledgers '!$F:$F,'P&amp;L'!$A42,'List of Ledgers '!$G:$G,'P&amp;L'!$K$6)</f>
        <v>0</v>
      </c>
      <c r="L42" s="5">
        <f t="shared" si="27"/>
        <v>0</v>
      </c>
      <c r="N42" s="5">
        <f>SUMIFS('List of Ledgers '!$Q:$Q,'List of Ledgers '!$F:$F,'P&amp;L'!$A42,'List of Ledgers '!$G:$G,'P&amp;L'!N$6)</f>
        <v>0</v>
      </c>
      <c r="O42" s="5">
        <f>SUMIFS('List of Ledgers '!$Q:$Q,'List of Ledgers '!$F:$F,'P&amp;L'!$A42,'List of Ledgers '!$G:$G,'P&amp;L'!O$6)</f>
        <v>0</v>
      </c>
      <c r="P42" s="5">
        <f>SUMIFS('List of Ledgers '!$Q:$Q,'List of Ledgers '!$F:$F,'P&amp;L'!$A42,'List of Ledgers '!$G:$G,'P&amp;L'!P$6)</f>
        <v>0</v>
      </c>
      <c r="Q42" s="5">
        <f>SUMIFS('List of Ledgers '!$Q:$Q,'List of Ledgers '!$F:$F,'P&amp;L'!$A42,'List of Ledgers '!$G:$G,'P&amp;L'!Q$6)</f>
        <v>0</v>
      </c>
      <c r="R42" s="5">
        <f>SUMIFS('List of Ledgers '!$Q:$Q,'List of Ledgers '!$F:$F,'P&amp;L'!$A42,'List of Ledgers '!$G:$G,'P&amp;L'!R$6)</f>
        <v>0</v>
      </c>
      <c r="S42" s="5">
        <f>SUMIFS('List of Ledgers '!$Q:$Q,'List of Ledgers '!$F:$F,'P&amp;L'!$A42,'List of Ledgers '!$G:$G,'P&amp;L'!S$6)</f>
        <v>0</v>
      </c>
      <c r="T42" s="5">
        <f>SUMIFS('List of Ledgers '!$Q:$Q,'List of Ledgers '!$F:$F,'P&amp;L'!$A42,'List of Ledgers '!$G:$G,'P&amp;L'!T$6)</f>
        <v>0</v>
      </c>
      <c r="U42" s="5">
        <f>SUMIFS('List of Ledgers '!$Q:$Q,'List of Ledgers '!$F:$F,'P&amp;L'!$A42,'List of Ledgers '!$G:$G,'P&amp;L'!U$6)</f>
        <v>24600</v>
      </c>
      <c r="V42" s="5">
        <f t="shared" si="30"/>
        <v>24600</v>
      </c>
      <c r="W42" s="5">
        <f>SUMIFS('List of Ledgers '!$Q:$Q,'List of Ledgers '!$F:$F,'P&amp;L'!$A42,'List of Ledgers '!$G:$G,'P&amp;L'!W$6)</f>
        <v>0</v>
      </c>
      <c r="X42" s="5">
        <f t="shared" si="28"/>
        <v>24600</v>
      </c>
      <c r="Y42" s="7">
        <f t="shared" si="1"/>
        <v>0</v>
      </c>
    </row>
    <row r="43" spans="1:25" outlineLevel="1" x14ac:dyDescent="0.25">
      <c r="A43" s="4" t="s">
        <v>44</v>
      </c>
      <c r="B43" s="5">
        <f>SUMIFS('List of Ledgers '!$L:$L,'List of Ledgers '!$F:$F,'P&amp;L'!$A43,'List of Ledgers '!$G:$G,'P&amp;L'!B$6)</f>
        <v>0</v>
      </c>
      <c r="C43" s="5">
        <f>SUMIFS('List of Ledgers '!$L:$L,'List of Ledgers '!$F:$F,'P&amp;L'!$A43,'List of Ledgers '!$G:$G,'P&amp;L'!C$6)</f>
        <v>0</v>
      </c>
      <c r="D43" s="5">
        <f>SUMIFS('List of Ledgers '!$L:$L,'List of Ledgers '!$F:$F,'P&amp;L'!$A43,'List of Ledgers '!$G:$G,'P&amp;L'!D$6)</f>
        <v>0</v>
      </c>
      <c r="E43" s="5">
        <f>SUMIFS('List of Ledgers '!$L:$L,'List of Ledgers '!$F:$F,'P&amp;L'!$A43,'List of Ledgers '!$G:$G,'P&amp;L'!E$6)</f>
        <v>0</v>
      </c>
      <c r="F43" s="5">
        <f>SUMIFS('List of Ledgers '!$L:$L,'List of Ledgers '!$F:$F,'P&amp;L'!$A43,'List of Ledgers '!$G:$G,'P&amp;L'!F$6)</f>
        <v>0</v>
      </c>
      <c r="G43" s="5">
        <f>SUMIFS('List of Ledgers '!$L:$L,'List of Ledgers '!$F:$F,'P&amp;L'!$A43,'List of Ledgers '!$G:$G,'P&amp;L'!G$6)</f>
        <v>1324</v>
      </c>
      <c r="H43" s="5">
        <f>SUMIFS('List of Ledgers '!$L:$L,'List of Ledgers '!$F:$F,'P&amp;L'!$A43,'List of Ledgers '!$G:$G,'P&amp;L'!H$6)</f>
        <v>0</v>
      </c>
      <c r="I43" s="5">
        <f>SUMIFS('List of Ledgers '!$L:$L,'List of Ledgers '!$F:$F,'P&amp;L'!$A43,'List of Ledgers '!$G:$G,'P&amp;L'!I$6)</f>
        <v>7582.09</v>
      </c>
      <c r="J43" s="5">
        <f t="shared" si="24"/>
        <v>8906.09</v>
      </c>
      <c r="K43" s="5">
        <f>SUMIFS('List of Ledgers '!$L:$L,'List of Ledgers '!$F:$F,'P&amp;L'!$A43,'List of Ledgers '!$G:$G,'P&amp;L'!$K$6)</f>
        <v>0</v>
      </c>
      <c r="L43" s="5">
        <f t="shared" si="27"/>
        <v>8906.09</v>
      </c>
      <c r="N43" s="5">
        <f>SUMIFS('List of Ledgers '!$Q:$Q,'List of Ledgers '!$F:$F,'P&amp;L'!$A43,'List of Ledgers '!$G:$G,'P&amp;L'!N$6)</f>
        <v>0</v>
      </c>
      <c r="O43" s="5">
        <f>SUMIFS('List of Ledgers '!$Q:$Q,'List of Ledgers '!$F:$F,'P&amp;L'!$A43,'List of Ledgers '!$G:$G,'P&amp;L'!O$6)</f>
        <v>0</v>
      </c>
      <c r="P43" s="5">
        <f>SUMIFS('List of Ledgers '!$Q:$Q,'List of Ledgers '!$F:$F,'P&amp;L'!$A43,'List of Ledgers '!$G:$G,'P&amp;L'!P$6)</f>
        <v>0</v>
      </c>
      <c r="Q43" s="5">
        <f>SUMIFS('List of Ledgers '!$Q:$Q,'List of Ledgers '!$F:$F,'P&amp;L'!$A43,'List of Ledgers '!$G:$G,'P&amp;L'!Q$6)</f>
        <v>0</v>
      </c>
      <c r="R43" s="5">
        <f>SUMIFS('List of Ledgers '!$Q:$Q,'List of Ledgers '!$F:$F,'P&amp;L'!$A43,'List of Ledgers '!$G:$G,'P&amp;L'!R$6)</f>
        <v>0</v>
      </c>
      <c r="S43" s="5">
        <f>SUMIFS('List of Ledgers '!$Q:$Q,'List of Ledgers '!$F:$F,'P&amp;L'!$A43,'List of Ledgers '!$G:$G,'P&amp;L'!S$6)</f>
        <v>297018</v>
      </c>
      <c r="T43" s="5">
        <f>SUMIFS('List of Ledgers '!$Q:$Q,'List of Ledgers '!$F:$F,'P&amp;L'!$A43,'List of Ledgers '!$G:$G,'P&amp;L'!T$6)</f>
        <v>0</v>
      </c>
      <c r="U43" s="5">
        <f>SUMIFS('List of Ledgers '!$Q:$Q,'List of Ledgers '!$F:$F,'P&amp;L'!$A43,'List of Ledgers '!$G:$G,'P&amp;L'!U$6)</f>
        <v>44500.639999999999</v>
      </c>
      <c r="V43" s="5">
        <f t="shared" si="30"/>
        <v>341518.64</v>
      </c>
      <c r="W43" s="5">
        <f>SUMIFS('List of Ledgers '!$Q:$Q,'List of Ledgers '!$F:$F,'P&amp;L'!$A43,'List of Ledgers '!$G:$G,'P&amp;L'!W$6)</f>
        <v>0</v>
      </c>
      <c r="X43" s="5">
        <f t="shared" si="28"/>
        <v>341518.64</v>
      </c>
      <c r="Y43" s="7">
        <f t="shared" si="1"/>
        <v>0</v>
      </c>
    </row>
    <row r="44" spans="1:25" outlineLevel="1" x14ac:dyDescent="0.25">
      <c r="A44" s="4" t="s">
        <v>45</v>
      </c>
      <c r="B44" s="5">
        <f>SUMIFS('List of Ledgers '!$L:$L,'List of Ledgers '!$F:$F,'P&amp;L'!$A44,'List of Ledgers '!$G:$G,'P&amp;L'!B$6)</f>
        <v>0</v>
      </c>
      <c r="C44" s="5">
        <f>SUMIFS('List of Ledgers '!$L:$L,'List of Ledgers '!$F:$F,'P&amp;L'!$A44,'List of Ledgers '!$G:$G,'P&amp;L'!C$6)</f>
        <v>0</v>
      </c>
      <c r="D44" s="5">
        <f>SUMIFS('List of Ledgers '!$L:$L,'List of Ledgers '!$F:$F,'P&amp;L'!$A44,'List of Ledgers '!$G:$G,'P&amp;L'!D$6)</f>
        <v>0</v>
      </c>
      <c r="E44" s="5">
        <f>SUMIFS('List of Ledgers '!$L:$L,'List of Ledgers '!$F:$F,'P&amp;L'!$A44,'List of Ledgers '!$G:$G,'P&amp;L'!E$6)</f>
        <v>0</v>
      </c>
      <c r="F44" s="5">
        <f>SUMIFS('List of Ledgers '!$L:$L,'List of Ledgers '!$F:$F,'P&amp;L'!$A44,'List of Ledgers '!$G:$G,'P&amp;L'!F$6)</f>
        <v>0</v>
      </c>
      <c r="G44" s="5">
        <f>SUMIFS('List of Ledgers '!$L:$L,'List of Ledgers '!$F:$F,'P&amp;L'!$A44,'List of Ledgers '!$G:$G,'P&amp;L'!G$6)</f>
        <v>35265.56</v>
      </c>
      <c r="H44" s="5">
        <f>SUMIFS('List of Ledgers '!$L:$L,'List of Ledgers '!$F:$F,'P&amp;L'!$A44,'List of Ledgers '!$G:$G,'P&amp;L'!H$6)</f>
        <v>0</v>
      </c>
      <c r="I44" s="5">
        <f>SUMIFS('List of Ledgers '!$L:$L,'List of Ledgers '!$F:$F,'P&amp;L'!$A44,'List of Ledgers '!$G:$G,'P&amp;L'!I$6)</f>
        <v>350</v>
      </c>
      <c r="J44" s="5">
        <f t="shared" si="24"/>
        <v>35615.56</v>
      </c>
      <c r="K44" s="5">
        <f>SUMIFS('List of Ledgers '!$L:$L,'List of Ledgers '!$F:$F,'P&amp;L'!$A44,'List of Ledgers '!$G:$G,'P&amp;L'!$K$6)</f>
        <v>0</v>
      </c>
      <c r="L44" s="5">
        <f t="shared" si="27"/>
        <v>35615.56</v>
      </c>
      <c r="N44" s="5">
        <f>SUMIFS('List of Ledgers '!$Q:$Q,'List of Ledgers '!$F:$F,'P&amp;L'!$A44,'List of Ledgers '!$G:$G,'P&amp;L'!N$6)</f>
        <v>0</v>
      </c>
      <c r="O44" s="5">
        <f>SUMIFS('List of Ledgers '!$Q:$Q,'List of Ledgers '!$F:$F,'P&amp;L'!$A44,'List of Ledgers '!$G:$G,'P&amp;L'!O$6)</f>
        <v>0</v>
      </c>
      <c r="P44" s="5">
        <f>SUMIFS('List of Ledgers '!$Q:$Q,'List of Ledgers '!$F:$F,'P&amp;L'!$A44,'List of Ledgers '!$G:$G,'P&amp;L'!P$6)</f>
        <v>0</v>
      </c>
      <c r="Q44" s="5">
        <f>SUMIFS('List of Ledgers '!$Q:$Q,'List of Ledgers '!$F:$F,'P&amp;L'!$A44,'List of Ledgers '!$G:$G,'P&amp;L'!Q$6)</f>
        <v>0</v>
      </c>
      <c r="R44" s="5">
        <f>SUMIFS('List of Ledgers '!$Q:$Q,'List of Ledgers '!$F:$F,'P&amp;L'!$A44,'List of Ledgers '!$G:$G,'P&amp;L'!R$6)</f>
        <v>0</v>
      </c>
      <c r="S44" s="5">
        <f>SUMIFS('List of Ledgers '!$Q:$Q,'List of Ledgers '!$F:$F,'P&amp;L'!$A44,'List of Ledgers '!$G:$G,'P&amp;L'!S$6)</f>
        <v>162454.82</v>
      </c>
      <c r="T44" s="5">
        <f>SUMIFS('List of Ledgers '!$Q:$Q,'List of Ledgers '!$F:$F,'P&amp;L'!$A44,'List of Ledgers '!$G:$G,'P&amp;L'!T$6)</f>
        <v>0</v>
      </c>
      <c r="U44" s="5">
        <f>SUMIFS('List of Ledgers '!$Q:$Q,'List of Ledgers '!$F:$F,'P&amp;L'!$A44,'List of Ledgers '!$G:$G,'P&amp;L'!U$6)</f>
        <v>700</v>
      </c>
      <c r="V44" s="5">
        <f t="shared" si="30"/>
        <v>163154.82</v>
      </c>
      <c r="W44" s="5">
        <f>SUMIFS('List of Ledgers '!$Q:$Q,'List of Ledgers '!$F:$F,'P&amp;L'!$A44,'List of Ledgers '!$G:$G,'P&amp;L'!W$6)</f>
        <v>0</v>
      </c>
      <c r="X44" s="5">
        <f t="shared" si="28"/>
        <v>163154.82</v>
      </c>
      <c r="Y44" s="7">
        <f t="shared" si="1"/>
        <v>0</v>
      </c>
    </row>
    <row r="45" spans="1:25" outlineLevel="1" x14ac:dyDescent="0.25">
      <c r="A45" s="4" t="s">
        <v>46</v>
      </c>
      <c r="B45" s="5">
        <f>SUMIFS('List of Ledgers '!$L:$L,'List of Ledgers '!$F:$F,'P&amp;L'!$A45,'List of Ledgers '!$G:$G,'P&amp;L'!B$6)</f>
        <v>0</v>
      </c>
      <c r="C45" s="5">
        <f>SUMIFS('List of Ledgers '!$L:$L,'List of Ledgers '!$F:$F,'P&amp;L'!$A45,'List of Ledgers '!$G:$G,'P&amp;L'!C$6)</f>
        <v>0</v>
      </c>
      <c r="D45" s="5">
        <f>SUMIFS('List of Ledgers '!$L:$L,'List of Ledgers '!$F:$F,'P&amp;L'!$A45,'List of Ledgers '!$G:$G,'P&amp;L'!D$6)</f>
        <v>0</v>
      </c>
      <c r="E45" s="5">
        <f>SUMIFS('List of Ledgers '!$L:$L,'List of Ledgers '!$F:$F,'P&amp;L'!$A45,'List of Ledgers '!$G:$G,'P&amp;L'!E$6)</f>
        <v>0</v>
      </c>
      <c r="F45" s="5">
        <f>SUMIFS('List of Ledgers '!$L:$L,'List of Ledgers '!$F:$F,'P&amp;L'!$A45,'List of Ledgers '!$G:$G,'P&amp;L'!F$6)</f>
        <v>0</v>
      </c>
      <c r="G45" s="5">
        <f>SUMIFS('List of Ledgers '!$L:$L,'List of Ledgers '!$F:$F,'P&amp;L'!$A45,'List of Ledgers '!$G:$G,'P&amp;L'!G$6)</f>
        <v>400</v>
      </c>
      <c r="H45" s="5">
        <f>SUMIFS('List of Ledgers '!$L:$L,'List of Ledgers '!$F:$F,'P&amp;L'!$A45,'List of Ledgers '!$G:$G,'P&amp;L'!H$6)</f>
        <v>0</v>
      </c>
      <c r="I45" s="5">
        <f>SUMIFS('List of Ledgers '!$L:$L,'List of Ledgers '!$F:$F,'P&amp;L'!$A45,'List of Ledgers '!$G:$G,'P&amp;L'!I$6)</f>
        <v>0</v>
      </c>
      <c r="J45" s="5">
        <f t="shared" si="24"/>
        <v>400</v>
      </c>
      <c r="K45" s="5">
        <f>SUMIFS('List of Ledgers '!$L:$L,'List of Ledgers '!$F:$F,'P&amp;L'!$A45,'List of Ledgers '!$G:$G,'P&amp;L'!$K$6)</f>
        <v>0</v>
      </c>
      <c r="L45" s="5">
        <f t="shared" si="27"/>
        <v>400</v>
      </c>
      <c r="N45" s="5">
        <f>SUMIFS('List of Ledgers '!$Q:$Q,'List of Ledgers '!$F:$F,'P&amp;L'!$A45,'List of Ledgers '!$G:$G,'P&amp;L'!N$6)</f>
        <v>0</v>
      </c>
      <c r="O45" s="5">
        <f>SUMIFS('List of Ledgers '!$Q:$Q,'List of Ledgers '!$F:$F,'P&amp;L'!$A45,'List of Ledgers '!$G:$G,'P&amp;L'!O$6)</f>
        <v>0</v>
      </c>
      <c r="P45" s="5">
        <f>SUMIFS('List of Ledgers '!$Q:$Q,'List of Ledgers '!$F:$F,'P&amp;L'!$A45,'List of Ledgers '!$G:$G,'P&amp;L'!P$6)</f>
        <v>0</v>
      </c>
      <c r="Q45" s="5">
        <f>SUMIFS('List of Ledgers '!$Q:$Q,'List of Ledgers '!$F:$F,'P&amp;L'!$A45,'List of Ledgers '!$G:$G,'P&amp;L'!Q$6)</f>
        <v>0</v>
      </c>
      <c r="R45" s="5">
        <f>SUMIFS('List of Ledgers '!$Q:$Q,'List of Ledgers '!$F:$F,'P&amp;L'!$A45,'List of Ledgers '!$G:$G,'P&amp;L'!R$6)</f>
        <v>0</v>
      </c>
      <c r="S45" s="5">
        <f>SUMIFS('List of Ledgers '!$Q:$Q,'List of Ledgers '!$F:$F,'P&amp;L'!$A45,'List of Ledgers '!$G:$G,'P&amp;L'!S$6)</f>
        <v>700</v>
      </c>
      <c r="T45" s="5">
        <f>SUMIFS('List of Ledgers '!$Q:$Q,'List of Ledgers '!$F:$F,'P&amp;L'!$A45,'List of Ledgers '!$G:$G,'P&amp;L'!T$6)</f>
        <v>0</v>
      </c>
      <c r="U45" s="5">
        <f>SUMIFS('List of Ledgers '!$Q:$Q,'List of Ledgers '!$F:$F,'P&amp;L'!$A45,'List of Ledgers '!$G:$G,'P&amp;L'!U$6)</f>
        <v>0</v>
      </c>
      <c r="V45" s="5">
        <f t="shared" si="30"/>
        <v>700</v>
      </c>
      <c r="W45" s="5">
        <f>SUMIFS('List of Ledgers '!$Q:$Q,'List of Ledgers '!$F:$F,'P&amp;L'!$A45,'List of Ledgers '!$G:$G,'P&amp;L'!W$6)</f>
        <v>0</v>
      </c>
      <c r="X45" s="5">
        <f t="shared" si="28"/>
        <v>700</v>
      </c>
      <c r="Y45" s="7">
        <f t="shared" si="1"/>
        <v>0</v>
      </c>
    </row>
    <row r="46" spans="1:25" outlineLevel="1" x14ac:dyDescent="0.25">
      <c r="A46" s="4" t="s">
        <v>47</v>
      </c>
      <c r="B46" s="5">
        <f>SUMIFS('List of Ledgers '!$L:$L,'List of Ledgers '!$F:$F,'P&amp;L'!$A46,'List of Ledgers '!$G:$G,'P&amp;L'!B$6)</f>
        <v>0</v>
      </c>
      <c r="C46" s="5">
        <f>SUMIFS('List of Ledgers '!$L:$L,'List of Ledgers '!$F:$F,'P&amp;L'!$A46,'List of Ledgers '!$G:$G,'P&amp;L'!C$6)</f>
        <v>0</v>
      </c>
      <c r="D46" s="5">
        <f>SUMIFS('List of Ledgers '!$L:$L,'List of Ledgers '!$F:$F,'P&amp;L'!$A46,'List of Ledgers '!$G:$G,'P&amp;L'!D$6)</f>
        <v>0</v>
      </c>
      <c r="E46" s="5">
        <f>SUMIFS('List of Ledgers '!$L:$L,'List of Ledgers '!$F:$F,'P&amp;L'!$A46,'List of Ledgers '!$G:$G,'P&amp;L'!E$6)</f>
        <v>0</v>
      </c>
      <c r="F46" s="5">
        <f>SUMIFS('List of Ledgers '!$L:$L,'List of Ledgers '!$F:$F,'P&amp;L'!$A46,'List of Ledgers '!$G:$G,'P&amp;L'!F$6)</f>
        <v>0</v>
      </c>
      <c r="G46" s="5">
        <f>SUMIFS('List of Ledgers '!$L:$L,'List of Ledgers '!$F:$F,'P&amp;L'!$A46,'List of Ledgers '!$G:$G,'P&amp;L'!G$6)</f>
        <v>0</v>
      </c>
      <c r="H46" s="5">
        <f>SUMIFS('List of Ledgers '!$L:$L,'List of Ledgers '!$F:$F,'P&amp;L'!$A46,'List of Ledgers '!$G:$G,'P&amp;L'!H$6)</f>
        <v>0</v>
      </c>
      <c r="I46" s="5">
        <f>SUMIFS('List of Ledgers '!$L:$L,'List of Ledgers '!$F:$F,'P&amp;L'!$A46,'List of Ledgers '!$G:$G,'P&amp;L'!I$6)</f>
        <v>0</v>
      </c>
      <c r="J46" s="5">
        <f t="shared" si="24"/>
        <v>0</v>
      </c>
      <c r="K46" s="5">
        <f>SUMIFS('List of Ledgers '!$L:$L,'List of Ledgers '!$F:$F,'P&amp;L'!$A46,'List of Ledgers '!$G:$G,'P&amp;L'!$K$6)</f>
        <v>0</v>
      </c>
      <c r="L46" s="5">
        <f t="shared" ref="L46" si="32">J46+K46</f>
        <v>0</v>
      </c>
      <c r="N46" s="5">
        <f>SUMIFS('List of Ledgers '!$Q:$Q,'List of Ledgers '!$F:$F,'P&amp;L'!$A46,'List of Ledgers '!$G:$G,'P&amp;L'!N$6)</f>
        <v>0</v>
      </c>
      <c r="O46" s="5">
        <f>SUMIFS('List of Ledgers '!$Q:$Q,'List of Ledgers '!$F:$F,'P&amp;L'!$A46,'List of Ledgers '!$G:$G,'P&amp;L'!O$6)</f>
        <v>0</v>
      </c>
      <c r="P46" s="5">
        <f>SUMIFS('List of Ledgers '!$Q:$Q,'List of Ledgers '!$F:$F,'P&amp;L'!$A46,'List of Ledgers '!$G:$G,'P&amp;L'!P$6)</f>
        <v>0</v>
      </c>
      <c r="Q46" s="5">
        <f>SUMIFS('List of Ledgers '!$Q:$Q,'List of Ledgers '!$F:$F,'P&amp;L'!$A46,'List of Ledgers '!$G:$G,'P&amp;L'!Q$6)</f>
        <v>0</v>
      </c>
      <c r="R46" s="5">
        <f>SUMIFS('List of Ledgers '!$Q:$Q,'List of Ledgers '!$F:$F,'P&amp;L'!$A46,'List of Ledgers '!$G:$G,'P&amp;L'!R$6)</f>
        <v>0</v>
      </c>
      <c r="S46" s="5">
        <f>SUMIFS('List of Ledgers '!$Q:$Q,'List of Ledgers '!$F:$F,'P&amp;L'!$A46,'List of Ledgers '!$G:$G,'P&amp;L'!S$6)</f>
        <v>0</v>
      </c>
      <c r="T46" s="5">
        <f>SUMIFS('List of Ledgers '!$Q:$Q,'List of Ledgers '!$F:$F,'P&amp;L'!$A46,'List of Ledgers '!$G:$G,'P&amp;L'!T$6)</f>
        <v>0</v>
      </c>
      <c r="U46" s="5">
        <f>SUMIFS('List of Ledgers '!$Q:$Q,'List of Ledgers '!$F:$F,'P&amp;L'!$A46,'List of Ledgers '!$G:$G,'P&amp;L'!U$6)</f>
        <v>0</v>
      </c>
      <c r="V46" s="5">
        <f t="shared" si="30"/>
        <v>0</v>
      </c>
      <c r="W46" s="5">
        <f>SUMIFS('List of Ledgers '!$Q:$Q,'List of Ledgers '!$F:$F,'P&amp;L'!$A46,'List of Ledgers '!$G:$G,'P&amp;L'!W$6)</f>
        <v>0</v>
      </c>
      <c r="X46" s="5">
        <f t="shared" ref="X46" si="33">V46+W46</f>
        <v>0</v>
      </c>
      <c r="Y46" s="7">
        <f t="shared" si="1"/>
        <v>0</v>
      </c>
    </row>
    <row r="47" spans="1:25" outlineLevel="1" x14ac:dyDescent="0.25">
      <c r="A47" s="4" t="s">
        <v>48</v>
      </c>
      <c r="B47" s="5">
        <f>SUMIFS('List of Ledgers '!$L:$L,'List of Ledgers '!$F:$F,'P&amp;L'!$A47,'List of Ledgers '!$G:$G,'P&amp;L'!B$6)</f>
        <v>0</v>
      </c>
      <c r="C47" s="5">
        <f>SUMIFS('List of Ledgers '!$L:$L,'List of Ledgers '!$F:$F,'P&amp;L'!$A47,'List of Ledgers '!$G:$G,'P&amp;L'!C$6)</f>
        <v>0</v>
      </c>
      <c r="D47" s="5">
        <f>SUMIFS('List of Ledgers '!$L:$L,'List of Ledgers '!$F:$F,'P&amp;L'!$A47,'List of Ledgers '!$G:$G,'P&amp;L'!D$6)</f>
        <v>0</v>
      </c>
      <c r="E47" s="5">
        <f>SUMIFS('List of Ledgers '!$L:$L,'List of Ledgers '!$F:$F,'P&amp;L'!$A47,'List of Ledgers '!$G:$G,'P&amp;L'!E$6)</f>
        <v>0</v>
      </c>
      <c r="F47" s="5">
        <f>SUMIFS('List of Ledgers '!$L:$L,'List of Ledgers '!$F:$F,'P&amp;L'!$A47,'List of Ledgers '!$G:$G,'P&amp;L'!F$6)</f>
        <v>0</v>
      </c>
      <c r="G47" s="5">
        <f>SUMIFS('List of Ledgers '!$L:$L,'List of Ledgers '!$F:$F,'P&amp;L'!$A47,'List of Ledgers '!$G:$G,'P&amp;L'!G$6)</f>
        <v>0</v>
      </c>
      <c r="H47" s="5">
        <f>SUMIFS('List of Ledgers '!$L:$L,'List of Ledgers '!$F:$F,'P&amp;L'!$A47,'List of Ledgers '!$G:$G,'P&amp;L'!H$6)</f>
        <v>0</v>
      </c>
      <c r="I47" s="5">
        <f>SUMIFS('List of Ledgers '!$L:$L,'List of Ledgers '!$F:$F,'P&amp;L'!$A47,'List of Ledgers '!$G:$G,'P&amp;L'!I$6)</f>
        <v>0</v>
      </c>
      <c r="J47" s="5">
        <f t="shared" si="24"/>
        <v>0</v>
      </c>
      <c r="K47" s="5">
        <f>SUMIFS('List of Ledgers '!$L:$L,'List of Ledgers '!$F:$F,'P&amp;L'!$A47,'List of Ledgers '!$G:$G,'P&amp;L'!$K$6)</f>
        <v>0</v>
      </c>
      <c r="L47" s="5">
        <f>J47+K47</f>
        <v>0</v>
      </c>
      <c r="N47" s="5">
        <f>SUMIFS('List of Ledgers '!$Q:$Q,'List of Ledgers '!$F:$F,'P&amp;L'!$A47,'List of Ledgers '!$G:$G,'P&amp;L'!N$6)</f>
        <v>0</v>
      </c>
      <c r="O47" s="5">
        <f>SUMIFS('List of Ledgers '!$Q:$Q,'List of Ledgers '!$F:$F,'P&amp;L'!$A47,'List of Ledgers '!$G:$G,'P&amp;L'!O$6)</f>
        <v>0</v>
      </c>
      <c r="P47" s="5">
        <f>SUMIFS('List of Ledgers '!$Q:$Q,'List of Ledgers '!$F:$F,'P&amp;L'!$A47,'List of Ledgers '!$G:$G,'P&amp;L'!P$6)</f>
        <v>0</v>
      </c>
      <c r="Q47" s="5">
        <f>SUMIFS('List of Ledgers '!$Q:$Q,'List of Ledgers '!$F:$F,'P&amp;L'!$A47,'List of Ledgers '!$G:$G,'P&amp;L'!Q$6)</f>
        <v>0</v>
      </c>
      <c r="R47" s="5">
        <f>SUMIFS('List of Ledgers '!$Q:$Q,'List of Ledgers '!$F:$F,'P&amp;L'!$A47,'List of Ledgers '!$G:$G,'P&amp;L'!R$6)</f>
        <v>0</v>
      </c>
      <c r="S47" s="5">
        <f>SUMIFS('List of Ledgers '!$Q:$Q,'List of Ledgers '!$F:$F,'P&amp;L'!$A47,'List of Ledgers '!$G:$G,'P&amp;L'!S$6)</f>
        <v>0</v>
      </c>
      <c r="T47" s="5">
        <f>SUMIFS('List of Ledgers '!$Q:$Q,'List of Ledgers '!$F:$F,'P&amp;L'!$A47,'List of Ledgers '!$G:$G,'P&amp;L'!T$6)</f>
        <v>0</v>
      </c>
      <c r="U47" s="5">
        <f>SUMIFS('List of Ledgers '!$Q:$Q,'List of Ledgers '!$F:$F,'P&amp;L'!$A47,'List of Ledgers '!$G:$G,'P&amp;L'!U$6)</f>
        <v>0</v>
      </c>
      <c r="V47" s="5">
        <f t="shared" si="30"/>
        <v>0</v>
      </c>
      <c r="W47" s="5">
        <f>SUMIFS('List of Ledgers '!$Q:$Q,'List of Ledgers '!$F:$F,'P&amp;L'!$A47,'List of Ledgers '!$G:$G,'P&amp;L'!W$6)</f>
        <v>0</v>
      </c>
      <c r="X47" s="5">
        <f>V47+W47</f>
        <v>0</v>
      </c>
      <c r="Y47" s="7">
        <f t="shared" si="1"/>
        <v>0</v>
      </c>
    </row>
    <row r="48" spans="1:25" outlineLevel="1" x14ac:dyDescent="0.25">
      <c r="A48" s="4" t="s">
        <v>49</v>
      </c>
      <c r="B48" s="5">
        <f>SUMIFS('List of Ledgers '!$L:$L,'List of Ledgers '!$F:$F,'P&amp;L'!$A48,'List of Ledgers '!$G:$G,'P&amp;L'!B$6)</f>
        <v>0</v>
      </c>
      <c r="C48" s="5">
        <f>SUMIFS('List of Ledgers '!$L:$L,'List of Ledgers '!$F:$F,'P&amp;L'!$A48,'List of Ledgers '!$G:$G,'P&amp;L'!C$6)</f>
        <v>0</v>
      </c>
      <c r="D48" s="5">
        <f>SUMIFS('List of Ledgers '!$L:$L,'List of Ledgers '!$F:$F,'P&amp;L'!$A48,'List of Ledgers '!$G:$G,'P&amp;L'!D$6)</f>
        <v>0</v>
      </c>
      <c r="E48" s="5">
        <f>SUMIFS('List of Ledgers '!$L:$L,'List of Ledgers '!$F:$F,'P&amp;L'!$A48,'List of Ledgers '!$G:$G,'P&amp;L'!E$6)</f>
        <v>0</v>
      </c>
      <c r="F48" s="5">
        <f>SUMIFS('List of Ledgers '!$L:$L,'List of Ledgers '!$F:$F,'P&amp;L'!$A48,'List of Ledgers '!$G:$G,'P&amp;L'!F$6)</f>
        <v>0</v>
      </c>
      <c r="G48" s="5">
        <f>SUMIFS('List of Ledgers '!$L:$L,'List of Ledgers '!$F:$F,'P&amp;L'!$A48,'List of Ledgers '!$G:$G,'P&amp;L'!G$6)</f>
        <v>8470</v>
      </c>
      <c r="H48" s="5">
        <f>SUMIFS('List of Ledgers '!$L:$L,'List of Ledgers '!$F:$F,'P&amp;L'!$A48,'List of Ledgers '!$G:$G,'P&amp;L'!H$6)</f>
        <v>0</v>
      </c>
      <c r="I48" s="5">
        <f>SUMIFS('List of Ledgers '!$L:$L,'List of Ledgers '!$F:$F,'P&amp;L'!$A48,'List of Ledgers '!$G:$G,'P&amp;L'!I$6)</f>
        <v>1160</v>
      </c>
      <c r="J48" s="5">
        <f t="shared" si="24"/>
        <v>9630</v>
      </c>
      <c r="K48" s="5">
        <f>SUMIFS('List of Ledgers '!$L:$L,'List of Ledgers '!$F:$F,'P&amp;L'!$A48,'List of Ledgers '!$G:$G,'P&amp;L'!$K$6)</f>
        <v>0</v>
      </c>
      <c r="L48" s="5">
        <f t="shared" si="27"/>
        <v>9630</v>
      </c>
      <c r="N48" s="5">
        <f>SUMIFS('List of Ledgers '!$Q:$Q,'List of Ledgers '!$F:$F,'P&amp;L'!$A48,'List of Ledgers '!$G:$G,'P&amp;L'!N$6)</f>
        <v>1590</v>
      </c>
      <c r="O48" s="5">
        <f>SUMIFS('List of Ledgers '!$Q:$Q,'List of Ledgers '!$F:$F,'P&amp;L'!$A48,'List of Ledgers '!$G:$G,'P&amp;L'!O$6)</f>
        <v>0</v>
      </c>
      <c r="P48" s="5">
        <f>SUMIFS('List of Ledgers '!$Q:$Q,'List of Ledgers '!$F:$F,'P&amp;L'!$A48,'List of Ledgers '!$G:$G,'P&amp;L'!P$6)</f>
        <v>0</v>
      </c>
      <c r="Q48" s="5">
        <f>SUMIFS('List of Ledgers '!$Q:$Q,'List of Ledgers '!$F:$F,'P&amp;L'!$A48,'List of Ledgers '!$G:$G,'P&amp;L'!Q$6)</f>
        <v>0</v>
      </c>
      <c r="R48" s="5">
        <f>SUMIFS('List of Ledgers '!$Q:$Q,'List of Ledgers '!$F:$F,'P&amp;L'!$A48,'List of Ledgers '!$G:$G,'P&amp;L'!R$6)</f>
        <v>0</v>
      </c>
      <c r="S48" s="5">
        <f>SUMIFS('List of Ledgers '!$Q:$Q,'List of Ledgers '!$F:$F,'P&amp;L'!$A48,'List of Ledgers '!$G:$G,'P&amp;L'!S$6)</f>
        <v>136950</v>
      </c>
      <c r="T48" s="5">
        <f>SUMIFS('List of Ledgers '!$Q:$Q,'List of Ledgers '!$F:$F,'P&amp;L'!$A48,'List of Ledgers '!$G:$G,'P&amp;L'!T$6)</f>
        <v>0</v>
      </c>
      <c r="U48" s="5">
        <f>SUMIFS('List of Ledgers '!$Q:$Q,'List of Ledgers '!$F:$F,'P&amp;L'!$A48,'List of Ledgers '!$G:$G,'P&amp;L'!U$6)</f>
        <v>2210</v>
      </c>
      <c r="V48" s="5">
        <f t="shared" si="30"/>
        <v>140750</v>
      </c>
      <c r="W48" s="5">
        <f>SUMIFS('List of Ledgers '!$Q:$Q,'List of Ledgers '!$F:$F,'P&amp;L'!$A48,'List of Ledgers '!$G:$G,'P&amp;L'!W$6)</f>
        <v>0</v>
      </c>
      <c r="X48" s="5">
        <f t="shared" si="28"/>
        <v>140750</v>
      </c>
      <c r="Y48" s="7">
        <f t="shared" si="1"/>
        <v>0</v>
      </c>
    </row>
    <row r="49" spans="1:25" outlineLevel="1" x14ac:dyDescent="0.25">
      <c r="A49" s="4" t="s">
        <v>51</v>
      </c>
      <c r="B49" s="5">
        <f>SUMIFS('List of Ledgers '!$L:$L,'List of Ledgers '!$F:$F,'P&amp;L'!$A49,'List of Ledgers '!$G:$G,'P&amp;L'!B$6)</f>
        <v>0</v>
      </c>
      <c r="C49" s="5">
        <f>SUMIFS('List of Ledgers '!$L:$L,'List of Ledgers '!$F:$F,'P&amp;L'!$A49,'List of Ledgers '!$G:$G,'P&amp;L'!C$6)</f>
        <v>0</v>
      </c>
      <c r="D49" s="5">
        <f>SUMIFS('List of Ledgers '!$L:$L,'List of Ledgers '!$F:$F,'P&amp;L'!$A49,'List of Ledgers '!$G:$G,'P&amp;L'!D$6)</f>
        <v>0</v>
      </c>
      <c r="E49" s="5">
        <f>SUMIFS('List of Ledgers '!$L:$L,'List of Ledgers '!$F:$F,'P&amp;L'!$A49,'List of Ledgers '!$G:$G,'P&amp;L'!E$6)</f>
        <v>0</v>
      </c>
      <c r="F49" s="5">
        <f>SUMIFS('List of Ledgers '!$L:$L,'List of Ledgers '!$F:$F,'P&amp;L'!$A49,'List of Ledgers '!$G:$G,'P&amp;L'!F$6)</f>
        <v>0</v>
      </c>
      <c r="G49" s="5">
        <f>SUMIFS('List of Ledgers '!$L:$L,'List of Ledgers '!$F:$F,'P&amp;L'!$A49,'List of Ledgers '!$G:$G,'P&amp;L'!G$6)</f>
        <v>5000</v>
      </c>
      <c r="H49" s="5">
        <f>SUMIFS('List of Ledgers '!$L:$L,'List of Ledgers '!$F:$F,'P&amp;L'!$A49,'List of Ledgers '!$G:$G,'P&amp;L'!H$6)</f>
        <v>0</v>
      </c>
      <c r="I49" s="5">
        <f>SUMIFS('List of Ledgers '!$L:$L,'List of Ledgers '!$F:$F,'P&amp;L'!$A49,'List of Ledgers '!$G:$G,'P&amp;L'!I$6)</f>
        <v>0</v>
      </c>
      <c r="J49" s="5">
        <f t="shared" si="24"/>
        <v>5000</v>
      </c>
      <c r="K49" s="5">
        <f>SUMIFS('List of Ledgers '!$L:$L,'List of Ledgers '!$F:$F,'P&amp;L'!$A49,'List of Ledgers '!$G:$G,'P&amp;L'!$K$6)</f>
        <v>0</v>
      </c>
      <c r="L49" s="5">
        <f>J49+K49</f>
        <v>5000</v>
      </c>
      <c r="N49" s="5">
        <f>SUMIFS('List of Ledgers '!$Q:$Q,'List of Ledgers '!$F:$F,'P&amp;L'!$A49,'List of Ledgers '!$G:$G,'P&amp;L'!N$6)</f>
        <v>0</v>
      </c>
      <c r="O49" s="5">
        <f>SUMIFS('List of Ledgers '!$Q:$Q,'List of Ledgers '!$F:$F,'P&amp;L'!$A49,'List of Ledgers '!$G:$G,'P&amp;L'!O$6)</f>
        <v>0</v>
      </c>
      <c r="P49" s="5">
        <f>SUMIFS('List of Ledgers '!$Q:$Q,'List of Ledgers '!$F:$F,'P&amp;L'!$A49,'List of Ledgers '!$G:$G,'P&amp;L'!P$6)</f>
        <v>0</v>
      </c>
      <c r="Q49" s="5">
        <f>SUMIFS('List of Ledgers '!$Q:$Q,'List of Ledgers '!$F:$F,'P&amp;L'!$A49,'List of Ledgers '!$G:$G,'P&amp;L'!Q$6)</f>
        <v>0</v>
      </c>
      <c r="R49" s="5">
        <f>SUMIFS('List of Ledgers '!$Q:$Q,'List of Ledgers '!$F:$F,'P&amp;L'!$A49,'List of Ledgers '!$G:$G,'P&amp;L'!R$6)</f>
        <v>0</v>
      </c>
      <c r="S49" s="5">
        <f>SUMIFS('List of Ledgers '!$Q:$Q,'List of Ledgers '!$F:$F,'P&amp;L'!$A49,'List of Ledgers '!$G:$G,'P&amp;L'!S$6)</f>
        <v>35542</v>
      </c>
      <c r="T49" s="5">
        <f>SUMIFS('List of Ledgers '!$Q:$Q,'List of Ledgers '!$F:$F,'P&amp;L'!$A49,'List of Ledgers '!$G:$G,'P&amp;L'!T$6)</f>
        <v>0</v>
      </c>
      <c r="U49" s="5">
        <f>SUMIFS('List of Ledgers '!$Q:$Q,'List of Ledgers '!$F:$F,'P&amp;L'!$A49,'List of Ledgers '!$G:$G,'P&amp;L'!U$6)</f>
        <v>0</v>
      </c>
      <c r="V49" s="5">
        <f t="shared" si="30"/>
        <v>35542</v>
      </c>
      <c r="W49" s="5">
        <f>SUMIFS('List of Ledgers '!$Q:$Q,'List of Ledgers '!$F:$F,'P&amp;L'!$A49,'List of Ledgers '!$G:$G,'P&amp;L'!W$6)</f>
        <v>0</v>
      </c>
      <c r="X49" s="5">
        <f>V49+W49</f>
        <v>35542</v>
      </c>
      <c r="Y49" s="7">
        <f t="shared" si="1"/>
        <v>0</v>
      </c>
    </row>
    <row r="50" spans="1:25" outlineLevel="1" x14ac:dyDescent="0.25">
      <c r="A50" s="4" t="s">
        <v>1412</v>
      </c>
      <c r="B50" s="5">
        <f>SUMIFS('List of Ledgers '!$L:$L,'List of Ledgers '!$F:$F,'P&amp;L'!$A50,'List of Ledgers '!$G:$G,'P&amp;L'!B$6)</f>
        <v>0</v>
      </c>
      <c r="C50" s="5">
        <f>SUMIFS('List of Ledgers '!$L:$L,'List of Ledgers '!$F:$F,'P&amp;L'!$A50,'List of Ledgers '!$G:$G,'P&amp;L'!C$6)</f>
        <v>0</v>
      </c>
      <c r="D50" s="5">
        <f>SUMIFS('List of Ledgers '!$L:$L,'List of Ledgers '!$F:$F,'P&amp;L'!$A50,'List of Ledgers '!$G:$G,'P&amp;L'!D$6)</f>
        <v>7012</v>
      </c>
      <c r="E50" s="5">
        <f>SUMIFS('List of Ledgers '!$L:$L,'List of Ledgers '!$F:$F,'P&amp;L'!$A50,'List of Ledgers '!$G:$G,'P&amp;L'!E$6)</f>
        <v>0</v>
      </c>
      <c r="F50" s="5">
        <f>SUMIFS('List of Ledgers '!$L:$L,'List of Ledgers '!$F:$F,'P&amp;L'!$A50,'List of Ledgers '!$G:$G,'P&amp;L'!F$6)</f>
        <v>0</v>
      </c>
      <c r="G50" s="5">
        <f>SUMIFS('List of Ledgers '!$L:$L,'List of Ledgers '!$F:$F,'P&amp;L'!$A50,'List of Ledgers '!$G:$G,'P&amp;L'!G$6)</f>
        <v>0</v>
      </c>
      <c r="H50" s="5">
        <f>SUMIFS('List of Ledgers '!$L:$L,'List of Ledgers '!$F:$F,'P&amp;L'!$A50,'List of Ledgers '!$G:$G,'P&amp;L'!H$6)</f>
        <v>0</v>
      </c>
      <c r="I50" s="5">
        <f>SUMIFS('List of Ledgers '!$L:$L,'List of Ledgers '!$F:$F,'P&amp;L'!$A50,'List of Ledgers '!$G:$G,'P&amp;L'!I$6)</f>
        <v>0</v>
      </c>
      <c r="J50" s="5">
        <f t="shared" si="24"/>
        <v>7012</v>
      </c>
      <c r="K50" s="5">
        <f>SUMIFS('List of Ledgers '!$L:$L,'List of Ledgers '!$F:$F,'P&amp;L'!$A50,'List of Ledgers '!$G:$G,'P&amp;L'!$K$6)</f>
        <v>0</v>
      </c>
      <c r="L50" s="5">
        <f t="shared" si="27"/>
        <v>7012</v>
      </c>
      <c r="N50" s="5">
        <f>SUMIFS('List of Ledgers '!$Q:$Q,'List of Ledgers '!$F:$F,'P&amp;L'!$A50,'List of Ledgers '!$G:$G,'P&amp;L'!N$6)</f>
        <v>0</v>
      </c>
      <c r="O50" s="5">
        <f>SUMIFS('List of Ledgers '!$Q:$Q,'List of Ledgers '!$F:$F,'P&amp;L'!$A50,'List of Ledgers '!$G:$G,'P&amp;L'!O$6)</f>
        <v>0</v>
      </c>
      <c r="P50" s="5">
        <f>SUMIFS('List of Ledgers '!$Q:$Q,'List of Ledgers '!$F:$F,$A$50,'List of Ledgers '!$G:$G,P6,'List of Ledgers '!E:E,A35)</f>
        <v>191038</v>
      </c>
      <c r="Q50" s="5">
        <f>SUMIFS('List of Ledgers '!$Q:$Q,'List of Ledgers '!$F:$F,'P&amp;L'!$A50,'List of Ledgers '!$G:$G,'P&amp;L'!Q$6)</f>
        <v>0</v>
      </c>
      <c r="R50" s="5">
        <f>SUMIFS('List of Ledgers '!$Q:$Q,'List of Ledgers '!$F:$F,'P&amp;L'!$A50,'List of Ledgers '!$G:$G,'P&amp;L'!R$6)</f>
        <v>0</v>
      </c>
      <c r="S50" s="5">
        <f>SUMIFS('List of Ledgers '!$Q:$Q,'List of Ledgers '!$F:$F,$A$50,'List of Ledgers '!$G:$G,S6,'List of Ledgers '!E:E,A35)</f>
        <v>207364.84</v>
      </c>
      <c r="T50" s="5">
        <f>SUMIFS('List of Ledgers '!$Q:$Q,'List of Ledgers '!$F:$F,'P&amp;L'!$A50,'List of Ledgers '!$G:$G,'P&amp;L'!T$6)</f>
        <v>0</v>
      </c>
      <c r="U50" s="5">
        <f>SUMIFS('List of Ledgers '!$Q:$Q,'List of Ledgers '!$F:$F,'P&amp;L'!$A50,'List of Ledgers '!$G:$G,'P&amp;L'!U$6)</f>
        <v>0</v>
      </c>
      <c r="V50" s="5">
        <f>SUM(N50:U50)</f>
        <v>398402.83999999997</v>
      </c>
      <c r="W50" s="5">
        <f>SUMIFS('List of Ledgers '!$Q:$Q,'List of Ledgers '!$F:$F,'P&amp;L'!$A50,'List of Ledgers '!$G:$G,'P&amp;L'!W$6)</f>
        <v>0</v>
      </c>
      <c r="X50" s="5">
        <f t="shared" si="28"/>
        <v>398402.83999999997</v>
      </c>
      <c r="Y50" s="7">
        <f t="shared" si="1"/>
        <v>0</v>
      </c>
    </row>
    <row r="51" spans="1:25" outlineLevel="1" x14ac:dyDescent="0.25">
      <c r="A51" s="4" t="s">
        <v>53</v>
      </c>
      <c r="B51" s="5">
        <f>SUMIFS('List of Ledgers '!$L:$L,'List of Ledgers '!$F:$F,'P&amp;L'!$A51,'List of Ledgers '!$G:$G,'P&amp;L'!B$6)</f>
        <v>0</v>
      </c>
      <c r="C51" s="5">
        <f>SUMIFS('List of Ledgers '!$L:$L,'List of Ledgers '!$F:$F,'P&amp;L'!$A51,'List of Ledgers '!$G:$G,'P&amp;L'!C$6)</f>
        <v>0</v>
      </c>
      <c r="D51" s="5">
        <f>SUMIFS('List of Ledgers '!$L:$L,'List of Ledgers '!$F:$F,'P&amp;L'!$A51,'List of Ledgers '!$G:$G,'P&amp;L'!D$6)</f>
        <v>0</v>
      </c>
      <c r="E51" s="5">
        <f>SUMIFS('List of Ledgers '!$L:$L,'List of Ledgers '!$F:$F,'P&amp;L'!$A51,'List of Ledgers '!$G:$G,'P&amp;L'!E$6)</f>
        <v>0</v>
      </c>
      <c r="F51" s="5">
        <f>SUMIFS('List of Ledgers '!$L:$L,'List of Ledgers '!$F:$F,'P&amp;L'!$A51,'List of Ledgers '!$G:$G,'P&amp;L'!F$6)</f>
        <v>0</v>
      </c>
      <c r="G51" s="5">
        <f>SUMIFS('List of Ledgers '!$L:$L,'List of Ledgers '!$F:$F,'P&amp;L'!$A51,'List of Ledgers '!$G:$G,'P&amp;L'!G$6)</f>
        <v>2632602</v>
      </c>
      <c r="H51" s="5">
        <f>SUMIFS('List of Ledgers '!$L:$L,'List of Ledgers '!$F:$F,'P&amp;L'!$A51,'List of Ledgers '!$G:$G,'P&amp;L'!H$6)</f>
        <v>0</v>
      </c>
      <c r="I51" s="5">
        <f>SUMIFS('List of Ledgers '!$L:$L,'List of Ledgers '!$F:$F,'P&amp;L'!$A51,'List of Ledgers '!$G:$G,'P&amp;L'!I$6)</f>
        <v>0</v>
      </c>
      <c r="J51" s="5">
        <f t="shared" si="24"/>
        <v>2632602</v>
      </c>
      <c r="K51" s="5">
        <f>SUMIFS('List of Ledgers '!$L:$L,'List of Ledgers '!$F:$F,'P&amp;L'!$A51,'List of Ledgers '!$G:$G,'P&amp;L'!$K$6)</f>
        <v>0</v>
      </c>
      <c r="L51" s="5">
        <f t="shared" ref="L51" si="34">J51+K51</f>
        <v>2632602</v>
      </c>
      <c r="N51" s="5">
        <f>SUMIFS('List of Ledgers '!$Q:$Q,'List of Ledgers '!$F:$F,'P&amp;L'!$A51,'List of Ledgers '!$G:$G,'P&amp;L'!N$6)</f>
        <v>0</v>
      </c>
      <c r="O51" s="5">
        <f>SUMIFS('List of Ledgers '!$Q:$Q,'List of Ledgers '!$F:$F,'P&amp;L'!$A51,'List of Ledgers '!$G:$G,'P&amp;L'!O$6)</f>
        <v>0</v>
      </c>
      <c r="P51" s="5">
        <f>SUMIFS('List of Ledgers '!$Q:$Q,'List of Ledgers '!$F:$F,'P&amp;L'!$A51,'List of Ledgers '!$G:$G,'P&amp;L'!P$6)</f>
        <v>0</v>
      </c>
      <c r="Q51" s="5">
        <f>SUMIFS('List of Ledgers '!$Q:$Q,'List of Ledgers '!$F:$F,'P&amp;L'!$A51,'List of Ledgers '!$G:$G,'P&amp;L'!Q$6)</f>
        <v>0</v>
      </c>
      <c r="R51" s="5">
        <f>SUMIFS('List of Ledgers '!$Q:$Q,'List of Ledgers '!$F:$F,'P&amp;L'!$A51,'List of Ledgers '!$G:$G,'P&amp;L'!R$6)</f>
        <v>0</v>
      </c>
      <c r="S51" s="5">
        <f>SUMIFS('List of Ledgers '!$Q:$Q,'List of Ledgers '!$F:$F,'P&amp;L'!$A51,'List of Ledgers '!$G:$G,'P&amp;L'!S$6)</f>
        <v>2632602</v>
      </c>
      <c r="T51" s="5">
        <f>SUMIFS('List of Ledgers '!$Q:$Q,'List of Ledgers '!$F:$F,'P&amp;L'!$A51,'List of Ledgers '!$G:$G,'P&amp;L'!T$6)</f>
        <v>0</v>
      </c>
      <c r="U51" s="5">
        <f>SUMIFS('List of Ledgers '!$Q:$Q,'List of Ledgers '!$F:$F,'P&amp;L'!$A51,'List of Ledgers '!$G:$G,'P&amp;L'!U$6)</f>
        <v>0</v>
      </c>
      <c r="V51" s="5">
        <f t="shared" si="30"/>
        <v>2632602</v>
      </c>
      <c r="W51" s="5">
        <f>SUMIFS('List of Ledgers '!$Q:$Q,'List of Ledgers '!$F:$F,'P&amp;L'!$A51,'List of Ledgers '!$G:$G,'P&amp;L'!W$6)</f>
        <v>0</v>
      </c>
      <c r="X51" s="5">
        <f t="shared" ref="X51" si="35">V51+W51</f>
        <v>2632602</v>
      </c>
      <c r="Y51" s="7">
        <f t="shared" si="1"/>
        <v>0</v>
      </c>
    </row>
    <row r="52" spans="1:25" outlineLevel="1" x14ac:dyDescent="0.25">
      <c r="A52" s="4" t="s">
        <v>54</v>
      </c>
      <c r="B52" s="5">
        <f>SUMIFS('List of Ledgers '!$L:$L,'List of Ledgers '!$F:$F,'P&amp;L'!$A52,'List of Ledgers '!$G:$G,'P&amp;L'!B$6)</f>
        <v>0</v>
      </c>
      <c r="C52" s="5">
        <f>SUMIFS('List of Ledgers '!$L:$L,'List of Ledgers '!$F:$F,'P&amp;L'!$A52,'List of Ledgers '!$G:$G,'P&amp;L'!C$6)</f>
        <v>0</v>
      </c>
      <c r="D52" s="5">
        <f>SUMIFS('List of Ledgers '!$L:$L,'List of Ledgers '!$F:$F,'P&amp;L'!$A52,'List of Ledgers '!$G:$G,'P&amp;L'!D$6)</f>
        <v>0</v>
      </c>
      <c r="E52" s="5">
        <f>SUMIFS('List of Ledgers '!$L:$L,'List of Ledgers '!$F:$F,'P&amp;L'!$A52,'List of Ledgers '!$G:$G,'P&amp;L'!E$6)</f>
        <v>0</v>
      </c>
      <c r="F52" s="5">
        <f>SUMIFS('List of Ledgers '!$L:$L,'List of Ledgers '!$F:$F,'P&amp;L'!$A52,'List of Ledgers '!$G:$G,'P&amp;L'!F$6)</f>
        <v>0</v>
      </c>
      <c r="G52" s="5">
        <f>SUMIFS('List of Ledgers '!$L:$L,'List of Ledgers '!$F:$F,'P&amp;L'!$A52,'List of Ledgers '!$G:$G,'P&amp;L'!G$6)</f>
        <v>0</v>
      </c>
      <c r="H52" s="5">
        <f>SUMIFS('List of Ledgers '!$L:$L,'List of Ledgers '!$F:$F,'P&amp;L'!$A52,'List of Ledgers '!$G:$G,'P&amp;L'!H$6)</f>
        <v>0</v>
      </c>
      <c r="I52" s="5">
        <f>SUMIFS('List of Ledgers '!$L:$L,'List of Ledgers '!$F:$F,'P&amp;L'!$A52,'List of Ledgers '!$G:$G,'P&amp;L'!I$6)</f>
        <v>260000</v>
      </c>
      <c r="J52" s="5">
        <f t="shared" si="24"/>
        <v>260000</v>
      </c>
      <c r="K52" s="5">
        <f>SUMIFS('List of Ledgers '!$L:$L,'List of Ledgers '!$F:$F,'P&amp;L'!$A52,'List of Ledgers '!$G:$G,'P&amp;L'!$K$6)</f>
        <v>0</v>
      </c>
      <c r="L52" s="5">
        <f t="shared" si="27"/>
        <v>260000</v>
      </c>
      <c r="N52" s="5">
        <f>SUMIFS('List of Ledgers '!$Q:$Q,'List of Ledgers '!$F:$F,'P&amp;L'!$A52,'List of Ledgers '!$G:$G,'P&amp;L'!N$6)</f>
        <v>13260</v>
      </c>
      <c r="O52" s="5">
        <f>SUMIFS('List of Ledgers '!$Q:$Q,'List of Ledgers '!$F:$F,'P&amp;L'!$A52,'List of Ledgers '!$G:$G,'P&amp;L'!O$6)</f>
        <v>0</v>
      </c>
      <c r="P52" s="5">
        <f>SUMIFS('List of Ledgers '!$Q:$Q,'List of Ledgers '!$F:$F,'P&amp;L'!$A52,'List of Ledgers '!$G:$G,'P&amp;L'!P$6)</f>
        <v>0</v>
      </c>
      <c r="Q52" s="5">
        <f>SUMIFS('List of Ledgers '!$Q:$Q,'List of Ledgers '!$F:$F,'P&amp;L'!$A52,'List of Ledgers '!$G:$G,'P&amp;L'!Q$6)</f>
        <v>0</v>
      </c>
      <c r="R52" s="5">
        <f>SUMIFS('List of Ledgers '!$Q:$Q,'List of Ledgers '!$F:$F,'P&amp;L'!$A52,'List of Ledgers '!$G:$G,'P&amp;L'!R$6)</f>
        <v>0</v>
      </c>
      <c r="S52" s="5">
        <f>SUMIFS('List of Ledgers '!$Q:$Q,'List of Ledgers '!$F:$F,'P&amp;L'!$A52,'List of Ledgers '!$G:$G,'P&amp;L'!S$6)</f>
        <v>0</v>
      </c>
      <c r="T52" s="5">
        <f>SUMIFS('List of Ledgers '!$Q:$Q,'List of Ledgers '!$F:$F,'P&amp;L'!$A52,'List of Ledgers '!$G:$G,'P&amp;L'!T$6)</f>
        <v>0</v>
      </c>
      <c r="U52" s="5">
        <f>SUMIFS('List of Ledgers '!$Q:$Q,'List of Ledgers '!$F:$F,'P&amp;L'!$A52,'List of Ledgers '!$G:$G,'P&amp;L'!U$6)</f>
        <v>260500</v>
      </c>
      <c r="V52" s="5">
        <f t="shared" si="30"/>
        <v>273760</v>
      </c>
      <c r="W52" s="5">
        <f>SUMIFS('List of Ledgers '!$Q:$Q,'List of Ledgers '!$F:$F,'P&amp;L'!$A52,'List of Ledgers '!$G:$G,'P&amp;L'!W$6)</f>
        <v>0</v>
      </c>
      <c r="X52" s="5">
        <f t="shared" si="28"/>
        <v>273760</v>
      </c>
      <c r="Y52" s="7">
        <f t="shared" si="1"/>
        <v>0</v>
      </c>
    </row>
    <row r="53" spans="1:25" outlineLevel="1" x14ac:dyDescent="0.25">
      <c r="A53" s="4" t="s">
        <v>56</v>
      </c>
      <c r="B53" s="57">
        <f>SUMIFS('List of Ledgers '!$L:$L,'List of Ledgers '!$F:$F,'P&amp;L'!$A53,'List of Ledgers '!$G:$G,'P&amp;L'!B$6)</f>
        <v>0</v>
      </c>
      <c r="C53" s="57">
        <f>SUMIFS('List of Ledgers '!$L:$L,'List of Ledgers '!$F:$F,'P&amp;L'!$A53,'List of Ledgers '!$G:$G,'P&amp;L'!C$6)</f>
        <v>0</v>
      </c>
      <c r="D53" s="57">
        <f>SUMIFS('List of Ledgers '!$L:$L,'List of Ledgers '!$F:$F,'P&amp;L'!$A53,'List of Ledgers '!$G:$G,'P&amp;L'!D$6)</f>
        <v>0</v>
      </c>
      <c r="E53" s="57">
        <f>SUMIFS('List of Ledgers '!$L:$L,'List of Ledgers '!$F:$F,'P&amp;L'!$A53,'List of Ledgers '!$G:$G,'P&amp;L'!E$6)</f>
        <v>0</v>
      </c>
      <c r="F53" s="57">
        <f>SUMIFS('List of Ledgers '!$L:$L,'List of Ledgers '!$F:$F,'P&amp;L'!$A53,'List of Ledgers '!$G:$G,'P&amp;L'!F$6)</f>
        <v>0</v>
      </c>
      <c r="G53" s="57">
        <f>SUMIFS('List of Ledgers '!$L:$L,'List of Ledgers '!$F:$F,'P&amp;L'!$A53,'List of Ledgers '!$G:$G,'P&amp;L'!G$6)</f>
        <v>4440.55</v>
      </c>
      <c r="H53" s="57">
        <f>SUMIFS('List of Ledgers '!$L:$L,'List of Ledgers '!$F:$F,'P&amp;L'!$A53,'List of Ledgers '!$G:$G,'P&amp;L'!H$6)</f>
        <v>10000</v>
      </c>
      <c r="I53" s="57">
        <f>SUMIFS('List of Ledgers '!$L:$L,'List of Ledgers '!$F:$F,'P&amp;L'!$A53,'List of Ledgers '!$G:$G,'P&amp;L'!I$6)</f>
        <v>9300</v>
      </c>
      <c r="J53" s="5">
        <f t="shared" si="24"/>
        <v>23740.55</v>
      </c>
      <c r="K53" s="57">
        <f>SUMIFS('List of Ledgers '!$L:$L,'List of Ledgers '!$F:$F,'P&amp;L'!$A53,'List of Ledgers '!$G:$G,'P&amp;L'!$K$6)</f>
        <v>0</v>
      </c>
      <c r="L53" s="57">
        <f t="shared" si="27"/>
        <v>23740.55</v>
      </c>
      <c r="N53" s="57">
        <f>SUMIFS('List of Ledgers '!$Q:$Q,'List of Ledgers '!$F:$F,'P&amp;L'!$A53,'List of Ledgers '!$G:$G,'P&amp;L'!N$6)</f>
        <v>0</v>
      </c>
      <c r="O53" s="57">
        <f>SUMIFS('List of Ledgers '!$Q:$Q,'List of Ledgers '!$F:$F,'P&amp;L'!$A53,'List of Ledgers '!$G:$G,'P&amp;L'!O$6)</f>
        <v>0</v>
      </c>
      <c r="P53" s="57">
        <f>SUMIFS('List of Ledgers '!$Q:$Q,'List of Ledgers '!$F:$F,'P&amp;L'!$A53,'List of Ledgers '!$G:$G,'P&amp;L'!P$6)</f>
        <v>93223</v>
      </c>
      <c r="Q53" s="57">
        <f>SUMIFS('List of Ledgers '!$Q:$Q,'List of Ledgers '!$F:$F,'P&amp;L'!$A53,'List of Ledgers '!$G:$G,'P&amp;L'!Q$6)</f>
        <v>0</v>
      </c>
      <c r="R53" s="57">
        <f>SUMIFS('List of Ledgers '!$Q:$Q,'List of Ledgers '!$F:$F,'P&amp;L'!$A53,'List of Ledgers '!$G:$G,'P&amp;L'!R$6)</f>
        <v>0</v>
      </c>
      <c r="S53" s="57">
        <f>SUMIFS('List of Ledgers '!$Q:$Q,'List of Ledgers '!$F:$F,'P&amp;L'!$A53,'List of Ledgers '!$G:$G,'P&amp;L'!S$6)</f>
        <v>187300.19</v>
      </c>
      <c r="T53" s="57">
        <f>SUMIFS('List of Ledgers '!$Q:$Q,'List of Ledgers '!$F:$F,'P&amp;L'!$A53,'List of Ledgers '!$G:$G,'P&amp;L'!T$6)</f>
        <v>38100</v>
      </c>
      <c r="U53" s="57">
        <f>SUMIFS('List of Ledgers '!$Q:$Q,'List of Ledgers '!$F:$F,'P&amp;L'!$A53,'List of Ledgers '!$G:$G,'P&amp;L'!U$6)</f>
        <v>39429</v>
      </c>
      <c r="V53" s="57">
        <f t="shared" si="30"/>
        <v>358052.19</v>
      </c>
      <c r="W53" s="57">
        <f>SUMIFS('List of Ledgers '!$Q:$Q,'List of Ledgers '!$F:$F,'P&amp;L'!$A53,'List of Ledgers '!$G:$G,'P&amp;L'!W$6)</f>
        <v>0</v>
      </c>
      <c r="X53" s="57">
        <f t="shared" si="28"/>
        <v>358052.19</v>
      </c>
      <c r="Y53" s="7">
        <f t="shared" si="1"/>
        <v>0</v>
      </c>
    </row>
    <row r="54" spans="1:25" outlineLevel="1" x14ac:dyDescent="0.25">
      <c r="A54" s="4" t="s">
        <v>57</v>
      </c>
      <c r="B54" s="5">
        <f>SUMIFS('List of Ledgers '!$L:$L,'List of Ledgers '!$F:$F,'P&amp;L'!$A54,'List of Ledgers '!$G:$G,'P&amp;L'!B$6)</f>
        <v>0</v>
      </c>
      <c r="C54" s="5">
        <f>SUMIFS('List of Ledgers '!$L:$L,'List of Ledgers '!$F:$F,'P&amp;L'!$A54,'List of Ledgers '!$G:$G,'P&amp;L'!C$6)</f>
        <v>0</v>
      </c>
      <c r="D54" s="5">
        <f>SUMIFS('List of Ledgers '!$L:$L,'List of Ledgers '!$F:$F,'P&amp;L'!$A54,'List of Ledgers '!$G:$G,'P&amp;L'!D$6)</f>
        <v>0</v>
      </c>
      <c r="E54" s="5">
        <f>SUMIFS('List of Ledgers '!$L:$L,'List of Ledgers '!$F:$F,'P&amp;L'!$A54,'List of Ledgers '!$G:$G,'P&amp;L'!E$6)</f>
        <v>0</v>
      </c>
      <c r="F54" s="5">
        <f>SUMIFS('List of Ledgers '!$L:$L,'List of Ledgers '!$F:$F,'P&amp;L'!$A54,'List of Ledgers '!$G:$G,'P&amp;L'!F$6)</f>
        <v>0</v>
      </c>
      <c r="G54" s="5">
        <f>SUMIFS('List of Ledgers '!$L:$L,'List of Ledgers '!$F:$F,'P&amp;L'!$A54,'List of Ledgers '!$G:$G,'P&amp;L'!G$6)</f>
        <v>0</v>
      </c>
      <c r="H54" s="5">
        <f>SUMIFS('List of Ledgers '!$L:$L,'List of Ledgers '!$F:$F,'P&amp;L'!$A54,'List of Ledgers '!$G:$G,'P&amp;L'!H$6)</f>
        <v>9810</v>
      </c>
      <c r="I54" s="5">
        <f>SUMIFS('List of Ledgers '!$L:$L,'List of Ledgers '!$F:$F,'P&amp;L'!$A54,'List of Ledgers '!$G:$G,'P&amp;L'!I$6)</f>
        <v>0</v>
      </c>
      <c r="J54" s="5">
        <f t="shared" si="24"/>
        <v>9810</v>
      </c>
      <c r="K54" s="5">
        <f>SUMIFS('List of Ledgers '!$L:$L,'List of Ledgers '!$F:$F,'P&amp;L'!$A54,'List of Ledgers '!$G:$G,'P&amp;L'!$K$6)</f>
        <v>0</v>
      </c>
      <c r="L54" s="5">
        <f t="shared" ref="L54" si="36">J54+K54</f>
        <v>9810</v>
      </c>
      <c r="N54" s="5"/>
      <c r="O54" s="5"/>
      <c r="P54" s="5"/>
      <c r="Q54" s="5"/>
      <c r="R54" s="5"/>
      <c r="S54" s="5"/>
      <c r="T54" s="5">
        <f>SUMIFS('List of Ledgers '!$Q:$Q,'List of Ledgers '!$F:$F,'P&amp;L'!$A54,'List of Ledgers '!$G:$G,'P&amp;L'!T$6)</f>
        <v>2043284.5</v>
      </c>
      <c r="U54" s="5">
        <f>SUMIFS('List of Ledgers '!$Q:$Q,'List of Ledgers '!$F:$F,'P&amp;L'!$A54,'List of Ledgers '!$G:$G,'P&amp;L'!U$6)</f>
        <v>0</v>
      </c>
      <c r="V54" s="5">
        <f t="shared" si="30"/>
        <v>2043284.5</v>
      </c>
      <c r="W54" s="5"/>
      <c r="X54" s="57">
        <f t="shared" si="28"/>
        <v>2043284.5</v>
      </c>
      <c r="Y54" s="7">
        <f t="shared" si="1"/>
        <v>0</v>
      </c>
    </row>
    <row r="55" spans="1:25" outlineLevel="1" x14ac:dyDescent="0.25">
      <c r="A55" s="4" t="s">
        <v>58</v>
      </c>
      <c r="B55" s="5">
        <f>SUMIFS('List of Ledgers '!$L:$L,'List of Ledgers '!$F:$F,'P&amp;L'!$A55,'List of Ledgers '!$G:$G,'P&amp;L'!B$6)</f>
        <v>0</v>
      </c>
      <c r="C55" s="5">
        <f>SUMIFS('List of Ledgers '!$L:$L,'List of Ledgers '!$F:$F,'P&amp;L'!$A55,'List of Ledgers '!$G:$G,'P&amp;L'!C$6)</f>
        <v>0</v>
      </c>
      <c r="D55" s="5">
        <f>SUMIFS('List of Ledgers '!$L:$L,'List of Ledgers '!$F:$F,'P&amp;L'!$A55,'List of Ledgers '!$G:$G,'P&amp;L'!D$6)</f>
        <v>0</v>
      </c>
      <c r="E55" s="5">
        <f>SUMIFS('List of Ledgers '!$L:$L,'List of Ledgers '!$F:$F,'P&amp;L'!$A55,'List of Ledgers '!$G:$G,'P&amp;L'!E$6)</f>
        <v>0</v>
      </c>
      <c r="F55" s="5">
        <f>SUMIFS('List of Ledgers '!$L:$L,'List of Ledgers '!$F:$F,'P&amp;L'!$A55,'List of Ledgers '!$G:$G,'P&amp;L'!F$6)</f>
        <v>0</v>
      </c>
      <c r="G55" s="5">
        <f>SUMIFS('List of Ledgers '!$L:$L,'List of Ledgers '!$F:$F,'P&amp;L'!$A55,'List of Ledgers '!$G:$G,'P&amp;L'!G$6)</f>
        <v>13225</v>
      </c>
      <c r="H55" s="5">
        <f>SUMIFS('List of Ledgers '!$L:$L,'List of Ledgers '!$F:$F,'P&amp;L'!$A55,'List of Ledgers '!$G:$G,'P&amp;L'!H$6)</f>
        <v>0</v>
      </c>
      <c r="I55" s="5">
        <f>SUMIFS('List of Ledgers '!$L:$L,'List of Ledgers '!$F:$F,'P&amp;L'!$A55,'List of Ledgers '!$G:$G,'P&amp;L'!I$6)</f>
        <v>25257</v>
      </c>
      <c r="J55" s="5">
        <f t="shared" si="24"/>
        <v>38482</v>
      </c>
      <c r="K55" s="5">
        <f>SUMIFS('List of Ledgers '!$L:$L,'List of Ledgers '!$F:$F,'P&amp;L'!$A55,'List of Ledgers '!$G:$G,'P&amp;L'!$K$6)</f>
        <v>0</v>
      </c>
      <c r="L55" s="5">
        <f t="shared" si="27"/>
        <v>38482</v>
      </c>
      <c r="N55" s="5">
        <f>SUMIFS('List of Ledgers '!$Q:$Q,'List of Ledgers '!$F:$F,'P&amp;L'!$A55,'List of Ledgers '!$G:$G,'P&amp;L'!N$6)</f>
        <v>0</v>
      </c>
      <c r="O55" s="5">
        <f>SUMIFS('List of Ledgers '!$Q:$Q,'List of Ledgers '!$F:$F,'P&amp;L'!$A55,'List of Ledgers '!$G:$G,'P&amp;L'!O$6)</f>
        <v>0</v>
      </c>
      <c r="P55" s="5">
        <f>SUMIFS('List of Ledgers '!$Q:$Q,'List of Ledgers '!$F:$F,'P&amp;L'!$A55,'List of Ledgers '!$G:$G,'P&amp;L'!P$6)</f>
        <v>0</v>
      </c>
      <c r="Q55" s="5">
        <f>SUMIFS('List of Ledgers '!$Q:$Q,'List of Ledgers '!$F:$F,'P&amp;L'!$A55,'List of Ledgers '!$G:$G,'P&amp;L'!Q$6)</f>
        <v>0</v>
      </c>
      <c r="R55" s="5">
        <f>SUMIFS('List of Ledgers '!$Q:$Q,'List of Ledgers '!$F:$F,'P&amp;L'!$A55,'List of Ledgers '!$G:$G,'P&amp;L'!R$6)</f>
        <v>0</v>
      </c>
      <c r="S55" s="5">
        <f>SUMIFS('List of Ledgers '!$Q:$Q,'List of Ledgers '!$F:$F,'P&amp;L'!$A55,'List of Ledgers '!$G:$G,'P&amp;L'!S$6)</f>
        <v>117469</v>
      </c>
      <c r="T55" s="5">
        <f>SUMIFS('List of Ledgers '!$Q:$Q,'List of Ledgers '!$F:$F,'P&amp;L'!$A55,'List of Ledgers '!$G:$G,'P&amp;L'!T$6)</f>
        <v>0</v>
      </c>
      <c r="U55" s="5">
        <f>SUMIFS('List of Ledgers '!$Q:$Q,'List of Ledgers '!$F:$F,'P&amp;L'!$A55,'List of Ledgers '!$G:$G,'P&amp;L'!U$6)</f>
        <v>39472</v>
      </c>
      <c r="V55" s="5">
        <f t="shared" si="30"/>
        <v>156941</v>
      </c>
      <c r="W55" s="5">
        <f>SUMIFS('List of Ledgers '!$Q:$Q,'List of Ledgers '!$F:$F,'P&amp;L'!$A55,'List of Ledgers '!$G:$G,'P&amp;L'!W$6)</f>
        <v>0</v>
      </c>
      <c r="X55" s="5">
        <f t="shared" si="28"/>
        <v>156941</v>
      </c>
      <c r="Y55" s="7">
        <f t="shared" si="1"/>
        <v>0</v>
      </c>
    </row>
    <row r="56" spans="1:25" outlineLevel="1" x14ac:dyDescent="0.25">
      <c r="A56" s="4" t="s">
        <v>59</v>
      </c>
      <c r="B56" s="57">
        <f>SUMIFS('List of Ledgers '!$L:$L,'List of Ledgers '!$F:$F,'P&amp;L'!$A56,'List of Ledgers '!$G:$G,'P&amp;L'!B$6)</f>
        <v>0</v>
      </c>
      <c r="C56" s="57">
        <f>SUMIFS('List of Ledgers '!$L:$L,'List of Ledgers '!$F:$F,'P&amp;L'!$A56,'List of Ledgers '!$G:$G,'P&amp;L'!C$6)</f>
        <v>0</v>
      </c>
      <c r="D56" s="57">
        <f>SUMIFS('List of Ledgers '!$L:$L,'List of Ledgers '!$F:$F,'P&amp;L'!$A56,'List of Ledgers '!$G:$G,'P&amp;L'!D$6)</f>
        <v>0</v>
      </c>
      <c r="E56" s="57">
        <f>SUMIFS('List of Ledgers '!$L:$L,'List of Ledgers '!$F:$F,'P&amp;L'!$A56,'List of Ledgers '!$G:$G,'P&amp;L'!E$6)</f>
        <v>0</v>
      </c>
      <c r="F56" s="57">
        <f>SUMIFS('List of Ledgers '!$L:$L,'List of Ledgers '!$F:$F,'P&amp;L'!$A56,'List of Ledgers '!$G:$G,'P&amp;L'!F$6)</f>
        <v>0</v>
      </c>
      <c r="G56" s="57">
        <f>SUMIFS('List of Ledgers '!$L:$L,'List of Ledgers '!$F:$F,'P&amp;L'!$A56,'List of Ledgers '!$G:$G,'P&amp;L'!G$6)</f>
        <v>22000</v>
      </c>
      <c r="H56" s="57">
        <f>SUMIFS('List of Ledgers '!$L:$L,'List of Ledgers '!$F:$F,'P&amp;L'!$A56,'List of Ledgers '!$G:$G,'P&amp;L'!H$6)</f>
        <v>0</v>
      </c>
      <c r="I56" s="57">
        <f>SUMIFS('List of Ledgers '!$L:$L,'List of Ledgers '!$F:$F,'P&amp;L'!$A56,'List of Ledgers '!$G:$G,'P&amp;L'!I$6)</f>
        <v>0</v>
      </c>
      <c r="J56" s="5">
        <f t="shared" si="24"/>
        <v>22000</v>
      </c>
      <c r="K56" s="57">
        <f>SUMIFS('List of Ledgers '!$L:$L,'List of Ledgers '!$F:$F,'P&amp;L'!$A56,'List of Ledgers '!$G:$G,'P&amp;L'!$K$6)</f>
        <v>0</v>
      </c>
      <c r="L56" s="57">
        <f t="shared" si="27"/>
        <v>22000</v>
      </c>
      <c r="N56" s="57">
        <f>SUMIFS('List of Ledgers '!$Q:$Q,'List of Ledgers '!$F:$F,'P&amp;L'!$A56,'List of Ledgers '!$G:$G,'P&amp;L'!N$6)</f>
        <v>0</v>
      </c>
      <c r="O56" s="57">
        <f>SUMIFS('List of Ledgers '!$Q:$Q,'List of Ledgers '!$F:$F,'P&amp;L'!$A56,'List of Ledgers '!$G:$G,'P&amp;L'!O$6)</f>
        <v>0</v>
      </c>
      <c r="P56" s="57">
        <f>SUMIFS('List of Ledgers '!$Q:$Q,'List of Ledgers '!$F:$F,'P&amp;L'!$A56,'List of Ledgers '!$G:$G,'P&amp;L'!P$6)</f>
        <v>0</v>
      </c>
      <c r="Q56" s="57">
        <f>SUMIFS('List of Ledgers '!$Q:$Q,'List of Ledgers '!$F:$F,'P&amp;L'!$A56,'List of Ledgers '!$G:$G,'P&amp;L'!Q$6)</f>
        <v>0</v>
      </c>
      <c r="R56" s="57">
        <f>SUMIFS('List of Ledgers '!$Q:$Q,'List of Ledgers '!$F:$F,'P&amp;L'!$A56,'List of Ledgers '!$G:$G,'P&amp;L'!R$6)</f>
        <v>0</v>
      </c>
      <c r="S56" s="57">
        <f>SUMIFS('List of Ledgers '!$Q:$Q,'List of Ledgers '!$F:$F,'P&amp;L'!$A56,'List of Ledgers '!$G:$G,'P&amp;L'!S$6)</f>
        <v>257723</v>
      </c>
      <c r="T56" s="57">
        <f>SUMIFS('List of Ledgers '!$Q:$Q,'List of Ledgers '!$F:$F,'P&amp;L'!$A56,'List of Ledgers '!$G:$G,'P&amp;L'!T$6)</f>
        <v>48365</v>
      </c>
      <c r="U56" s="57">
        <f>SUMIFS('List of Ledgers '!$Q:$Q,'List of Ledgers '!$F:$F,'P&amp;L'!$A56,'List of Ledgers '!$G:$G,'P&amp;L'!U$6)</f>
        <v>0</v>
      </c>
      <c r="V56" s="57">
        <f t="shared" si="30"/>
        <v>306088</v>
      </c>
      <c r="W56" s="57">
        <f>SUMIFS('List of Ledgers '!$Q:$Q,'List of Ledgers '!$F:$F,'P&amp;L'!$A56,'List of Ledgers '!$G:$G,'P&amp;L'!W$6)</f>
        <v>0</v>
      </c>
      <c r="X56" s="57">
        <f t="shared" si="28"/>
        <v>306088</v>
      </c>
      <c r="Y56" s="7">
        <f t="shared" si="1"/>
        <v>0</v>
      </c>
    </row>
    <row r="57" spans="1:25" outlineLevel="1" x14ac:dyDescent="0.25">
      <c r="A57" s="4" t="s">
        <v>60</v>
      </c>
      <c r="B57" s="5">
        <f>SUMIFS('List of Ledgers '!$L:$L,'List of Ledgers '!$F:$F,'P&amp;L'!$A57,'List of Ledgers '!$G:$G,'P&amp;L'!B$6)</f>
        <v>0</v>
      </c>
      <c r="C57" s="5">
        <f>SUMIFS('List of Ledgers '!$L:$L,'List of Ledgers '!$F:$F,'P&amp;L'!$A57,'List of Ledgers '!$G:$G,'P&amp;L'!C$6)</f>
        <v>0</v>
      </c>
      <c r="D57" s="5">
        <f>SUMIFS('List of Ledgers '!$L:$L,'List of Ledgers '!$F:$F,'P&amp;L'!$A57,'List of Ledgers '!$G:$G,'P&amp;L'!D$6)</f>
        <v>0</v>
      </c>
      <c r="E57" s="5">
        <f>SUMIFS('List of Ledgers '!$L:$L,'List of Ledgers '!$F:$F,'P&amp;L'!$A57,'List of Ledgers '!$G:$G,'P&amp;L'!E$6)</f>
        <v>0</v>
      </c>
      <c r="F57" s="5">
        <f>SUMIFS('List of Ledgers '!$L:$L,'List of Ledgers '!$F:$F,'P&amp;L'!$A57,'List of Ledgers '!$G:$G,'P&amp;L'!F$6)</f>
        <v>0</v>
      </c>
      <c r="G57" s="5">
        <f>SUMIFS('List of Ledgers '!$L:$L,'List of Ledgers '!$F:$F,'P&amp;L'!$A57,'List of Ledgers '!$G:$G,'P&amp;L'!G$6)</f>
        <v>2925</v>
      </c>
      <c r="H57" s="5">
        <f>SUMIFS('List of Ledgers '!$L:$L,'List of Ledgers '!$F:$F,'P&amp;L'!$A57,'List of Ledgers '!$G:$G,'P&amp;L'!H$6)</f>
        <v>0</v>
      </c>
      <c r="I57" s="5">
        <f>SUMIFS('List of Ledgers '!$L:$L,'List of Ledgers '!$F:$F,'P&amp;L'!$A57,'List of Ledgers '!$G:$G,'P&amp;L'!I$6)</f>
        <v>0</v>
      </c>
      <c r="J57" s="5">
        <f t="shared" si="24"/>
        <v>2925</v>
      </c>
      <c r="K57" s="5">
        <f>SUMIFS('List of Ledgers '!$L:$L,'List of Ledgers '!$F:$F,'P&amp;L'!$A57,'List of Ledgers '!$G:$G,'P&amp;L'!$K$6)</f>
        <v>0</v>
      </c>
      <c r="L57" s="5">
        <f t="shared" ref="L57" si="37">J57+K57</f>
        <v>2925</v>
      </c>
      <c r="N57" s="5">
        <f>SUMIFS('List of Ledgers '!$Q:$Q,'List of Ledgers '!$F:$F,'P&amp;L'!$A57,'List of Ledgers '!$G:$G,'P&amp;L'!N$6)</f>
        <v>0</v>
      </c>
      <c r="O57" s="5">
        <f>SUMIFS('List of Ledgers '!$Q:$Q,'List of Ledgers '!$F:$F,'P&amp;L'!$A57,'List of Ledgers '!$G:$G,'P&amp;L'!O$6)</f>
        <v>0</v>
      </c>
      <c r="P57" s="5">
        <f>SUMIFS('List of Ledgers '!$Q:$Q,'List of Ledgers '!$F:$F,'P&amp;L'!$A57,'List of Ledgers '!$G:$G,'P&amp;L'!P$6)</f>
        <v>0</v>
      </c>
      <c r="Q57" s="5">
        <f>SUMIFS('List of Ledgers '!$Q:$Q,'List of Ledgers '!$F:$F,'P&amp;L'!$A57,'List of Ledgers '!$G:$G,'P&amp;L'!Q$6)</f>
        <v>0</v>
      </c>
      <c r="R57" s="5">
        <f>SUMIFS('List of Ledgers '!$Q:$Q,'List of Ledgers '!$F:$F,'P&amp;L'!$A57,'List of Ledgers '!$G:$G,'P&amp;L'!R$6)</f>
        <v>0</v>
      </c>
      <c r="S57" s="5">
        <f>SUMIFS('List of Ledgers '!$Q:$Q,'List of Ledgers '!$F:$F,'P&amp;L'!$A57,'List of Ledgers '!$G:$G,'P&amp;L'!S$6)</f>
        <v>43751</v>
      </c>
      <c r="T57" s="5">
        <f>SUMIFS('List of Ledgers '!$Q:$Q,'List of Ledgers '!$F:$F,'P&amp;L'!$A57,'List of Ledgers '!$G:$G,'P&amp;L'!T$6)</f>
        <v>0</v>
      </c>
      <c r="U57" s="5">
        <f>SUMIFS('List of Ledgers '!$Q:$Q,'List of Ledgers '!$F:$F,'P&amp;L'!$A57,'List of Ledgers '!$G:$G,'P&amp;L'!U$6)</f>
        <v>0</v>
      </c>
      <c r="V57" s="5">
        <f t="shared" si="30"/>
        <v>43751</v>
      </c>
      <c r="W57" s="5">
        <f>SUMIFS('List of Ledgers '!$Q:$Q,'List of Ledgers '!$F:$F,'P&amp;L'!$A57,'List of Ledgers '!$G:$G,'P&amp;L'!W$6)</f>
        <v>0</v>
      </c>
      <c r="X57" s="5">
        <f t="shared" ref="X57" si="38">V57+W57</f>
        <v>43751</v>
      </c>
      <c r="Y57" s="7">
        <f t="shared" si="1"/>
        <v>0</v>
      </c>
    </row>
    <row r="58" spans="1:25" outlineLevel="1" x14ac:dyDescent="0.25">
      <c r="A58" s="4" t="s">
        <v>61</v>
      </c>
      <c r="B58" s="5">
        <f>SUMIFS('List of Ledgers '!$L:$L,'List of Ledgers '!$F:$F,'P&amp;L'!$A58,'List of Ledgers '!$G:$G,'P&amp;L'!B$6)</f>
        <v>0</v>
      </c>
      <c r="C58" s="5">
        <f>SUMIFS('List of Ledgers '!$L:$L,'List of Ledgers '!$F:$F,'P&amp;L'!$A58,'List of Ledgers '!$G:$G,'P&amp;L'!C$6)</f>
        <v>0</v>
      </c>
      <c r="D58" s="5">
        <f>SUMIFS('List of Ledgers '!$L:$L,'List of Ledgers '!$F:$F,'P&amp;L'!$A58,'List of Ledgers '!$G:$G,'P&amp;L'!D$6)</f>
        <v>0</v>
      </c>
      <c r="E58" s="5">
        <f>SUMIFS('List of Ledgers '!$L:$L,'List of Ledgers '!$F:$F,'P&amp;L'!$A58,'List of Ledgers '!$G:$G,'P&amp;L'!E$6)</f>
        <v>0</v>
      </c>
      <c r="F58" s="5">
        <f>SUMIFS('List of Ledgers '!$L:$L,'List of Ledgers '!$F:$F,'P&amp;L'!$A58,'List of Ledgers '!$G:$G,'P&amp;L'!F$6)</f>
        <v>0</v>
      </c>
      <c r="G58" s="5">
        <f>SUMIFS('List of Ledgers '!$L:$L,'List of Ledgers '!$F:$F,'P&amp;L'!$A58,'List of Ledgers '!$G:$G,'P&amp;L'!G$6)</f>
        <v>225855</v>
      </c>
      <c r="H58" s="5">
        <f>SUMIFS('List of Ledgers '!$L:$L,'List of Ledgers '!$F:$F,'P&amp;L'!$A58,'List of Ledgers '!$G:$G,'P&amp;L'!H$6)</f>
        <v>0</v>
      </c>
      <c r="I58" s="5">
        <f>SUMIFS('List of Ledgers '!$L:$L,'List of Ledgers '!$F:$F,'P&amp;L'!$A58,'List of Ledgers '!$G:$G,'P&amp;L'!I$6)</f>
        <v>28000</v>
      </c>
      <c r="J58" s="5">
        <f t="shared" si="24"/>
        <v>253855</v>
      </c>
      <c r="K58" s="5">
        <f>SUMIFS('List of Ledgers '!$L:$L,'List of Ledgers '!$F:$F,'P&amp;L'!$A58,'List of Ledgers '!$G:$G,'P&amp;L'!$K$6)</f>
        <v>0</v>
      </c>
      <c r="L58" s="5">
        <f t="shared" si="27"/>
        <v>253855</v>
      </c>
      <c r="N58" s="5">
        <f>SUMIFS('List of Ledgers '!$Q:$Q,'List of Ledgers '!$F:$F,'P&amp;L'!$A58,'List of Ledgers '!$G:$G,'P&amp;L'!N$6)</f>
        <v>6000</v>
      </c>
      <c r="O58" s="5">
        <f>SUMIFS('List of Ledgers '!$Q:$Q,'List of Ledgers '!$F:$F,'P&amp;L'!$A58,'List of Ledgers '!$G:$G,'P&amp;L'!O$6)</f>
        <v>0</v>
      </c>
      <c r="P58" s="5">
        <f>SUMIFS('List of Ledgers '!$Q:$Q,'List of Ledgers '!$F:$F,'P&amp;L'!$A58,'List of Ledgers '!$G:$G,'P&amp;L'!P$6)</f>
        <v>0</v>
      </c>
      <c r="Q58" s="5">
        <f>SUMIFS('List of Ledgers '!$Q:$Q,'List of Ledgers '!$F:$F,'P&amp;L'!$A58,'List of Ledgers '!$G:$G,'P&amp;L'!Q$6)</f>
        <v>0</v>
      </c>
      <c r="R58" s="5">
        <f>SUMIFS('List of Ledgers '!$Q:$Q,'List of Ledgers '!$F:$F,'P&amp;L'!$A58,'List of Ledgers '!$G:$G,'P&amp;L'!R$6)</f>
        <v>0</v>
      </c>
      <c r="S58" s="5">
        <f>SUMIFS('List of Ledgers '!$Q:$Q,'List of Ledgers '!$F:$F,'P&amp;L'!$A58,'List of Ledgers '!$G:$G,'P&amp;L'!S$6)</f>
        <v>2612720</v>
      </c>
      <c r="T58" s="5">
        <f>SUMIFS('List of Ledgers '!$Q:$Q,'List of Ledgers '!$F:$F,'P&amp;L'!$A58,'List of Ledgers '!$G:$G,'P&amp;L'!T$6)</f>
        <v>0</v>
      </c>
      <c r="U58" s="5">
        <f>SUMIFS('List of Ledgers '!$Q:$Q,'List of Ledgers '!$F:$F,'P&amp;L'!$A58,'List of Ledgers '!$G:$G,'P&amp;L'!U$6)</f>
        <v>112000</v>
      </c>
      <c r="V58" s="5">
        <f t="shared" si="30"/>
        <v>2730720</v>
      </c>
      <c r="W58" s="5">
        <f>SUMIFS('List of Ledgers '!$Q:$Q,'List of Ledgers '!$F:$F,'P&amp;L'!$A58,'List of Ledgers '!$G:$G,'P&amp;L'!W$6)</f>
        <v>0</v>
      </c>
      <c r="X58" s="5">
        <f t="shared" si="28"/>
        <v>2730720</v>
      </c>
      <c r="Y58" s="7">
        <f t="shared" si="1"/>
        <v>0</v>
      </c>
    </row>
    <row r="59" spans="1:25" outlineLevel="1" x14ac:dyDescent="0.25">
      <c r="A59" s="4" t="s">
        <v>62</v>
      </c>
      <c r="B59" s="5">
        <f>SUMIFS('List of Ledgers '!$L:$L,'List of Ledgers '!$F:$F,'P&amp;L'!$A59,'List of Ledgers '!$G:$G,'P&amp;L'!B$6)</f>
        <v>0</v>
      </c>
      <c r="C59" s="5">
        <f>SUMIFS('List of Ledgers '!$L:$L,'List of Ledgers '!$F:$F,'P&amp;L'!$A59,'List of Ledgers '!$G:$G,'P&amp;L'!C$6)</f>
        <v>18401.57</v>
      </c>
      <c r="D59" s="5">
        <f>SUMIFS('List of Ledgers '!$L:$L,'List of Ledgers '!$F:$F,'P&amp;L'!$A59,'List of Ledgers '!$G:$G,'P&amp;L'!D$6)</f>
        <v>0</v>
      </c>
      <c r="E59" s="5">
        <f>SUMIFS('List of Ledgers '!$L:$L,'List of Ledgers '!$F:$F,'P&amp;L'!$A59,'List of Ledgers '!$G:$G,'P&amp;L'!E$6)</f>
        <v>0</v>
      </c>
      <c r="F59" s="5">
        <f>SUMIFS('List of Ledgers '!$L:$L,'List of Ledgers '!$F:$F,'P&amp;L'!$A59,'List of Ledgers '!$G:$G,'P&amp;L'!F$6)</f>
        <v>0</v>
      </c>
      <c r="G59" s="5">
        <f>SUMIFS('List of Ledgers '!$L:$L,'List of Ledgers '!$F:$F,'P&amp;L'!$A59,'List of Ledgers '!$G:$G,'P&amp;L'!G$6)</f>
        <v>0</v>
      </c>
      <c r="H59" s="5">
        <f>SUMIFS('List of Ledgers '!$L:$L,'List of Ledgers '!$F:$F,'P&amp;L'!$A59,'List of Ledgers '!$G:$G,'P&amp;L'!H$6)</f>
        <v>0</v>
      </c>
      <c r="I59" s="5">
        <f>SUMIFS('List of Ledgers '!$L:$L,'List of Ledgers '!$F:$F,'P&amp;L'!$A59,'List of Ledgers '!$G:$G,'P&amp;L'!I$6)</f>
        <v>500</v>
      </c>
      <c r="J59" s="5">
        <f t="shared" si="24"/>
        <v>18901.57</v>
      </c>
      <c r="K59" s="5">
        <f>SUMIFS('List of Ledgers '!$L:$L,'List of Ledgers '!$F:$F,'P&amp;L'!$A59,'List of Ledgers '!$G:$G,'P&amp;L'!$K$6)</f>
        <v>0</v>
      </c>
      <c r="L59" s="5">
        <f t="shared" si="27"/>
        <v>18901.57</v>
      </c>
      <c r="N59" s="5">
        <f>SUMIFS('List of Ledgers '!$Q:$Q,'List of Ledgers '!$F:$F,'P&amp;L'!$A59,'List of Ledgers '!$G:$G,'P&amp;L'!N$6)</f>
        <v>0</v>
      </c>
      <c r="O59" s="5">
        <f>SUMIFS('List of Ledgers '!$Q:$Q,'List of Ledgers '!$F:$F,'P&amp;L'!$A59,'List of Ledgers '!$G:$G,'P&amp;L'!O$6)</f>
        <v>18401.57</v>
      </c>
      <c r="P59" s="5">
        <f>SUMIFS('List of Ledgers '!$Q:$Q,'List of Ledgers '!$F:$F,'P&amp;L'!$A59,'List of Ledgers '!$G:$G,'P&amp;L'!P$6)</f>
        <v>0</v>
      </c>
      <c r="Q59" s="5">
        <f>SUMIFS('List of Ledgers '!$Q:$Q,'List of Ledgers '!$F:$F,'P&amp;L'!$A59,'List of Ledgers '!$G:$G,'P&amp;L'!Q$6)</f>
        <v>0</v>
      </c>
      <c r="R59" s="5">
        <f>SUMIFS('List of Ledgers '!$Q:$Q,'List of Ledgers '!$F:$F,'P&amp;L'!$A59,'List of Ledgers '!$G:$G,'P&amp;L'!R$6)</f>
        <v>0</v>
      </c>
      <c r="S59" s="5">
        <f>SUMIFS('List of Ledgers '!$Q:$Q,'List of Ledgers '!$F:$F,'P&amp;L'!$A59,'List of Ledgers '!$G:$G,'P&amp;L'!S$6)</f>
        <v>193318</v>
      </c>
      <c r="T59" s="5">
        <f>SUMIFS('List of Ledgers '!$Q:$Q,'List of Ledgers '!$F:$F,'P&amp;L'!$A59,'List of Ledgers '!$G:$G,'P&amp;L'!T$6)</f>
        <v>0</v>
      </c>
      <c r="U59" s="5">
        <f>SUMIFS('List of Ledgers '!$Q:$Q,'List of Ledgers '!$F:$F,'P&amp;L'!$A59,'List of Ledgers '!$G:$G,'P&amp;L'!U$6)</f>
        <v>4180</v>
      </c>
      <c r="V59" s="5">
        <f t="shared" si="30"/>
        <v>215899.57</v>
      </c>
      <c r="W59" s="5">
        <f>SUMIFS('List of Ledgers '!$Q:$Q,'List of Ledgers '!$F:$F,'P&amp;L'!$A59,'List of Ledgers '!$G:$G,'P&amp;L'!W$6)</f>
        <v>0</v>
      </c>
      <c r="X59" s="5">
        <f t="shared" si="28"/>
        <v>215899.57</v>
      </c>
      <c r="Y59" s="7">
        <f t="shared" si="1"/>
        <v>0</v>
      </c>
    </row>
    <row r="60" spans="1:25" outlineLevel="1" x14ac:dyDescent="0.25">
      <c r="A60" s="4" t="s">
        <v>63</v>
      </c>
      <c r="B60" s="5">
        <f>SUMIFS('List of Ledgers '!$L:$L,'List of Ledgers '!$F:$F,'P&amp;L'!$A60,'List of Ledgers '!$G:$G,'P&amp;L'!B$6)</f>
        <v>0</v>
      </c>
      <c r="C60" s="5">
        <f>SUMIFS('List of Ledgers '!$L:$L,'List of Ledgers '!$F:$F,'P&amp;L'!$A60,'List of Ledgers '!$G:$G,'P&amp;L'!C$6)</f>
        <v>0</v>
      </c>
      <c r="D60" s="5">
        <f>SUMIFS('List of Ledgers '!$L:$L,'List of Ledgers '!$F:$F,'P&amp;L'!$A60,'List of Ledgers '!$G:$G,'P&amp;L'!D$6)</f>
        <v>0</v>
      </c>
      <c r="E60" s="5">
        <f>SUMIFS('List of Ledgers '!$L:$L,'List of Ledgers '!$F:$F,'P&amp;L'!$A60,'List of Ledgers '!$G:$G,'P&amp;L'!E$6)</f>
        <v>0</v>
      </c>
      <c r="F60" s="5">
        <f>SUMIFS('List of Ledgers '!$L:$L,'List of Ledgers '!$F:$F,'P&amp;L'!$A60,'List of Ledgers '!$G:$G,'P&amp;L'!F$6)</f>
        <v>0</v>
      </c>
      <c r="G60" s="5">
        <f>SUMIFS('List of Ledgers '!$L:$L,'List of Ledgers '!$F:$F,'P&amp;L'!$A60,'List of Ledgers '!$G:$G,'P&amp;L'!G$6)</f>
        <v>148231</v>
      </c>
      <c r="H60" s="5">
        <f>SUMIFS('List of Ledgers '!$L:$L,'List of Ledgers '!$F:$F,'P&amp;L'!$A60,'List of Ledgers '!$G:$G,'P&amp;L'!H$6)</f>
        <v>0</v>
      </c>
      <c r="I60" s="5">
        <f>SUMIFS('List of Ledgers '!$L:$L,'List of Ledgers '!$F:$F,'P&amp;L'!$A60,'List of Ledgers '!$G:$G,'P&amp;L'!I$6)</f>
        <v>499417</v>
      </c>
      <c r="J60" s="5">
        <f t="shared" si="24"/>
        <v>647648</v>
      </c>
      <c r="K60" s="5">
        <f>SUMIFS('List of Ledgers '!$L:$L,'List of Ledgers '!$F:$F,'P&amp;L'!$A60,'List of Ledgers '!$G:$G,'P&amp;L'!$K$6)</f>
        <v>0</v>
      </c>
      <c r="L60" s="5">
        <f t="shared" si="27"/>
        <v>647648</v>
      </c>
      <c r="N60" s="57">
        <f>SUMIFS('List of Ledgers '!$Q:$Q,'List of Ledgers '!$F:$F,'P&amp;L'!$A60,'List of Ledgers '!$G:$G,'P&amp;L'!N$6)</f>
        <v>0</v>
      </c>
      <c r="O60" s="57">
        <f>SUMIFS('List of Ledgers '!$Q:$Q,'List of Ledgers '!$F:$F,'P&amp;L'!$A60,'List of Ledgers '!$G:$G,'P&amp;L'!O$6)</f>
        <v>79825</v>
      </c>
      <c r="P60" s="57">
        <f>SUMIFS('List of Ledgers '!$Q:$Q,'List of Ledgers '!$F:$F,'P&amp;L'!$A60,'List of Ledgers '!$G:$G,'P&amp;L'!P$6)</f>
        <v>0</v>
      </c>
      <c r="Q60" s="57">
        <f>SUMIFS('List of Ledgers '!$Q:$Q,'List of Ledgers '!$F:$F,'P&amp;L'!$A60,'List of Ledgers '!$G:$G,'P&amp;L'!Q$6)</f>
        <v>0</v>
      </c>
      <c r="R60" s="57">
        <f>SUMIFS('List of Ledgers '!$Q:$Q,'List of Ledgers '!$F:$F,'P&amp;L'!$A60,'List of Ledgers '!$G:$G,'P&amp;L'!R$6)</f>
        <v>0</v>
      </c>
      <c r="S60" s="57">
        <f>SUMIFS('List of Ledgers '!$Q:$Q,'List of Ledgers '!$F:$F,'P&amp;L'!$A60,'List of Ledgers '!$G:$G,'P&amp;L'!S$6)</f>
        <v>1640391</v>
      </c>
      <c r="T60" s="57">
        <f>SUMIFS('List of Ledgers '!$Q:$Q,'List of Ledgers '!$F:$F,'P&amp;L'!$A60,'List of Ledgers '!$G:$G,'P&amp;L'!T$6)</f>
        <v>0</v>
      </c>
      <c r="U60" s="57">
        <f>SUMIFS('List of Ledgers '!$Q:$Q,'List of Ledgers '!$F:$F,'P&amp;L'!$A60,'List of Ledgers '!$G:$G,'P&amp;L'!U$6)</f>
        <v>1835500</v>
      </c>
      <c r="V60" s="5">
        <f t="shared" si="30"/>
        <v>3555716</v>
      </c>
      <c r="W60" s="5">
        <f>SUMIFS('List of Ledgers '!$Q:$Q,'List of Ledgers '!$F:$F,'P&amp;L'!$A60,'List of Ledgers '!$G:$G,'P&amp;L'!W$6)</f>
        <v>0</v>
      </c>
      <c r="X60" s="5">
        <f t="shared" si="28"/>
        <v>3555716</v>
      </c>
      <c r="Y60" s="7">
        <f t="shared" si="1"/>
        <v>0</v>
      </c>
    </row>
    <row r="61" spans="1:25" outlineLevel="1" x14ac:dyDescent="0.25">
      <c r="A61" s="4" t="s">
        <v>64</v>
      </c>
      <c r="B61" s="5">
        <f>SUMIFS('List of Ledgers '!$L:$L,'List of Ledgers '!$F:$F,'P&amp;L'!$A61,'List of Ledgers '!$G:$G,'P&amp;L'!B$6)</f>
        <v>0</v>
      </c>
      <c r="C61" s="5">
        <f>SUMIFS('List of Ledgers '!$L:$L,'List of Ledgers '!$F:$F,'P&amp;L'!$A61,'List of Ledgers '!$G:$G,'P&amp;L'!C$6)</f>
        <v>0</v>
      </c>
      <c r="D61" s="5">
        <f>SUMIFS('List of Ledgers '!$L:$L,'List of Ledgers '!$F:$F,'P&amp;L'!$A61,'List of Ledgers '!$G:$G,'P&amp;L'!D$6)</f>
        <v>0</v>
      </c>
      <c r="E61" s="5">
        <f>SUMIFS('List of Ledgers '!$L:$L,'List of Ledgers '!$F:$F,'P&amp;L'!$A61,'List of Ledgers '!$G:$G,'P&amp;L'!E$6)</f>
        <v>0</v>
      </c>
      <c r="F61" s="5">
        <f>SUMIFS('List of Ledgers '!$L:$L,'List of Ledgers '!$F:$F,'P&amp;L'!$A61,'List of Ledgers '!$G:$G,'P&amp;L'!F$6)</f>
        <v>0</v>
      </c>
      <c r="G61" s="5">
        <f>SUMIFS('List of Ledgers '!$L:$L,'List of Ledgers '!$F:$F,'P&amp;L'!$A61,'List of Ledgers '!$G:$G,'P&amp;L'!G$6)</f>
        <v>0</v>
      </c>
      <c r="H61" s="5">
        <f>SUMIFS('List of Ledgers '!$L:$L,'List of Ledgers '!$F:$F,'P&amp;L'!$A61,'List of Ledgers '!$G:$G,'P&amp;L'!H$6)</f>
        <v>0</v>
      </c>
      <c r="I61" s="5">
        <f>SUMIFS('List of Ledgers '!$L:$L,'List of Ledgers '!$F:$F,'P&amp;L'!$A61,'List of Ledgers '!$G:$G,'P&amp;L'!I$6)</f>
        <v>0</v>
      </c>
      <c r="J61" s="5">
        <f t="shared" si="24"/>
        <v>0</v>
      </c>
      <c r="K61" s="5">
        <f>SUMIFS('List of Ledgers '!$L:$L,'List of Ledgers '!$F:$F,'P&amp;L'!$A61,'List of Ledgers '!$G:$G,'P&amp;L'!$K$6)</f>
        <v>0</v>
      </c>
      <c r="L61" s="5">
        <f t="shared" si="27"/>
        <v>0</v>
      </c>
      <c r="N61" s="5">
        <f>SUMIFS('List of Ledgers '!$Q:$Q,'List of Ledgers '!$F:$F,'P&amp;L'!$A61,'List of Ledgers '!$G:$G,'P&amp;L'!N$6)</f>
        <v>0</v>
      </c>
      <c r="O61" s="5">
        <f>SUMIFS('List of Ledgers '!$Q:$Q,'List of Ledgers '!$F:$F,'P&amp;L'!$A61,'List of Ledgers '!$G:$G,'P&amp;L'!O$6)</f>
        <v>0</v>
      </c>
      <c r="P61" s="5">
        <f>SUMIFS('List of Ledgers '!$Q:$Q,'List of Ledgers '!$F:$F,'P&amp;L'!$A61,'List of Ledgers '!$G:$G,'P&amp;L'!P$6)</f>
        <v>0</v>
      </c>
      <c r="Q61" s="5">
        <f>SUMIFS('List of Ledgers '!$Q:$Q,'List of Ledgers '!$F:$F,'P&amp;L'!$A61,'List of Ledgers '!$G:$G,'P&amp;L'!Q$6)</f>
        <v>0</v>
      </c>
      <c r="R61" s="5">
        <f>SUMIFS('List of Ledgers '!$Q:$Q,'List of Ledgers '!$F:$F,'P&amp;L'!$A61,'List of Ledgers '!$G:$G,'P&amp;L'!R$6)</f>
        <v>0</v>
      </c>
      <c r="S61" s="5">
        <f>SUMIFS('List of Ledgers '!$Q:$Q,'List of Ledgers '!$F:$F,'P&amp;L'!$A61,'List of Ledgers '!$G:$G,'P&amp;L'!S$6)</f>
        <v>8282.84</v>
      </c>
      <c r="T61" s="5">
        <f>SUMIFS('List of Ledgers '!$Q:$Q,'List of Ledgers '!$F:$F,'P&amp;L'!$A61,'List of Ledgers '!$G:$G,'P&amp;L'!T$6)</f>
        <v>0</v>
      </c>
      <c r="U61" s="5">
        <f>SUMIFS('List of Ledgers '!$Q:$Q,'List of Ledgers '!$F:$F,'P&amp;L'!$A61,'List of Ledgers '!$G:$G,'P&amp;L'!U$6)</f>
        <v>0</v>
      </c>
      <c r="V61" s="5">
        <f t="shared" si="30"/>
        <v>8282.84</v>
      </c>
      <c r="W61" s="5">
        <f>SUMIFS('List of Ledgers '!$Q:$Q,'List of Ledgers '!$F:$F,'P&amp;L'!$A61,'List of Ledgers '!$G:$G,'P&amp;L'!W$6)</f>
        <v>460.59</v>
      </c>
      <c r="X61" s="5">
        <f t="shared" si="28"/>
        <v>8743.43</v>
      </c>
      <c r="Y61" s="7">
        <f t="shared" si="1"/>
        <v>-460.59000000000015</v>
      </c>
    </row>
    <row r="62" spans="1:25" outlineLevel="1" x14ac:dyDescent="0.25">
      <c r="A62" s="4" t="s">
        <v>65</v>
      </c>
      <c r="B62" s="5">
        <f>SUMIFS('List of Ledgers '!$L:$L,'List of Ledgers '!$F:$F,'P&amp;L'!$A62,'List of Ledgers '!$G:$G,'P&amp;L'!B$6)</f>
        <v>0</v>
      </c>
      <c r="C62" s="5">
        <f>SUMIFS('List of Ledgers '!$L:$L,'List of Ledgers '!$F:$F,'P&amp;L'!$A62,'List of Ledgers '!$G:$G,'P&amp;L'!C$6)</f>
        <v>0</v>
      </c>
      <c r="D62" s="5">
        <f>SUMIFS('List of Ledgers '!$L:$L,'List of Ledgers '!$F:$F,'P&amp;L'!$A62,'List of Ledgers '!$G:$G,'P&amp;L'!D$6)</f>
        <v>0</v>
      </c>
      <c r="E62" s="5">
        <f>SUMIFS('List of Ledgers '!$L:$L,'List of Ledgers '!$F:$F,'P&amp;L'!$A62,'List of Ledgers '!$G:$G,'P&amp;L'!E$6)</f>
        <v>0</v>
      </c>
      <c r="F62" s="5">
        <f>SUMIFS('List of Ledgers '!$L:$L,'List of Ledgers '!$F:$F,'P&amp;L'!$A62,'List of Ledgers '!$G:$G,'P&amp;L'!F$6)</f>
        <v>0</v>
      </c>
      <c r="G62" s="5">
        <f>SUMIFS('List of Ledgers '!$L:$L,'List of Ledgers '!$F:$F,'P&amp;L'!$A62,'List of Ledgers '!$G:$G,'P&amp;L'!G$6)</f>
        <v>15042</v>
      </c>
      <c r="H62" s="5">
        <f>SUMIFS('List of Ledgers '!$L:$L,'List of Ledgers '!$F:$F,'P&amp;L'!$A62,'List of Ledgers '!$G:$G,'P&amp;L'!H$6)</f>
        <v>0</v>
      </c>
      <c r="I62" s="5">
        <f>SUMIFS('List of Ledgers '!$L:$L,'List of Ledgers '!$F:$F,'P&amp;L'!$A62,'List of Ledgers '!$G:$G,'P&amp;L'!I$6)</f>
        <v>2290</v>
      </c>
      <c r="J62" s="5">
        <f t="shared" si="24"/>
        <v>17332</v>
      </c>
      <c r="K62" s="5">
        <f>SUMIFS('List of Ledgers '!$L:$L,'List of Ledgers '!$F:$F,'P&amp;L'!$A62,'List of Ledgers '!$G:$G,'P&amp;L'!$K$6)</f>
        <v>0</v>
      </c>
      <c r="L62" s="5">
        <f t="shared" si="27"/>
        <v>17332</v>
      </c>
      <c r="N62" s="5">
        <f>SUMIFS('List of Ledgers '!$Q:$Q,'List of Ledgers '!$F:$F,'P&amp;L'!$A62,'List of Ledgers '!$G:$G,'P&amp;L'!N$6)</f>
        <v>0</v>
      </c>
      <c r="O62" s="5">
        <f>SUMIFS('List of Ledgers '!$Q:$Q,'List of Ledgers '!$F:$F,'P&amp;L'!$A62,'List of Ledgers '!$G:$G,'P&amp;L'!O$6)</f>
        <v>0</v>
      </c>
      <c r="P62" s="5">
        <f>SUMIFS('List of Ledgers '!$Q:$Q,'List of Ledgers '!$F:$F,'P&amp;L'!$A62,'List of Ledgers '!$G:$G,'P&amp;L'!P$6)</f>
        <v>0</v>
      </c>
      <c r="Q62" s="5">
        <f>SUMIFS('List of Ledgers '!$Q:$Q,'List of Ledgers '!$F:$F,'P&amp;L'!$A62,'List of Ledgers '!$G:$G,'P&amp;L'!Q$6)</f>
        <v>0</v>
      </c>
      <c r="R62" s="5">
        <f>SUMIFS('List of Ledgers '!$Q:$Q,'List of Ledgers '!$F:$F,'P&amp;L'!$A62,'List of Ledgers '!$G:$G,'P&amp;L'!R$6)</f>
        <v>0</v>
      </c>
      <c r="S62" s="5">
        <f>SUMIFS('List of Ledgers '!$Q:$Q,'List of Ledgers '!$F:$F,'P&amp;L'!$A62,'List of Ledgers '!$G:$G,'P&amp;L'!S$6)</f>
        <v>104822.37</v>
      </c>
      <c r="T62" s="5">
        <f>SUMIFS('List of Ledgers '!$Q:$Q,'List of Ledgers '!$F:$F,'P&amp;L'!$A62,'List of Ledgers '!$G:$G,'P&amp;L'!T$6)</f>
        <v>0</v>
      </c>
      <c r="U62" s="5">
        <f>SUMIFS('List of Ledgers '!$Q:$Q,'List of Ledgers '!$F:$F,'P&amp;L'!$A62,'List of Ledgers '!$G:$G,'P&amp;L'!U$6)</f>
        <v>9671</v>
      </c>
      <c r="V62" s="5">
        <f t="shared" si="30"/>
        <v>114493.37</v>
      </c>
      <c r="W62" s="5">
        <f>SUMIFS('List of Ledgers '!$Q:$Q,'List of Ledgers '!$F:$F,'P&amp;L'!$A62,'List of Ledgers '!$G:$G,'P&amp;L'!W$6)</f>
        <v>0</v>
      </c>
      <c r="X62" s="5">
        <f t="shared" si="28"/>
        <v>114493.37</v>
      </c>
      <c r="Y62" s="7">
        <f t="shared" si="1"/>
        <v>0</v>
      </c>
    </row>
    <row r="63" spans="1:25" outlineLevel="1" x14ac:dyDescent="0.25">
      <c r="A63" s="4" t="s">
        <v>66</v>
      </c>
      <c r="B63" s="5">
        <f>SUMIFS('List of Ledgers '!$L:$L,'List of Ledgers '!$F:$F,'P&amp;L'!$A63,'List of Ledgers '!$G:$G,'P&amp;L'!B$6)</f>
        <v>0</v>
      </c>
      <c r="C63" s="5">
        <f>SUMIFS('List of Ledgers '!$L:$L,'List of Ledgers '!$F:$F,'P&amp;L'!$A63,'List of Ledgers '!$G:$G,'P&amp;L'!C$6)</f>
        <v>0</v>
      </c>
      <c r="D63" s="5">
        <f>SUMIFS('List of Ledgers '!$L:$L,'List of Ledgers '!$F:$F,'P&amp;L'!$A63,'List of Ledgers '!$G:$G,'P&amp;L'!D$6)</f>
        <v>0</v>
      </c>
      <c r="E63" s="5">
        <f>SUMIFS('List of Ledgers '!$L:$L,'List of Ledgers '!$F:$F,'P&amp;L'!$A63,'List of Ledgers '!$G:$G,'P&amp;L'!E$6)</f>
        <v>0</v>
      </c>
      <c r="F63" s="5">
        <f>SUMIFS('List of Ledgers '!$L:$L,'List of Ledgers '!$F:$F,'P&amp;L'!$A63,'List of Ledgers '!$G:$G,'P&amp;L'!F$6)</f>
        <v>0</v>
      </c>
      <c r="G63" s="5">
        <f>SUMIFS('List of Ledgers '!$L:$L,'List of Ledgers '!$F:$F,'P&amp;L'!$A63,'List of Ledgers '!$G:$G,'P&amp;L'!G$6)</f>
        <v>0</v>
      </c>
      <c r="H63" s="5">
        <f>SUMIFS('List of Ledgers '!$L:$L,'List of Ledgers '!$F:$F,'P&amp;L'!$A63,'List of Ledgers '!$G:$G,'P&amp;L'!H$6)</f>
        <v>0</v>
      </c>
      <c r="I63" s="5">
        <f>SUMIFS('List of Ledgers '!$L:$L,'List of Ledgers '!$F:$F,'P&amp;L'!$A63,'List of Ledgers '!$G:$G,'P&amp;L'!I$6)</f>
        <v>0</v>
      </c>
      <c r="J63" s="5">
        <f t="shared" si="24"/>
        <v>0</v>
      </c>
      <c r="K63" s="5">
        <f>SUMIFS('List of Ledgers '!$L:$L,'List of Ledgers '!$F:$F,'P&amp;L'!$A63,'List of Ledgers '!$G:$G,'P&amp;L'!$K$6)</f>
        <v>0</v>
      </c>
      <c r="L63" s="5">
        <f>J63+K63</f>
        <v>0</v>
      </c>
      <c r="N63" s="5">
        <f>SUMIFS('List of Ledgers '!$Q:$Q,'List of Ledgers '!$F:$F,'P&amp;L'!$A63,'List of Ledgers '!$G:$G,'P&amp;L'!N$6)</f>
        <v>0</v>
      </c>
      <c r="O63" s="5">
        <f>SUMIFS('List of Ledgers '!$Q:$Q,'List of Ledgers '!$F:$F,'P&amp;L'!$A63,'List of Ledgers '!$G:$G,'P&amp;L'!O$6)</f>
        <v>0</v>
      </c>
      <c r="P63" s="5">
        <f>SUMIFS('List of Ledgers '!$Q:$Q,'List of Ledgers '!$F:$F,'P&amp;L'!$A63,'List of Ledgers '!$G:$G,'P&amp;L'!P$6)</f>
        <v>0</v>
      </c>
      <c r="Q63" s="5">
        <f>SUMIFS('List of Ledgers '!$Q:$Q,'List of Ledgers '!$F:$F,'P&amp;L'!$A63,'List of Ledgers '!$G:$G,'P&amp;L'!Q$6)</f>
        <v>0</v>
      </c>
      <c r="R63" s="5">
        <f>SUMIFS('List of Ledgers '!$Q:$Q,'List of Ledgers '!$F:$F,'P&amp;L'!$A63,'List of Ledgers '!$G:$G,'P&amp;L'!R$6)</f>
        <v>0</v>
      </c>
      <c r="S63" s="5">
        <f>SUMIFS('List of Ledgers '!$Q:$Q,'List of Ledgers '!$F:$F,'P&amp;L'!$A63,'List of Ledgers '!$G:$G,'P&amp;L'!S$6)</f>
        <v>12194.92</v>
      </c>
      <c r="T63" s="5">
        <f>SUMIFS('List of Ledgers '!$Q:$Q,'List of Ledgers '!$F:$F,'P&amp;L'!$A63,'List of Ledgers '!$G:$G,'P&amp;L'!T$6)</f>
        <v>0</v>
      </c>
      <c r="U63" s="5">
        <f>SUMIFS('List of Ledgers '!$Q:$Q,'List of Ledgers '!$F:$F,'P&amp;L'!$A63,'List of Ledgers '!$G:$G,'P&amp;L'!U$6)</f>
        <v>0</v>
      </c>
      <c r="V63" s="5">
        <f t="shared" si="30"/>
        <v>12194.92</v>
      </c>
      <c r="W63" s="5"/>
      <c r="X63" s="5">
        <f t="shared" si="28"/>
        <v>12194.92</v>
      </c>
      <c r="Y63" s="7">
        <f t="shared" si="1"/>
        <v>0</v>
      </c>
    </row>
    <row r="64" spans="1:25" outlineLevel="1" x14ac:dyDescent="0.25">
      <c r="A64" s="4" t="s">
        <v>67</v>
      </c>
      <c r="B64" s="5">
        <f>SUMIFS('List of Ledgers '!$L:$L,'List of Ledgers '!$F:$F,'P&amp;L'!$A64,'List of Ledgers '!$G:$G,'P&amp;L'!B$6)</f>
        <v>0</v>
      </c>
      <c r="C64" s="5">
        <f>SUMIFS('List of Ledgers '!$L:$L,'List of Ledgers '!$F:$F,'P&amp;L'!$A64,'List of Ledgers '!$G:$G,'P&amp;L'!C$6)</f>
        <v>0</v>
      </c>
      <c r="D64" s="5">
        <f>SUMIFS('List of Ledgers '!$L:$L,'List of Ledgers '!$F:$F,'P&amp;L'!$A64,'List of Ledgers '!$G:$G,'P&amp;L'!D$6)</f>
        <v>4473.46</v>
      </c>
      <c r="E64" s="5">
        <f>SUMIFS('List of Ledgers '!$L:$L,'List of Ledgers '!$F:$F,'P&amp;L'!$A64,'List of Ledgers '!$G:$G,'P&amp;L'!E$6)</f>
        <v>0</v>
      </c>
      <c r="F64" s="5">
        <f>SUMIFS('List of Ledgers '!$L:$L,'List of Ledgers '!$F:$F,'P&amp;L'!$A64,'List of Ledgers '!$G:$G,'P&amp;L'!F$6)</f>
        <v>0</v>
      </c>
      <c r="G64" s="5">
        <f>SUMIFS('List of Ledgers '!$L:$L,'List of Ledgers '!$F:$F,'P&amp;L'!$A64,'List of Ledgers '!$G:$G,'P&amp;L'!G$6)</f>
        <v>2758.1800000000003</v>
      </c>
      <c r="H64" s="5">
        <f>SUMIFS('List of Ledgers '!$L:$L,'List of Ledgers '!$F:$F,'P&amp;L'!$A64,'List of Ledgers '!$G:$G,'P&amp;L'!H$6)</f>
        <v>0</v>
      </c>
      <c r="I64" s="5">
        <f>SUMIFS('List of Ledgers '!$L:$L,'List of Ledgers '!$F:$F,'P&amp;L'!$A64,'List of Ledgers '!$G:$G,'P&amp;L'!I$6)</f>
        <v>499</v>
      </c>
      <c r="J64" s="5">
        <f t="shared" si="24"/>
        <v>7730.64</v>
      </c>
      <c r="K64" s="5">
        <f>SUMIFS('List of Ledgers '!$L:$L,'List of Ledgers '!$F:$F,'P&amp;L'!$A64,'List of Ledgers '!$G:$G,'P&amp;L'!$K$6)</f>
        <v>0</v>
      </c>
      <c r="L64" s="5">
        <f t="shared" si="27"/>
        <v>7730.64</v>
      </c>
      <c r="N64" s="5">
        <f>SUMIFS('List of Ledgers '!$Q:$Q,'List of Ledgers '!$F:$F,'P&amp;L'!$A64,'List of Ledgers '!$G:$G,'P&amp;L'!N$6)</f>
        <v>0</v>
      </c>
      <c r="O64" s="5">
        <f>SUMIFS('List of Ledgers '!$Q:$Q,'List of Ledgers '!$F:$F,'P&amp;L'!$A64,'List of Ledgers '!$G:$G,'P&amp;L'!O$6)</f>
        <v>0</v>
      </c>
      <c r="P64" s="5">
        <f>SUMIFS('List of Ledgers '!$Q:$Q,'List of Ledgers '!$F:$F,'P&amp;L'!$A64,'List of Ledgers '!$G:$G,'P&amp;L'!P$6)</f>
        <v>91086.49</v>
      </c>
      <c r="Q64" s="5">
        <f>SUMIFS('List of Ledgers '!$Q:$Q,'List of Ledgers '!$F:$F,'P&amp;L'!$A64,'List of Ledgers '!$G:$G,'P&amp;L'!Q$6)</f>
        <v>0</v>
      </c>
      <c r="R64" s="5">
        <f>SUMIFS('List of Ledgers '!$Q:$Q,'List of Ledgers '!$F:$F,'P&amp;L'!$A64,'List of Ledgers '!$G:$G,'P&amp;L'!R$6)</f>
        <v>0</v>
      </c>
      <c r="S64" s="5">
        <f>SUMIFS('List of Ledgers '!$Q:$Q,'List of Ledgers '!$F:$F,'P&amp;L'!$A64,'List of Ledgers '!$G:$G,'P&amp;L'!S$6)</f>
        <v>10741.73</v>
      </c>
      <c r="T64" s="5">
        <f>SUMIFS('List of Ledgers '!$Q:$Q,'List of Ledgers '!$F:$F,'P&amp;L'!$A64,'List of Ledgers '!$G:$G,'P&amp;L'!T$6)</f>
        <v>0</v>
      </c>
      <c r="U64" s="5">
        <f>SUMIFS('List of Ledgers '!$Q:$Q,'List of Ledgers '!$F:$F,'P&amp;L'!$A64,'List of Ledgers '!$G:$G,'P&amp;L'!U$6)</f>
        <v>1384.32</v>
      </c>
      <c r="V64" s="5">
        <f t="shared" si="30"/>
        <v>103212.54000000001</v>
      </c>
      <c r="W64" s="5">
        <f>SUMIFS('List of Ledgers '!$Q:$Q,'List of Ledgers '!$F:$F,'P&amp;L'!$A64,'List of Ledgers '!$G:$G,'P&amp;L'!W$6)</f>
        <v>0</v>
      </c>
      <c r="X64" s="5">
        <f t="shared" si="28"/>
        <v>103212.54000000001</v>
      </c>
      <c r="Y64" s="7">
        <f t="shared" si="1"/>
        <v>0</v>
      </c>
    </row>
    <row r="65" spans="1:26" outlineLevel="1" x14ac:dyDescent="0.25">
      <c r="A65" s="4" t="s">
        <v>68</v>
      </c>
      <c r="B65" s="5">
        <f>SUMIFS('List of Ledgers '!$L:$L,'List of Ledgers '!$F:$F,'P&amp;L'!$A65,'List of Ledgers '!$G:$G,'P&amp;L'!B$6)</f>
        <v>0</v>
      </c>
      <c r="C65" s="5">
        <f>SUMIFS('List of Ledgers '!$L:$L,'List of Ledgers '!$F:$F,'P&amp;L'!$A65,'List of Ledgers '!$G:$G,'P&amp;L'!C$6)</f>
        <v>0</v>
      </c>
      <c r="D65" s="5">
        <f>SUMIFS('List of Ledgers '!$L:$L,'List of Ledgers '!$F:$F,'P&amp;L'!$A65,'List of Ledgers '!$G:$G,'P&amp;L'!D$6)</f>
        <v>0</v>
      </c>
      <c r="E65" s="5">
        <f>SUMIFS('List of Ledgers '!$L:$L,'List of Ledgers '!$F:$F,'P&amp;L'!$A65,'List of Ledgers '!$G:$G,'P&amp;L'!E$6)</f>
        <v>0</v>
      </c>
      <c r="F65" s="5">
        <f>SUMIFS('List of Ledgers '!$L:$L,'List of Ledgers '!$F:$F,'P&amp;L'!$A65,'List of Ledgers '!$G:$G,'P&amp;L'!F$6)</f>
        <v>0</v>
      </c>
      <c r="G65" s="5">
        <f>SUMIFS('List of Ledgers '!$L:$L,'List of Ledgers '!$F:$F,'P&amp;L'!$A65,'List of Ledgers '!$G:$G,'P&amp;L'!G$6)</f>
        <v>0</v>
      </c>
      <c r="H65" s="5">
        <f>SUMIFS('List of Ledgers '!$L:$L,'List of Ledgers '!$F:$F,'P&amp;L'!$A65,'List of Ledgers '!$G:$G,'P&amp;L'!H$6)</f>
        <v>0</v>
      </c>
      <c r="I65" s="5">
        <f>SUMIFS('List of Ledgers '!$L:$L,'List of Ledgers '!$F:$F,'P&amp;L'!$A65,'List of Ledgers '!$G:$G,'P&amp;L'!I$6)</f>
        <v>126600</v>
      </c>
      <c r="J65" s="5">
        <f t="shared" si="24"/>
        <v>126600</v>
      </c>
      <c r="K65" s="5">
        <f>SUMIFS('List of Ledgers '!$L:$L,'List of Ledgers '!$F:$F,'P&amp;L'!$A65,'List of Ledgers '!$G:$G,'P&amp;L'!$K$6)</f>
        <v>0</v>
      </c>
      <c r="L65" s="5">
        <f t="shared" si="27"/>
        <v>126600</v>
      </c>
      <c r="N65" s="5">
        <f>SUMIFS('List of Ledgers '!$Q:$Q,'List of Ledgers '!$F:$F,'P&amp;L'!$A65,'List of Ledgers '!$G:$G,'P&amp;L'!N$6)</f>
        <v>0</v>
      </c>
      <c r="O65" s="5">
        <f>SUMIFS('List of Ledgers '!$Q:$Q,'List of Ledgers '!$F:$F,'P&amp;L'!$A65,'List of Ledgers '!$G:$G,'P&amp;L'!O$6)</f>
        <v>0</v>
      </c>
      <c r="P65" s="5">
        <f>SUMIFS('List of Ledgers '!$Q:$Q,'List of Ledgers '!$F:$F,'P&amp;L'!$A65,'List of Ledgers '!$G:$G,'P&amp;L'!P$6)</f>
        <v>735787</v>
      </c>
      <c r="Q65" s="5">
        <f>SUMIFS('List of Ledgers '!$Q:$Q,'List of Ledgers '!$F:$F,'P&amp;L'!$A65,'List of Ledgers '!$G:$G,'P&amp;L'!Q$6)</f>
        <v>0</v>
      </c>
      <c r="R65" s="5">
        <f>SUMIFS('List of Ledgers '!$Q:$Q,'List of Ledgers '!$F:$F,'P&amp;L'!$A65,'List of Ledgers '!$G:$G,'P&amp;L'!R$6)</f>
        <v>0</v>
      </c>
      <c r="S65" s="5">
        <f>SUMIFS('List of Ledgers '!$Q:$Q,'List of Ledgers '!$F:$F,'P&amp;L'!$A65,'List of Ledgers '!$G:$G,'P&amp;L'!S$6)</f>
        <v>0</v>
      </c>
      <c r="T65" s="5">
        <f>SUMIFS('List of Ledgers '!$Q:$Q,'List of Ledgers '!$F:$F,'P&amp;L'!$A65,'List of Ledgers '!$G:$G,'P&amp;L'!T$6)</f>
        <v>0</v>
      </c>
      <c r="U65" s="5">
        <f>SUMIFS('List of Ledgers '!$Q:$Q,'List of Ledgers '!$F:$F,'P&amp;L'!$A65,'List of Ledgers '!$G:$G,'P&amp;L'!U$6)</f>
        <v>409050</v>
      </c>
      <c r="V65" s="5">
        <f t="shared" si="30"/>
        <v>1144837</v>
      </c>
      <c r="W65" s="5">
        <f>SUMIFS('List of Ledgers '!$Q:$Q,'List of Ledgers '!$F:$F,'P&amp;L'!$A65,'List of Ledgers '!$G:$G,'P&amp;L'!W$6)</f>
        <v>0</v>
      </c>
      <c r="X65" s="5">
        <f t="shared" si="28"/>
        <v>1144837</v>
      </c>
      <c r="Y65" s="7">
        <f t="shared" si="1"/>
        <v>0</v>
      </c>
    </row>
    <row r="66" spans="1:26" outlineLevel="1" x14ac:dyDescent="0.25">
      <c r="A66" s="4" t="s">
        <v>69</v>
      </c>
      <c r="B66" s="5">
        <f>SUMIFS('List of Ledgers '!$L:$L,'List of Ledgers '!$F:$F,'P&amp;L'!$A66,'List of Ledgers '!$G:$G,'P&amp;L'!B$6)</f>
        <v>0</v>
      </c>
      <c r="C66" s="5">
        <f>SUMIFS('List of Ledgers '!$L:$L,'List of Ledgers '!$F:$F,'P&amp;L'!$A66,'List of Ledgers '!$G:$G,'P&amp;L'!C$6)</f>
        <v>0</v>
      </c>
      <c r="D66" s="5">
        <f>SUMIFS('List of Ledgers '!$L:$L,'List of Ledgers '!$F:$F,'P&amp;L'!$A66,'List of Ledgers '!$G:$G,'P&amp;L'!D$6)</f>
        <v>0</v>
      </c>
      <c r="E66" s="5">
        <f>SUMIFS('List of Ledgers '!$L:$L,'List of Ledgers '!$F:$F,'P&amp;L'!$A66,'List of Ledgers '!$G:$G,'P&amp;L'!E$6)</f>
        <v>0</v>
      </c>
      <c r="F66" s="5">
        <f>SUMIFS('List of Ledgers '!$L:$L,'List of Ledgers '!$F:$F,'P&amp;L'!$A66,'List of Ledgers '!$G:$G,'P&amp;L'!F$6)</f>
        <v>0</v>
      </c>
      <c r="G66" s="5">
        <f>SUMIFS('List of Ledgers '!$L:$L,'List of Ledgers '!$F:$F,'P&amp;L'!$A66,'List of Ledgers '!$G:$G,'P&amp;L'!G$6)</f>
        <v>42651</v>
      </c>
      <c r="H66" s="5">
        <f>SUMIFS('List of Ledgers '!$L:$L,'List of Ledgers '!$F:$F,'P&amp;L'!$A66,'List of Ledgers '!$G:$G,'P&amp;L'!H$6)</f>
        <v>1013313</v>
      </c>
      <c r="I66" s="5">
        <f>SUMIFS('List of Ledgers '!$L:$L,'List of Ledgers '!$F:$F,'P&amp;L'!$A66,'List of Ledgers '!$G:$G,'P&amp;L'!I$6)</f>
        <v>5395.95</v>
      </c>
      <c r="J66" s="5">
        <f t="shared" si="24"/>
        <v>1061359.95</v>
      </c>
      <c r="K66" s="5">
        <f>SUMIFS('List of Ledgers '!$L:$L,'List of Ledgers '!$F:$F,'P&amp;L'!$A66,'List of Ledgers '!$G:$G,'P&amp;L'!$K$6)</f>
        <v>0</v>
      </c>
      <c r="L66" s="5">
        <f t="shared" si="27"/>
        <v>1061359.95</v>
      </c>
      <c r="N66" s="5">
        <f>SUMIFS('List of Ledgers '!$Q:$Q,'List of Ledgers '!$F:$F,'P&amp;L'!$A66,'List of Ledgers '!$G:$G,'P&amp;L'!N$6)</f>
        <v>0</v>
      </c>
      <c r="O66" s="5">
        <f>SUMIFS('List of Ledgers '!$Q:$Q,'List of Ledgers '!$F:$F,'P&amp;L'!$A66,'List of Ledgers '!$G:$G,'P&amp;L'!O$6)</f>
        <v>0</v>
      </c>
      <c r="P66" s="5">
        <f>SUMIFS('List of Ledgers '!$Q:$Q,'List of Ledgers '!$F:$F,'P&amp;L'!$A66,'List of Ledgers '!$G:$G,'P&amp;L'!P$6)</f>
        <v>1443967.46</v>
      </c>
      <c r="Q66" s="5">
        <f>SUMIFS('List of Ledgers '!$Q:$Q,'List of Ledgers '!$F:$F,'P&amp;L'!$A66,'List of Ledgers '!$G:$G,'P&amp;L'!Q$6)</f>
        <v>0</v>
      </c>
      <c r="R66" s="5">
        <f>SUMIFS('List of Ledgers '!$Q:$Q,'List of Ledgers '!$F:$F,'P&amp;L'!$A66,'List of Ledgers '!$G:$G,'P&amp;L'!R$6)</f>
        <v>0</v>
      </c>
      <c r="S66" s="5">
        <f>SUMIFS('List of Ledgers '!$Q:$Q,'List of Ledgers '!$F:$F,'P&amp;L'!$A66,'List of Ledgers '!$G:$G,'P&amp;L'!S$6)</f>
        <v>741479.9</v>
      </c>
      <c r="T66" s="5">
        <f>SUMIFS('List of Ledgers '!$Q:$Q,'List of Ledgers '!$F:$F,'P&amp;L'!$A66,'List of Ledgers '!$G:$G,'P&amp;L'!T$6)</f>
        <v>3912911.9</v>
      </c>
      <c r="U66" s="5">
        <f>SUMIFS('List of Ledgers '!$Q:$Q,'List of Ledgers '!$F:$F,'P&amp;L'!$A66,'List of Ledgers '!$G:$G,'P&amp;L'!U$6)</f>
        <v>24171.95</v>
      </c>
      <c r="V66" s="5">
        <f t="shared" si="30"/>
        <v>6122531.21</v>
      </c>
      <c r="W66" s="5">
        <f>SUMIFS('List of Ledgers '!$Q:$Q,'List of Ledgers '!$F:$F,'P&amp;L'!$A66,'List of Ledgers '!$G:$G,'P&amp;L'!W$6)</f>
        <v>0</v>
      </c>
      <c r="X66" s="5">
        <f t="shared" si="28"/>
        <v>6122531.21</v>
      </c>
      <c r="Y66" s="7">
        <f t="shared" si="1"/>
        <v>0</v>
      </c>
    </row>
    <row r="67" spans="1:26" outlineLevel="1" x14ac:dyDescent="0.25">
      <c r="A67" s="4" t="s">
        <v>70</v>
      </c>
      <c r="B67" s="5">
        <f>SUMIFS('List of Ledgers '!$L:$L,'List of Ledgers '!$F:$F,'P&amp;L'!$A67,'List of Ledgers '!$G:$G,'P&amp;L'!B$6)</f>
        <v>0</v>
      </c>
      <c r="C67" s="5">
        <f>SUMIFS('List of Ledgers '!$L:$L,'List of Ledgers '!$F:$F,'P&amp;L'!$A67,'List of Ledgers '!$G:$G,'P&amp;L'!C$6)</f>
        <v>0</v>
      </c>
      <c r="D67" s="5">
        <f>SUMIFS('List of Ledgers '!$L:$L,'List of Ledgers '!$F:$F,'P&amp;L'!$A67,'List of Ledgers '!$G:$G,'P&amp;L'!D$6)</f>
        <v>0</v>
      </c>
      <c r="E67" s="5">
        <f>SUMIFS('List of Ledgers '!$L:$L,'List of Ledgers '!$F:$F,'P&amp;L'!$A67,'List of Ledgers '!$G:$G,'P&amp;L'!E$6)</f>
        <v>0</v>
      </c>
      <c r="F67" s="5">
        <f>SUMIFS('List of Ledgers '!$L:$L,'List of Ledgers '!$F:$F,'P&amp;L'!$A67,'List of Ledgers '!$G:$G,'P&amp;L'!F$6)</f>
        <v>0</v>
      </c>
      <c r="G67" s="5">
        <f>SUMIFS('List of Ledgers '!$L:$L,'List of Ledgers '!$F:$F,'P&amp;L'!$A67,'List of Ledgers '!$G:$G,'P&amp;L'!G$6)</f>
        <v>0</v>
      </c>
      <c r="H67" s="5">
        <f>SUMIFS('List of Ledgers '!$L:$L,'List of Ledgers '!$F:$F,'P&amp;L'!$A67,'List of Ledgers '!$G:$G,'P&amp;L'!H$6)</f>
        <v>0</v>
      </c>
      <c r="I67" s="5">
        <f>SUMIFS('List of Ledgers '!$L:$L,'List of Ledgers '!$F:$F,'P&amp;L'!$A67,'List of Ledgers '!$G:$G,'P&amp;L'!I$6)</f>
        <v>0</v>
      </c>
      <c r="J67" s="5">
        <f t="shared" si="24"/>
        <v>0</v>
      </c>
      <c r="K67" s="5">
        <f>SUMIFS('List of Ledgers '!$L:$L,'List of Ledgers '!$F:$F,'P&amp;L'!$A67,'List of Ledgers '!$G:$G,'P&amp;L'!$K$6)</f>
        <v>0</v>
      </c>
      <c r="L67" s="5">
        <f t="shared" ref="L67" si="39">J67+K67</f>
        <v>0</v>
      </c>
      <c r="N67" s="5">
        <f>SUMIFS('List of Ledgers '!$Q:$Q,'List of Ledgers '!$F:$F,'P&amp;L'!$A67,'List of Ledgers '!$G:$G,'P&amp;L'!N$6)</f>
        <v>0</v>
      </c>
      <c r="O67" s="5">
        <f>SUMIFS('List of Ledgers '!$Q:$Q,'List of Ledgers '!$F:$F,'P&amp;L'!$A67,'List of Ledgers '!$G:$G,'P&amp;L'!O$6)</f>
        <v>0</v>
      </c>
      <c r="P67" s="5">
        <f>SUMIFS('List of Ledgers '!$Q:$Q,'List of Ledgers '!$F:$F,'P&amp;L'!$A67,'List of Ledgers '!$G:$G,'P&amp;L'!P$6)</f>
        <v>0</v>
      </c>
      <c r="Q67" s="5">
        <f>SUMIFS('List of Ledgers '!$Q:$Q,'List of Ledgers '!$F:$F,'P&amp;L'!$A67,'List of Ledgers '!$G:$G,'P&amp;L'!Q$6)</f>
        <v>0</v>
      </c>
      <c r="R67" s="5">
        <f>SUMIFS('List of Ledgers '!$Q:$Q,'List of Ledgers '!$F:$F,'P&amp;L'!$A67,'List of Ledgers '!$G:$G,'P&amp;L'!R$6)</f>
        <v>0</v>
      </c>
      <c r="S67" s="5">
        <f>SUMIFS('List of Ledgers '!$Q:$Q,'List of Ledgers '!$F:$F,'P&amp;L'!$A67,'List of Ledgers '!$G:$G,'P&amp;L'!S$6)</f>
        <v>0</v>
      </c>
      <c r="T67" s="5">
        <f>SUMIFS('List of Ledgers '!$Q:$Q,'List of Ledgers '!$F:$F,'P&amp;L'!$A67,'List of Ledgers '!$G:$G,'P&amp;L'!T$6)</f>
        <v>0</v>
      </c>
      <c r="U67" s="5">
        <f>SUMIFS('List of Ledgers '!$Q:$Q,'List of Ledgers '!$F:$F,'P&amp;L'!$A67,'List of Ledgers '!$G:$G,'P&amp;L'!U$6)</f>
        <v>0</v>
      </c>
      <c r="V67" s="5">
        <f t="shared" ref="V67" si="40">SUM(N67:U67)</f>
        <v>0</v>
      </c>
      <c r="W67" s="5">
        <f>SUMIFS('List of Ledgers '!$Q:$Q,'List of Ledgers '!$F:$F,'P&amp;L'!$A67,'List of Ledgers '!$G:$G,'P&amp;L'!W$6)</f>
        <v>0</v>
      </c>
      <c r="X67" s="5">
        <f t="shared" ref="X67" si="41">V67+W67</f>
        <v>0</v>
      </c>
      <c r="Y67" s="7">
        <f t="shared" si="1"/>
        <v>0</v>
      </c>
    </row>
    <row r="68" spans="1:26" outlineLevel="1" x14ac:dyDescent="0.2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7">
        <f t="shared" si="1"/>
        <v>0</v>
      </c>
    </row>
    <row r="69" spans="1:26" x14ac:dyDescent="0.25">
      <c r="A69" s="42" t="s">
        <v>1295</v>
      </c>
      <c r="B69" s="57">
        <f t="shared" ref="B69:L69" si="42">SUM(B36:B68)</f>
        <v>0</v>
      </c>
      <c r="C69" s="57">
        <f t="shared" si="42"/>
        <v>18401.57</v>
      </c>
      <c r="D69" s="57">
        <f t="shared" si="42"/>
        <v>123899.40000000001</v>
      </c>
      <c r="E69" s="57">
        <f t="shared" si="42"/>
        <v>0</v>
      </c>
      <c r="F69" s="57">
        <f t="shared" si="42"/>
        <v>0</v>
      </c>
      <c r="G69" s="57">
        <f t="shared" si="42"/>
        <v>3160813.61</v>
      </c>
      <c r="H69" s="57">
        <f t="shared" si="42"/>
        <v>1037123</v>
      </c>
      <c r="I69" s="57">
        <f t="shared" si="42"/>
        <v>968168.74</v>
      </c>
      <c r="J69" s="57">
        <f t="shared" si="42"/>
        <v>5308406.3199999994</v>
      </c>
      <c r="K69" s="57">
        <f t="shared" si="42"/>
        <v>0</v>
      </c>
      <c r="L69" s="57">
        <f t="shared" si="42"/>
        <v>5308406.3199999994</v>
      </c>
      <c r="N69" s="57">
        <f t="shared" ref="N69:X69" si="43">SUM(N36:N68)</f>
        <v>20850</v>
      </c>
      <c r="O69" s="57">
        <f t="shared" si="43"/>
        <v>98226.57</v>
      </c>
      <c r="P69" s="57">
        <f t="shared" si="43"/>
        <v>3051552.71</v>
      </c>
      <c r="Q69" s="57">
        <f t="shared" si="43"/>
        <v>0</v>
      </c>
      <c r="R69" s="57">
        <f t="shared" si="43"/>
        <v>0</v>
      </c>
      <c r="S69" s="57">
        <f t="shared" si="43"/>
        <v>9641656.2899999991</v>
      </c>
      <c r="T69" s="57">
        <f t="shared" si="43"/>
        <v>6733716.4000000004</v>
      </c>
      <c r="U69" s="57">
        <f t="shared" si="43"/>
        <v>3364458.31</v>
      </c>
      <c r="V69" s="57">
        <f t="shared" si="43"/>
        <v>22910460.280000001</v>
      </c>
      <c r="W69" s="57">
        <f t="shared" si="43"/>
        <v>460.59</v>
      </c>
      <c r="X69" s="57">
        <f t="shared" si="43"/>
        <v>22910920.869999997</v>
      </c>
      <c r="Y69" s="7">
        <f t="shared" si="1"/>
        <v>-460.5899999961257</v>
      </c>
      <c r="Z69" s="7"/>
    </row>
    <row r="70" spans="1:26" x14ac:dyDescent="0.2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Z70" s="7"/>
    </row>
    <row r="71" spans="1:26" x14ac:dyDescent="0.25">
      <c r="A71" s="42" t="s">
        <v>73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Z71" s="7"/>
    </row>
    <row r="72" spans="1:26" outlineLevel="1" x14ac:dyDescent="0.25">
      <c r="A72" s="4" t="s">
        <v>5</v>
      </c>
      <c r="B72" s="5">
        <f>($E69+$E8)/3</f>
        <v>0</v>
      </c>
      <c r="C72" s="5">
        <f>($E69+$E8)/3</f>
        <v>0</v>
      </c>
      <c r="D72" s="5">
        <f>($E69+$E8)/3</f>
        <v>0</v>
      </c>
      <c r="E72" s="5"/>
      <c r="F72" s="5"/>
      <c r="G72" s="5"/>
      <c r="H72" s="5"/>
      <c r="I72" s="5"/>
      <c r="J72" s="5">
        <f>SUM(B72:G72)</f>
        <v>0</v>
      </c>
      <c r="K72" s="5"/>
      <c r="L72" s="5">
        <f>J72+K72</f>
        <v>0</v>
      </c>
      <c r="N72" s="5">
        <f>($Q$69+$Q$8)/3</f>
        <v>0</v>
      </c>
      <c r="O72" s="5">
        <f>($Q$69+$Q$8)/3</f>
        <v>0</v>
      </c>
      <c r="P72" s="5">
        <f>($Q$69+$Q$8)/3</f>
        <v>0</v>
      </c>
      <c r="Q72" s="5"/>
      <c r="R72" s="5"/>
      <c r="S72" s="5"/>
      <c r="T72" s="5"/>
      <c r="U72" s="5"/>
      <c r="V72" s="5">
        <f>SUM(N72:S72)</f>
        <v>0</v>
      </c>
      <c r="W72" s="5"/>
      <c r="X72" s="5">
        <f>V72+W72</f>
        <v>0</v>
      </c>
    </row>
    <row r="73" spans="1:26" outlineLevel="1" x14ac:dyDescent="0.25">
      <c r="A73" s="4" t="s">
        <v>6</v>
      </c>
      <c r="B73" s="5">
        <f>($F69+$F8)/3</f>
        <v>0</v>
      </c>
      <c r="C73" s="5">
        <f>($F69+$F8)/3</f>
        <v>0</v>
      </c>
      <c r="D73" s="5">
        <f>($F69+$F8)/3</f>
        <v>0</v>
      </c>
      <c r="E73" s="5"/>
      <c r="F73" s="5"/>
      <c r="G73" s="5"/>
      <c r="H73" s="5"/>
      <c r="I73" s="5"/>
      <c r="J73" s="5">
        <f>SUM(B73:G73)</f>
        <v>0</v>
      </c>
      <c r="K73" s="5"/>
      <c r="L73" s="5">
        <f>J73+K73</f>
        <v>0</v>
      </c>
      <c r="N73" s="5">
        <f>($R$69+$R$8)/3</f>
        <v>0</v>
      </c>
      <c r="O73" s="5">
        <f>($R$69+$R$8)/3</f>
        <v>0</v>
      </c>
      <c r="P73" s="5">
        <f>($R$69+$R$8)/3</f>
        <v>0</v>
      </c>
      <c r="Q73" s="5"/>
      <c r="R73" s="5"/>
      <c r="S73" s="5"/>
      <c r="T73" s="5"/>
      <c r="U73" s="5"/>
      <c r="V73" s="5">
        <f>SUM(N73:S73)</f>
        <v>0</v>
      </c>
      <c r="W73" s="5"/>
      <c r="X73" s="5">
        <f>V73+W73</f>
        <v>0</v>
      </c>
    </row>
    <row r="74" spans="1:26" outlineLevel="1" x14ac:dyDescent="0.25">
      <c r="A74" s="4" t="s">
        <v>7</v>
      </c>
      <c r="B74" s="5">
        <v>0</v>
      </c>
      <c r="C74" s="5">
        <f>G69*C7/J7</f>
        <v>1197.7023045720332</v>
      </c>
      <c r="D74" s="5"/>
      <c r="E74" s="5"/>
      <c r="F74" s="5"/>
      <c r="G74" s="57">
        <f>-G69</f>
        <v>-3160813.61</v>
      </c>
      <c r="H74" s="5"/>
      <c r="I74" s="5">
        <f>G69*I7/J7</f>
        <v>3159615.9076954275</v>
      </c>
      <c r="J74" s="5">
        <f>SUM(B74:I74)</f>
        <v>0</v>
      </c>
      <c r="K74" s="5"/>
      <c r="L74" s="5">
        <f>J74+K74</f>
        <v>0</v>
      </c>
      <c r="N74" s="181">
        <f>$S$69*N$7/$V$7</f>
        <v>74777.921987630019</v>
      </c>
      <c r="O74" s="181">
        <f>$S$69*O$7/$V$7</f>
        <v>35377.351852573083</v>
      </c>
      <c r="P74" s="181">
        <f>$S$69*P$7/$V$7</f>
        <v>4468529.7240228662</v>
      </c>
      <c r="Q74" s="181">
        <f>$S$69*Q$7/$V$7</f>
        <v>0</v>
      </c>
      <c r="R74" s="181">
        <f>$S$69*R$7/$V$7</f>
        <v>0</v>
      </c>
      <c r="S74" s="57">
        <f>-S69</f>
        <v>-9641656.2899999991</v>
      </c>
      <c r="T74" s="181">
        <f>$S$69*T$7/$V$7</f>
        <v>0</v>
      </c>
      <c r="U74" s="181">
        <f>$S$69*U$7/$V$7</f>
        <v>5062971.292136929</v>
      </c>
      <c r="V74" s="5">
        <f>SUM(N74:U74)</f>
        <v>0</v>
      </c>
      <c r="W74" s="5"/>
      <c r="X74" s="5">
        <f>V74+W74</f>
        <v>0</v>
      </c>
    </row>
    <row r="75" spans="1:26" x14ac:dyDescent="0.25">
      <c r="A75" s="42" t="s">
        <v>72</v>
      </c>
      <c r="B75" s="5">
        <f t="shared" ref="B75:J75" si="44">B74+B69</f>
        <v>0</v>
      </c>
      <c r="C75" s="5">
        <f t="shared" si="44"/>
        <v>19599.272304572034</v>
      </c>
      <c r="D75" s="5">
        <f t="shared" si="44"/>
        <v>123899.40000000001</v>
      </c>
      <c r="E75" s="5">
        <f t="shared" si="44"/>
        <v>0</v>
      </c>
      <c r="F75" s="5">
        <f t="shared" si="44"/>
        <v>0</v>
      </c>
      <c r="G75" s="5">
        <f t="shared" si="44"/>
        <v>0</v>
      </c>
      <c r="H75" s="5">
        <f t="shared" si="44"/>
        <v>1037123</v>
      </c>
      <c r="I75" s="5">
        <f t="shared" si="44"/>
        <v>4127784.6476954278</v>
      </c>
      <c r="J75" s="5">
        <f t="shared" si="44"/>
        <v>5308406.3199999994</v>
      </c>
      <c r="K75" s="5"/>
      <c r="L75" s="5">
        <f>J75+K75</f>
        <v>5308406.3199999994</v>
      </c>
      <c r="N75" s="5">
        <f t="shared" ref="N75:X75" si="45">N74+N69</f>
        <v>95627.921987630019</v>
      </c>
      <c r="O75" s="5">
        <f t="shared" si="45"/>
        <v>133603.92185257308</v>
      </c>
      <c r="P75" s="5">
        <f t="shared" si="45"/>
        <v>7520082.4340228662</v>
      </c>
      <c r="Q75" s="5">
        <f t="shared" si="45"/>
        <v>0</v>
      </c>
      <c r="R75" s="5">
        <f t="shared" si="45"/>
        <v>0</v>
      </c>
      <c r="S75" s="5">
        <f t="shared" si="45"/>
        <v>0</v>
      </c>
      <c r="T75" s="5">
        <f t="shared" si="45"/>
        <v>6733716.4000000004</v>
      </c>
      <c r="U75" s="5">
        <f t="shared" si="45"/>
        <v>8427429.6021369286</v>
      </c>
      <c r="V75" s="5">
        <f t="shared" si="45"/>
        <v>22910460.280000001</v>
      </c>
      <c r="W75" s="5">
        <f t="shared" si="45"/>
        <v>460.59</v>
      </c>
      <c r="X75" s="5">
        <f t="shared" si="45"/>
        <v>22910920.869999997</v>
      </c>
    </row>
    <row r="76" spans="1:26" x14ac:dyDescent="0.25">
      <c r="A76" s="4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6" x14ac:dyDescent="0.25">
      <c r="A77" s="4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6" x14ac:dyDescent="0.25">
      <c r="A78" s="42" t="s">
        <v>74</v>
      </c>
      <c r="B78" s="5">
        <f t="shared" ref="B78:I78" si="46">B16+B20-B69</f>
        <v>0</v>
      </c>
      <c r="C78" s="5">
        <f t="shared" si="46"/>
        <v>-18401.569999999971</v>
      </c>
      <c r="D78" s="5">
        <f t="shared" si="46"/>
        <v>16779680.130000003</v>
      </c>
      <c r="E78" s="5">
        <f t="shared" si="46"/>
        <v>0</v>
      </c>
      <c r="F78" s="5">
        <f t="shared" si="46"/>
        <v>0</v>
      </c>
      <c r="G78" s="5">
        <f t="shared" si="46"/>
        <v>-3195863.61</v>
      </c>
      <c r="H78" s="5">
        <f t="shared" si="46"/>
        <v>-837123</v>
      </c>
      <c r="I78" s="5">
        <f t="shared" si="46"/>
        <v>2368011.0100000128</v>
      </c>
      <c r="J78" s="5">
        <f>J16+J20-J69</f>
        <v>15096302.960000016</v>
      </c>
      <c r="K78" s="5"/>
      <c r="L78" s="5">
        <f>L16+L20-L69</f>
        <v>15096302.960000016</v>
      </c>
      <c r="N78" s="5">
        <f t="shared" ref="N78:W78" si="47">N16+N20-N69</f>
        <v>-81903.050000000047</v>
      </c>
      <c r="O78" s="5">
        <f t="shared" si="47"/>
        <v>230157.98000000027</v>
      </c>
      <c r="P78" s="5">
        <f t="shared" si="47"/>
        <v>17378193.830000002</v>
      </c>
      <c r="Q78" s="5">
        <f t="shared" si="47"/>
        <v>0</v>
      </c>
      <c r="R78" s="5">
        <f t="shared" si="47"/>
        <v>0</v>
      </c>
      <c r="S78" s="5">
        <f t="shared" si="47"/>
        <v>-9028298.8499999996</v>
      </c>
      <c r="T78" s="5">
        <f t="shared" si="47"/>
        <v>-6533716.4000000004</v>
      </c>
      <c r="U78" s="5">
        <f t="shared" si="47"/>
        <v>2275897.1399999983</v>
      </c>
      <c r="V78" s="5">
        <f t="shared" si="47"/>
        <v>4240330.650000032</v>
      </c>
      <c r="W78" s="5">
        <f t="shared" si="47"/>
        <v>-211814.79</v>
      </c>
      <c r="X78" s="5">
        <f>X16+X20-X69</f>
        <v>4028515.8600000367</v>
      </c>
    </row>
    <row r="79" spans="1:26" x14ac:dyDescent="0.25">
      <c r="A79" s="42" t="s">
        <v>75</v>
      </c>
      <c r="B79" s="45">
        <f t="shared" ref="B79:L79" si="48">IFERROR(B78/B7,0)</f>
        <v>0</v>
      </c>
      <c r="C79" s="45">
        <f t="shared" si="48"/>
        <v>-0.64715144021112114</v>
      </c>
      <c r="D79" s="45">
        <f t="shared" si="48"/>
        <v>0</v>
      </c>
      <c r="E79" s="45">
        <f t="shared" si="48"/>
        <v>0</v>
      </c>
      <c r="F79" s="45">
        <f t="shared" si="48"/>
        <v>0</v>
      </c>
      <c r="G79" s="45">
        <f t="shared" si="48"/>
        <v>0</v>
      </c>
      <c r="H79" s="45">
        <f t="shared" si="48"/>
        <v>0</v>
      </c>
      <c r="I79" s="45">
        <f t="shared" si="48"/>
        <v>3.1568166226030876E-2</v>
      </c>
      <c r="J79" s="45">
        <f t="shared" si="48"/>
        <v>0.2011739046398936</v>
      </c>
      <c r="K79" s="45">
        <f t="shared" si="48"/>
        <v>0</v>
      </c>
      <c r="L79" s="45">
        <f t="shared" si="48"/>
        <v>0.2011739046398936</v>
      </c>
      <c r="N79" s="45">
        <f t="shared" ref="N79:W79" si="49">IFERROR(N78/N7,0)</f>
        <v>-4.6253302385397869E-2</v>
      </c>
      <c r="O79" s="45">
        <f t="shared" si="49"/>
        <v>0.27473676469147063</v>
      </c>
      <c r="P79" s="45">
        <f t="shared" si="49"/>
        <v>0.16423134480234816</v>
      </c>
      <c r="Q79" s="45">
        <f t="shared" si="49"/>
        <v>0</v>
      </c>
      <c r="R79" s="45">
        <f t="shared" si="49"/>
        <v>0</v>
      </c>
      <c r="S79" s="45">
        <f t="shared" si="49"/>
        <v>0</v>
      </c>
      <c r="T79" s="45">
        <f t="shared" si="49"/>
        <v>0</v>
      </c>
      <c r="U79" s="45">
        <f t="shared" si="49"/>
        <v>1.8982929226248287E-2</v>
      </c>
      <c r="V79" s="45">
        <f t="shared" si="49"/>
        <v>1.8572233745127124E-2</v>
      </c>
      <c r="W79" s="45">
        <f t="shared" si="49"/>
        <v>0</v>
      </c>
      <c r="X79" s="45">
        <f>IFERROR(X78/X7,0)</f>
        <v>1.7644505670300011E-2</v>
      </c>
    </row>
    <row r="80" spans="1:26" x14ac:dyDescent="0.25">
      <c r="A80" s="123" t="s">
        <v>76</v>
      </c>
      <c r="B80" s="124">
        <v>0</v>
      </c>
      <c r="C80" s="124">
        <v>-3.2041399882378379</v>
      </c>
      <c r="D80" s="124">
        <v>0</v>
      </c>
      <c r="E80" s="124">
        <v>0</v>
      </c>
      <c r="F80" s="124">
        <v>0</v>
      </c>
      <c r="G80" s="124">
        <v>0</v>
      </c>
      <c r="H80" s="124">
        <v>0</v>
      </c>
      <c r="I80" s="124">
        <v>5.5087087536109677E-2</v>
      </c>
      <c r="J80" s="124">
        <v>9.6455955693187864E-3</v>
      </c>
      <c r="K80" s="124">
        <v>0</v>
      </c>
      <c r="L80" s="124">
        <v>0</v>
      </c>
      <c r="N80" s="124">
        <v>-4.6253302385397869E-2</v>
      </c>
      <c r="O80" s="124">
        <v>0.34334619499190772</v>
      </c>
      <c r="P80" s="124">
        <v>-2.1525231363760174E-2</v>
      </c>
      <c r="Q80" s="124">
        <v>0</v>
      </c>
      <c r="R80" s="124">
        <v>0</v>
      </c>
      <c r="S80" s="124">
        <v>0</v>
      </c>
      <c r="T80" s="124">
        <v>0</v>
      </c>
      <c r="U80" s="124">
        <v>6.1729203904603104E-2</v>
      </c>
      <c r="V80" s="124">
        <v>-9.4365450046692473E-2</v>
      </c>
      <c r="W80" s="124">
        <v>0</v>
      </c>
      <c r="X80" s="124">
        <v>-9.6288744769748413E-2</v>
      </c>
    </row>
    <row r="81" spans="1:24" x14ac:dyDescent="0.25">
      <c r="A81" s="187"/>
      <c r="J81" s="7"/>
      <c r="K81" s="18"/>
    </row>
    <row r="82" spans="1:24" x14ac:dyDescent="0.25">
      <c r="J82" s="24">
        <f>J78-K82</f>
        <v>15096302.960000016</v>
      </c>
      <c r="K82" s="7">
        <f>K69-K31</f>
        <v>0</v>
      </c>
      <c r="V82" s="15">
        <f>V78-W82</f>
        <v>4028515.860000032</v>
      </c>
      <c r="W82" s="15">
        <v>211814.78999999995</v>
      </c>
    </row>
    <row r="83" spans="1:24" x14ac:dyDescent="0.25">
      <c r="J83" s="99">
        <v>15096302.960000001</v>
      </c>
      <c r="V83" s="99">
        <v>4028515.86</v>
      </c>
      <c r="W83" s="7"/>
      <c r="X83" s="7"/>
    </row>
    <row r="84" spans="1:24" x14ac:dyDescent="0.25">
      <c r="I84" s="2" t="s">
        <v>77</v>
      </c>
      <c r="J84" s="188">
        <f>J82-J83</f>
        <v>1.4901161193847656E-8</v>
      </c>
      <c r="K84" s="103"/>
      <c r="V84" s="129">
        <f>V82-V83</f>
        <v>3.2130628824234009E-8</v>
      </c>
      <c r="W84" s="103"/>
    </row>
    <row r="85" spans="1:24" x14ac:dyDescent="0.25">
      <c r="A85" s="82" t="s">
        <v>78</v>
      </c>
      <c r="C85" s="82" t="str">
        <f>L5</f>
        <v>Mar'26</v>
      </c>
      <c r="D85" s="82" t="s">
        <v>79</v>
      </c>
    </row>
    <row r="86" spans="1:24" x14ac:dyDescent="0.25">
      <c r="A86" s="53" t="s">
        <v>2</v>
      </c>
      <c r="C86" s="86">
        <f>B69</f>
        <v>0</v>
      </c>
      <c r="D86" s="86">
        <f>N69</f>
        <v>20850</v>
      </c>
      <c r="V86" s="7"/>
    </row>
    <row r="87" spans="1:24" x14ac:dyDescent="0.25">
      <c r="A87" s="53" t="s">
        <v>3</v>
      </c>
      <c r="C87" s="86">
        <f>C69</f>
        <v>18401.57</v>
      </c>
      <c r="D87" s="86">
        <f>O69</f>
        <v>98226.57</v>
      </c>
    </row>
    <row r="88" spans="1:24" x14ac:dyDescent="0.25">
      <c r="A88" s="53" t="s">
        <v>4</v>
      </c>
      <c r="C88" s="86">
        <f>D69</f>
        <v>123899.40000000001</v>
      </c>
      <c r="D88" s="86">
        <f>P69</f>
        <v>3051552.71</v>
      </c>
    </row>
    <row r="89" spans="1:24" x14ac:dyDescent="0.25">
      <c r="A89" s="53" t="s">
        <v>5</v>
      </c>
      <c r="C89" s="86">
        <f>E69</f>
        <v>0</v>
      </c>
      <c r="D89" s="86">
        <f>Q69</f>
        <v>0</v>
      </c>
    </row>
    <row r="90" spans="1:24" x14ac:dyDescent="0.25">
      <c r="A90" s="53" t="s">
        <v>6</v>
      </c>
      <c r="C90" s="86">
        <f>F69</f>
        <v>0</v>
      </c>
      <c r="D90" s="86">
        <f>R69</f>
        <v>0</v>
      </c>
    </row>
    <row r="91" spans="1:24" x14ac:dyDescent="0.25">
      <c r="A91" s="53" t="s">
        <v>7</v>
      </c>
      <c r="C91" s="86">
        <f>G69</f>
        <v>3160813.61</v>
      </c>
      <c r="D91" s="86">
        <f>S69</f>
        <v>9641656.2899999991</v>
      </c>
    </row>
    <row r="92" spans="1:24" x14ac:dyDescent="0.25">
      <c r="A92" s="53" t="s">
        <v>8</v>
      </c>
      <c r="C92" s="86">
        <f>H69</f>
        <v>1037123</v>
      </c>
      <c r="D92" s="86">
        <f>T69</f>
        <v>6733716.4000000004</v>
      </c>
    </row>
    <row r="93" spans="1:24" x14ac:dyDescent="0.25">
      <c r="A93" s="53" t="s">
        <v>9</v>
      </c>
      <c r="C93" s="86">
        <f>I69</f>
        <v>968168.74</v>
      </c>
      <c r="D93" s="86">
        <f>U69</f>
        <v>3364458.31</v>
      </c>
    </row>
    <row r="94" spans="1:24" x14ac:dyDescent="0.25">
      <c r="A94" s="94" t="s">
        <v>80</v>
      </c>
      <c r="C94" s="43">
        <f>SUM(C86:C93)</f>
        <v>5308406.32</v>
      </c>
      <c r="D94" s="43">
        <f>SUM(D86:D93)</f>
        <v>22910460.279999997</v>
      </c>
    </row>
  </sheetData>
  <printOptions horizontalCentered="1"/>
  <pageMargins left="0.23622047244094491" right="3.937007874015748E-2" top="0.15748031496062992" bottom="0.15748031496062992" header="0.39370078740157483" footer="0.31496062992125984"/>
  <pageSetup paperSize="9" scale="36" orientation="portrait" r:id="rId1"/>
  <colBreaks count="1" manualBreakCount="1">
    <brk id="12" max="67" man="1"/>
  </colBreaks>
  <ignoredErrors>
    <ignoredError sqref="J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3043-B062-4B44-8167-9D687FB18DEC}">
  <dimension ref="A1:X12"/>
  <sheetViews>
    <sheetView workbookViewId="0">
      <selection activeCell="H6" sqref="H6"/>
    </sheetView>
  </sheetViews>
  <sheetFormatPr defaultRowHeight="15" x14ac:dyDescent="0.25"/>
  <cols>
    <col min="1" max="1" width="24.5703125" bestFit="1" customWidth="1"/>
    <col min="2" max="2" width="10.5703125" bestFit="1" customWidth="1"/>
    <col min="3" max="3" width="7.42578125" bestFit="1" customWidth="1"/>
    <col min="4" max="4" width="7.5703125" bestFit="1" customWidth="1"/>
    <col min="5" max="5" width="8.42578125" bestFit="1" customWidth="1"/>
    <col min="6" max="6" width="7.42578125" bestFit="1" customWidth="1"/>
    <col min="7" max="7" width="9.5703125" bestFit="1" customWidth="1"/>
    <col min="8" max="9" width="13.5703125" bestFit="1" customWidth="1"/>
    <col min="10" max="10" width="18.5703125" bestFit="1" customWidth="1"/>
    <col min="11" max="11" width="13.5703125" bestFit="1" customWidth="1"/>
    <col min="12" max="12" width="12.42578125" bestFit="1" customWidth="1"/>
    <col min="14" max="14" width="12.5703125" bestFit="1" customWidth="1"/>
    <col min="15" max="15" width="6.5703125" bestFit="1" customWidth="1"/>
    <col min="16" max="16" width="9.42578125" bestFit="1" customWidth="1"/>
    <col min="17" max="17" width="7.5703125" bestFit="1" customWidth="1"/>
    <col min="18" max="18" width="6.42578125" bestFit="1" customWidth="1"/>
    <col min="19" max="19" width="9.42578125" bestFit="1" customWidth="1"/>
    <col min="20" max="20" width="13.5703125" bestFit="1" customWidth="1"/>
    <col min="21" max="21" width="13.42578125" bestFit="1" customWidth="1"/>
    <col min="22" max="22" width="10.42578125" bestFit="1" customWidth="1"/>
    <col min="23" max="23" width="7.5703125" bestFit="1" customWidth="1"/>
    <col min="24" max="24" width="10.42578125" bestFit="1" customWidth="1"/>
  </cols>
  <sheetData>
    <row r="1" spans="1:24" x14ac:dyDescent="0.25">
      <c r="L1" s="38" t="str">
        <f>'P&amp;L'!L5</f>
        <v>Mar'26</v>
      </c>
      <c r="N1" s="1" t="str">
        <f>'P&amp;L'!N5</f>
        <v>(April to Mar)</v>
      </c>
      <c r="O1" s="2"/>
      <c r="P1" s="2"/>
      <c r="Q1" s="2"/>
      <c r="R1" s="2"/>
      <c r="S1" s="2"/>
      <c r="T1" s="2"/>
      <c r="U1" s="2"/>
      <c r="V1" s="2"/>
      <c r="W1" s="12"/>
      <c r="X1" s="38" t="s">
        <v>0</v>
      </c>
    </row>
    <row r="2" spans="1:24" ht="57" x14ac:dyDescent="0.25">
      <c r="A2" s="144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  <c r="J2" s="145" t="s">
        <v>10</v>
      </c>
      <c r="K2" s="145" t="s">
        <v>11</v>
      </c>
      <c r="L2" s="145" t="s">
        <v>12</v>
      </c>
      <c r="N2" s="144" t="s">
        <v>2</v>
      </c>
      <c r="O2" s="144" t="s">
        <v>3</v>
      </c>
      <c r="P2" s="144" t="s">
        <v>4</v>
      </c>
      <c r="Q2" s="144" t="s">
        <v>5</v>
      </c>
      <c r="R2" s="144" t="s">
        <v>6</v>
      </c>
      <c r="S2" s="144" t="s">
        <v>7</v>
      </c>
      <c r="T2" s="144" t="s">
        <v>8</v>
      </c>
      <c r="U2" s="144" t="s">
        <v>9</v>
      </c>
      <c r="V2" s="145" t="s">
        <v>10</v>
      </c>
      <c r="W2" s="145" t="s">
        <v>11</v>
      </c>
      <c r="X2" s="145" t="s">
        <v>12</v>
      </c>
    </row>
    <row r="3" spans="1:24" x14ac:dyDescent="0.25">
      <c r="A3" s="4" t="s">
        <v>13</v>
      </c>
      <c r="B3" s="5">
        <f>SUMIFS('List of Ledgers '!$L:$L,'List of Ledgers '!$F:$F,'Marketing Expenses'!$A3,'List of Ledgers '!$G:$G,'Marketing Expenses'!B$2)</f>
        <v>0</v>
      </c>
      <c r="C3" s="5">
        <f>SUMIFS('List of Ledgers '!$L:$L,'List of Ledgers '!$F:$F,'Marketing Expenses'!$A3,'List of Ledgers '!$G:$G,'Marketing Expenses'!C$2)</f>
        <v>0</v>
      </c>
      <c r="D3" s="5">
        <f>SUMIFS('List of Ledgers '!$L:$L,'List of Ledgers '!$F:$F,'Marketing Expenses'!$A3,'List of Ledgers '!$G:$G,'Marketing Expenses'!D$2)</f>
        <v>0</v>
      </c>
      <c r="E3" s="5">
        <f>SUMIFS('List of Ledgers '!$L:$L,'List of Ledgers '!$F:$F,'Marketing Expenses'!$A3,'List of Ledgers '!$G:$G,'Marketing Expenses'!E$2)</f>
        <v>0</v>
      </c>
      <c r="F3" s="5">
        <f>SUMIFS('List of Ledgers '!$L:$L,'List of Ledgers '!$F:$F,'Marketing Expenses'!$A3,'List of Ledgers '!$G:$G,'Marketing Expenses'!F$2)</f>
        <v>0</v>
      </c>
      <c r="G3" s="5">
        <f>SUMIFS('List of Ledgers '!$L:$L,'List of Ledgers '!$F:$F,'Marketing Expenses'!$A3,'List of Ledgers '!$G:$G,'Marketing Expenses'!G$2)</f>
        <v>0</v>
      </c>
      <c r="H3" s="5">
        <f>SUMIFS('List of Ledgers '!$L:$L,'List of Ledgers '!$F:$F,'Marketing Expenses'!$A3,'List of Ledgers '!$G:$G,'Marketing Expenses'!H$2)</f>
        <v>0</v>
      </c>
      <c r="I3" s="5">
        <f>SUMIFS('List of Ledgers '!$L:$L,'List of Ledgers '!$F:$F,'Marketing Expenses'!$A3,'List of Ledgers '!$G:$G,'Marketing Expenses'!I$2)</f>
        <v>0</v>
      </c>
      <c r="J3" s="57">
        <f>SUM(B3:I3)</f>
        <v>0</v>
      </c>
      <c r="K3" s="5">
        <f>SUMIFS('List of Ledgers '!$L:$L,'List of Ledgers '!$F:$F,'Marketing Expenses'!$A3,'List of Ledgers '!$G:$G,'Marketing Expenses'!K$2)</f>
        <v>0</v>
      </c>
      <c r="L3" s="5">
        <f>J3+K3</f>
        <v>0</v>
      </c>
      <c r="N3" s="5">
        <f>SUMIFS('List of Ledgers '!$Q:$Q,'List of Ledgers '!$F:$F,'Marketing Expenses'!$A3,'List of Ledgers '!$G:$G,'Marketing Expenses'!N$2)</f>
        <v>0</v>
      </c>
      <c r="O3" s="5">
        <f>SUMIFS('List of Ledgers '!$Q:$Q,'List of Ledgers '!$F:$F,'Marketing Expenses'!$A3,'List of Ledgers '!$G:$G,'Marketing Expenses'!O$2)</f>
        <v>0</v>
      </c>
      <c r="P3" s="5">
        <f>SUMIFS('List of Ledgers '!$Q:$Q,'List of Ledgers '!$F:$F,'Marketing Expenses'!$A3,'List of Ledgers '!$G:$G,'Marketing Expenses'!P$2)</f>
        <v>0</v>
      </c>
      <c r="Q3" s="5">
        <f>SUMIFS('List of Ledgers '!$Q:$Q,'List of Ledgers '!$F:$F,'Marketing Expenses'!$A3,'List of Ledgers '!$G:$G,'Marketing Expenses'!Q$2)</f>
        <v>0</v>
      </c>
      <c r="R3" s="5">
        <f>SUMIFS('List of Ledgers '!$Q:$Q,'List of Ledgers '!$F:$F,'Marketing Expenses'!$A3,'List of Ledgers '!$G:$G,'Marketing Expenses'!R$2)</f>
        <v>0</v>
      </c>
      <c r="S3" s="5">
        <f>SUMIFS('List of Ledgers '!$Q:$Q,'List of Ledgers '!$F:$F,'Marketing Expenses'!$A3,'List of Ledgers '!$G:$G,'Marketing Expenses'!S$2)</f>
        <v>0</v>
      </c>
      <c r="T3" s="5">
        <f>SUMIFS('List of Ledgers '!$Q:$Q,'List of Ledgers '!$F:$F,'Marketing Expenses'!$A3,'List of Ledgers '!$G:$G,'Marketing Expenses'!T$2)</f>
        <v>418005</v>
      </c>
      <c r="U3" s="5">
        <f>SUMIFS('List of Ledgers '!$Q:$Q,'List of Ledgers '!$F:$F,'Marketing Expenses'!$A3,'List of Ledgers '!$G:$G,'Marketing Expenses'!U$2)</f>
        <v>0</v>
      </c>
      <c r="V3" s="5">
        <f>SUM(N3:U3)</f>
        <v>418005</v>
      </c>
      <c r="W3" s="5">
        <f>SUMIFS('List of Ledgers '!$Q:$Q,'List of Ledgers '!$F:$F,'Marketing Expenses'!$A3,'List of Ledgers '!$G:$G,'Marketing Expenses'!W$2)</f>
        <v>0</v>
      </c>
      <c r="X3" s="5">
        <f>W3+V3</f>
        <v>418005</v>
      </c>
    </row>
    <row r="4" spans="1:24" x14ac:dyDescent="0.25">
      <c r="A4" s="4" t="s">
        <v>14</v>
      </c>
      <c r="B4" s="5">
        <f>SUMIFS('List of Ledgers '!$L:$L,'List of Ledgers '!$F:$F,'Marketing Expenses'!$A4,'List of Ledgers '!$G:$G,'Marketing Expenses'!B$2)</f>
        <v>0</v>
      </c>
      <c r="C4" s="5">
        <f>SUMIFS('List of Ledgers '!$L:$L,'List of Ledgers '!$F:$F,'Marketing Expenses'!$A4,'List of Ledgers '!$G:$G,'Marketing Expenses'!C$2)</f>
        <v>0</v>
      </c>
      <c r="D4" s="5">
        <f>SUMIFS('List of Ledgers '!$L:$L,'List of Ledgers '!$F:$F,'Marketing Expenses'!$A4,'List of Ledgers '!$G:$G,'Marketing Expenses'!D$2)</f>
        <v>0</v>
      </c>
      <c r="E4" s="5">
        <f>SUMIFS('List of Ledgers '!$L:$L,'List of Ledgers '!$F:$F,'Marketing Expenses'!$A4,'List of Ledgers '!$G:$G,'Marketing Expenses'!E$2)</f>
        <v>0</v>
      </c>
      <c r="F4" s="5">
        <f>SUMIFS('List of Ledgers '!$L:$L,'List of Ledgers '!$F:$F,'Marketing Expenses'!$A4,'List of Ledgers '!$G:$G,'Marketing Expenses'!F$2)</f>
        <v>0</v>
      </c>
      <c r="G4" s="5">
        <f>SUMIFS('List of Ledgers '!$L:$L,'List of Ledgers '!$F:$F,'Marketing Expenses'!$A4,'List of Ledgers '!$G:$G,'Marketing Expenses'!G$2)</f>
        <v>0</v>
      </c>
      <c r="H4" s="5">
        <f>SUMIFS('List of Ledgers '!$L:$L,'List of Ledgers '!$F:$F,'Marketing Expenses'!$A4,'List of Ledgers '!$G:$G,'Marketing Expenses'!H$2)</f>
        <v>0</v>
      </c>
      <c r="I4" s="5">
        <f>SUMIFS('List of Ledgers '!$L:$L,'List of Ledgers '!$F:$F,'Marketing Expenses'!$A4,'List of Ledgers '!$G:$G,'Marketing Expenses'!I$2)</f>
        <v>0</v>
      </c>
      <c r="J4" s="57">
        <f t="shared" ref="J4:J11" si="0">SUM(B4:I4)</f>
        <v>0</v>
      </c>
      <c r="K4" s="5">
        <f>SUMIFS('List of Ledgers '!$L:$L,'List of Ledgers '!$F:$F,'Marketing Expenses'!$A4,'List of Ledgers '!$G:$G,'Marketing Expenses'!K$2)</f>
        <v>0</v>
      </c>
      <c r="L4" s="5">
        <f t="shared" ref="L4:L11" si="1">J4+K4</f>
        <v>0</v>
      </c>
      <c r="N4" s="5">
        <f>SUMIFS('List of Ledgers '!$Q:$Q,'List of Ledgers '!$F:$F,'Marketing Expenses'!$A4,'List of Ledgers '!$G:$G,'Marketing Expenses'!N$2)</f>
        <v>0</v>
      </c>
      <c r="O4" s="5">
        <f>SUMIFS('List of Ledgers '!$Q:$Q,'List of Ledgers '!$F:$F,'Marketing Expenses'!$A4,'List of Ledgers '!$G:$G,'Marketing Expenses'!O$2)</f>
        <v>0</v>
      </c>
      <c r="P4" s="5">
        <f>SUMIFS('List of Ledgers '!$Q:$Q,'List of Ledgers '!$F:$F,'Marketing Expenses'!$A4,'List of Ledgers '!$G:$G,'Marketing Expenses'!P$2)</f>
        <v>0</v>
      </c>
      <c r="Q4" s="5">
        <f>SUMIFS('List of Ledgers '!$Q:$Q,'List of Ledgers '!$F:$F,'Marketing Expenses'!$A4,'List of Ledgers '!$G:$G,'Marketing Expenses'!Q$2)</f>
        <v>0</v>
      </c>
      <c r="R4" s="5">
        <f>SUMIFS('List of Ledgers '!$Q:$Q,'List of Ledgers '!$F:$F,'Marketing Expenses'!$A4,'List of Ledgers '!$G:$G,'Marketing Expenses'!R$2)</f>
        <v>0</v>
      </c>
      <c r="S4" s="5">
        <f>SUMIFS('List of Ledgers '!$Q:$Q,'List of Ledgers '!$F:$F,'Marketing Expenses'!$A4,'List of Ledgers '!$G:$G,'Marketing Expenses'!S$2)</f>
        <v>10711</v>
      </c>
      <c r="T4" s="5">
        <f>SUMIFS('List of Ledgers '!$Q:$Q,'List of Ledgers '!$F:$F,'Marketing Expenses'!$A4,'List of Ledgers '!$G:$G,'Marketing Expenses'!T$2)</f>
        <v>0</v>
      </c>
      <c r="U4" s="5">
        <f>SUMIFS('List of Ledgers '!$Q:$Q,'List of Ledgers '!$F:$F,'Marketing Expenses'!$A4,'List of Ledgers '!$G:$G,'Marketing Expenses'!U$2)</f>
        <v>0</v>
      </c>
      <c r="V4" s="5">
        <f t="shared" ref="V4:V11" si="2">SUM(N4:U4)</f>
        <v>10711</v>
      </c>
      <c r="W4" s="5">
        <f>SUMIFS('List of Ledgers '!$Q:$Q,'List of Ledgers '!$F:$F,'Marketing Expenses'!$A4,'List of Ledgers '!$G:$G,'Marketing Expenses'!W$2)</f>
        <v>0</v>
      </c>
      <c r="X4" s="5">
        <f t="shared" ref="X4:X11" si="3">W4+V4</f>
        <v>10711</v>
      </c>
    </row>
    <row r="5" spans="1:24" x14ac:dyDescent="0.25">
      <c r="A5" s="4" t="s">
        <v>15</v>
      </c>
      <c r="B5" s="5">
        <f>SUMIFS('List of Ledgers '!$L:$L,'List of Ledgers '!$F:$F,'Marketing Expenses'!$A5,'List of Ledgers '!$G:$G,'Marketing Expenses'!B$2)</f>
        <v>0</v>
      </c>
      <c r="C5" s="5">
        <f>SUMIFS('List of Ledgers '!$L:$L,'List of Ledgers '!$F:$F,'Marketing Expenses'!$A5,'List of Ledgers '!$G:$G,'Marketing Expenses'!C$2)</f>
        <v>0</v>
      </c>
      <c r="D5" s="5">
        <f>SUMIFS('List of Ledgers '!$L:$L,'List of Ledgers '!$F:$F,'Marketing Expenses'!$A5,'List of Ledgers '!$G:$G,'Marketing Expenses'!D$2)</f>
        <v>0</v>
      </c>
      <c r="E5" s="5">
        <f>SUMIFS('List of Ledgers '!$L:$L,'List of Ledgers '!$F:$F,'Marketing Expenses'!$A5,'List of Ledgers '!$G:$G,'Marketing Expenses'!E$2)</f>
        <v>0</v>
      </c>
      <c r="F5" s="5">
        <f>SUMIFS('List of Ledgers '!$L:$L,'List of Ledgers '!$F:$F,'Marketing Expenses'!$A5,'List of Ledgers '!$G:$G,'Marketing Expenses'!F$2)</f>
        <v>0</v>
      </c>
      <c r="G5" s="5">
        <f>SUMIFS('List of Ledgers '!$L:$L,'List of Ledgers '!$F:$F,'Marketing Expenses'!$A5,'List of Ledgers '!$G:$G,'Marketing Expenses'!G$2)</f>
        <v>0</v>
      </c>
      <c r="H5" s="5">
        <f>SUMIFS('List of Ledgers '!$L:$L,'List of Ledgers '!$F:$F,'Marketing Expenses'!$A5,'List of Ledgers '!$G:$G,'Marketing Expenses'!H$2)</f>
        <v>0</v>
      </c>
      <c r="I5" s="5">
        <f>SUMIFS('List of Ledgers '!$L:$L,'List of Ledgers '!$F:$F,'Marketing Expenses'!$A5,'List of Ledgers '!$G:$G,'Marketing Expenses'!I$2)</f>
        <v>0</v>
      </c>
      <c r="J5" s="57">
        <f t="shared" si="0"/>
        <v>0</v>
      </c>
      <c r="K5" s="5">
        <f>SUMIFS('List of Ledgers '!$L:$L,'List of Ledgers '!$F:$F,'Marketing Expenses'!$A5,'List of Ledgers '!$G:$G,'Marketing Expenses'!K$2)</f>
        <v>0</v>
      </c>
      <c r="L5" s="5">
        <f t="shared" si="1"/>
        <v>0</v>
      </c>
      <c r="N5" s="5">
        <f>SUMIFS('List of Ledgers '!$Q:$Q,'List of Ledgers '!$F:$F,'Marketing Expenses'!$A5,'List of Ledgers '!$G:$G,'Marketing Expenses'!N$2)</f>
        <v>0</v>
      </c>
      <c r="O5" s="5">
        <f>SUMIFS('List of Ledgers '!$Q:$Q,'List of Ledgers '!$F:$F,'Marketing Expenses'!$A5,'List of Ledgers '!$G:$G,'Marketing Expenses'!O$2)</f>
        <v>0</v>
      </c>
      <c r="P5" s="5">
        <f>SUMIFS('List of Ledgers '!$Q:$Q,'List of Ledgers '!$F:$F,'Marketing Expenses'!$A5,'List of Ledgers '!$G:$G,'Marketing Expenses'!P$2)</f>
        <v>0</v>
      </c>
      <c r="Q5" s="5">
        <f>SUMIFS('List of Ledgers '!$Q:$Q,'List of Ledgers '!$F:$F,'Marketing Expenses'!$A5,'List of Ledgers '!$G:$G,'Marketing Expenses'!Q$2)</f>
        <v>0</v>
      </c>
      <c r="R5" s="5">
        <f>SUMIFS('List of Ledgers '!$Q:$Q,'List of Ledgers '!$F:$F,'Marketing Expenses'!$A5,'List of Ledgers '!$G:$G,'Marketing Expenses'!R$2)</f>
        <v>0</v>
      </c>
      <c r="S5" s="5">
        <f>SUMIFS('List of Ledgers '!$Q:$Q,'List of Ledgers '!$F:$F,'Marketing Expenses'!$A5,'List of Ledgers '!$G:$G,'Marketing Expenses'!S$2)</f>
        <v>0</v>
      </c>
      <c r="T5" s="5">
        <f>SUMIFS('List of Ledgers '!$Q:$Q,'List of Ledgers '!$F:$F,'Marketing Expenses'!$A5,'List of Ledgers '!$G:$G,'Marketing Expenses'!T$2)</f>
        <v>0</v>
      </c>
      <c r="U5" s="5">
        <f>SUMIFS('List of Ledgers '!$Q:$Q,'List of Ledgers '!$F:$F,'Marketing Expenses'!$A5,'List of Ledgers '!$G:$G,'Marketing Expenses'!U$2)</f>
        <v>0</v>
      </c>
      <c r="V5" s="5">
        <f t="shared" si="2"/>
        <v>0</v>
      </c>
      <c r="W5" s="5">
        <f>SUMIFS('List of Ledgers '!$Q:$Q,'List of Ledgers '!$F:$F,'Marketing Expenses'!$A5,'List of Ledgers '!$G:$G,'Marketing Expenses'!W$2)</f>
        <v>0</v>
      </c>
      <c r="X5" s="5">
        <f t="shared" si="3"/>
        <v>0</v>
      </c>
    </row>
    <row r="6" spans="1:24" x14ac:dyDescent="0.25">
      <c r="A6" s="4" t="s">
        <v>16</v>
      </c>
      <c r="B6" s="5">
        <f>SUMIFS('List of Ledgers '!$L:$L,'List of Ledgers '!$F:$F,'Marketing Expenses'!$A6,'List of Ledgers '!$G:$G,'Marketing Expenses'!B$2)</f>
        <v>0</v>
      </c>
      <c r="C6" s="5">
        <f>SUMIFS('List of Ledgers '!$L:$L,'List of Ledgers '!$F:$F,'Marketing Expenses'!$A6,'List of Ledgers '!$G:$G,'Marketing Expenses'!C$2)</f>
        <v>0</v>
      </c>
      <c r="D6" s="5">
        <f>SUMIFS('List of Ledgers '!$L:$L,'List of Ledgers '!$F:$F,'Marketing Expenses'!$A6,'List of Ledgers '!$G:$G,'Marketing Expenses'!D$2)</f>
        <v>30000</v>
      </c>
      <c r="E6" s="5">
        <f>SUMIFS('List of Ledgers '!$L:$L,'List of Ledgers '!$F:$F,'Marketing Expenses'!$A6,'List of Ledgers '!$G:$G,'Marketing Expenses'!E$2)</f>
        <v>0</v>
      </c>
      <c r="F6" s="5">
        <f>SUMIFS('List of Ledgers '!$L:$L,'List of Ledgers '!$F:$F,'Marketing Expenses'!$A6,'List of Ledgers '!$G:$G,'Marketing Expenses'!F$2)</f>
        <v>0</v>
      </c>
      <c r="G6" s="5">
        <f>SUMIFS('List of Ledgers '!$L:$L,'List of Ledgers '!$F:$F,'Marketing Expenses'!$A6,'List of Ledgers '!$G:$G,'Marketing Expenses'!G$2)</f>
        <v>0</v>
      </c>
      <c r="H6" s="5">
        <f>SUMIFS('List of Ledgers '!$L:$L,'List of Ledgers '!$F:$F,'Marketing Expenses'!$A6,'List of Ledgers '!$G:$G,'Marketing Expenses'!H$2)</f>
        <v>4000</v>
      </c>
      <c r="I6" s="5">
        <f>SUMIFS('List of Ledgers '!$L:$L,'List of Ledgers '!$F:$F,'Marketing Expenses'!$A6,'List of Ledgers '!$G:$G,'Marketing Expenses'!I$2)</f>
        <v>0</v>
      </c>
      <c r="J6" s="57">
        <f t="shared" si="0"/>
        <v>34000</v>
      </c>
      <c r="K6" s="5">
        <f>SUMIFS('List of Ledgers '!$L:$L,'List of Ledgers '!$F:$F,'Marketing Expenses'!$A6,'List of Ledgers '!$G:$G,'Marketing Expenses'!K$2)</f>
        <v>0</v>
      </c>
      <c r="L6" s="5">
        <f t="shared" si="1"/>
        <v>34000</v>
      </c>
      <c r="N6" s="5">
        <f>SUMIFS('List of Ledgers '!$Q:$Q,'List of Ledgers '!$F:$F,'Marketing Expenses'!$A6,'List of Ledgers '!$G:$G,'Marketing Expenses'!N$2)</f>
        <v>0</v>
      </c>
      <c r="O6" s="5">
        <f>SUMIFS('List of Ledgers '!$Q:$Q,'List of Ledgers '!$F:$F,'Marketing Expenses'!$A6,'List of Ledgers '!$G:$G,'Marketing Expenses'!O$2)</f>
        <v>0</v>
      </c>
      <c r="P6" s="5">
        <f>SUMIFS('List of Ledgers '!$Q:$Q,'List of Ledgers '!$F:$F,'Marketing Expenses'!$A6,'List of Ledgers '!$G:$G,'Marketing Expenses'!P$2)</f>
        <v>30000</v>
      </c>
      <c r="Q6" s="5">
        <f>SUMIFS('List of Ledgers '!$Q:$Q,'List of Ledgers '!$F:$F,'Marketing Expenses'!$A6,'List of Ledgers '!$G:$G,'Marketing Expenses'!Q$2)</f>
        <v>0</v>
      </c>
      <c r="R6" s="5">
        <f>SUMIFS('List of Ledgers '!$Q:$Q,'List of Ledgers '!$F:$F,'Marketing Expenses'!$A6,'List of Ledgers '!$G:$G,'Marketing Expenses'!R$2)</f>
        <v>0</v>
      </c>
      <c r="S6" s="5">
        <f>SUMIFS('List of Ledgers '!$Q:$Q,'List of Ledgers '!$F:$F,'Marketing Expenses'!$A6,'List of Ledgers '!$G:$G,'Marketing Expenses'!S$2)</f>
        <v>0</v>
      </c>
      <c r="T6" s="5">
        <f>SUMIFS('List of Ledgers '!$Q:$Q,'List of Ledgers '!$F:$F,'Marketing Expenses'!$A6,'List of Ledgers '!$G:$G,'Marketing Expenses'!T$2)</f>
        <v>273050</v>
      </c>
      <c r="U6" s="5">
        <f>SUMIFS('List of Ledgers '!$Q:$Q,'List of Ledgers '!$F:$F,'Marketing Expenses'!$A6,'List of Ledgers '!$G:$G,'Marketing Expenses'!U$2)</f>
        <v>0</v>
      </c>
      <c r="V6" s="5">
        <f t="shared" si="2"/>
        <v>303050</v>
      </c>
      <c r="W6" s="5">
        <f>SUMIFS('List of Ledgers '!$Q:$Q,'List of Ledgers '!$F:$F,'Marketing Expenses'!$A6,'List of Ledgers '!$G:$G,'Marketing Expenses'!W$2)</f>
        <v>0</v>
      </c>
      <c r="X6" s="5">
        <f t="shared" si="3"/>
        <v>303050</v>
      </c>
    </row>
    <row r="7" spans="1:24" x14ac:dyDescent="0.25">
      <c r="A7" s="4" t="s">
        <v>17</v>
      </c>
      <c r="B7" s="5">
        <f>SUMIFS('List of Ledgers '!$L:$L,'List of Ledgers '!$F:$F,'Marketing Expenses'!$A7,'List of Ledgers '!$G:$G,'Marketing Expenses'!B$2)</f>
        <v>0</v>
      </c>
      <c r="C7" s="5">
        <f>SUMIFS('List of Ledgers '!$L:$L,'List of Ledgers '!$F:$F,'Marketing Expenses'!$A7,'List of Ledgers '!$G:$G,'Marketing Expenses'!C$2)</f>
        <v>0</v>
      </c>
      <c r="D7" s="5">
        <f>SUMIFS('List of Ledgers '!$L:$L,'List of Ledgers '!$F:$F,'Marketing Expenses'!$A7,'List of Ledgers '!$G:$G,'Marketing Expenses'!D$2)</f>
        <v>0</v>
      </c>
      <c r="E7" s="5">
        <f>SUMIFS('List of Ledgers '!$L:$L,'List of Ledgers '!$F:$F,'Marketing Expenses'!$A7,'List of Ledgers '!$G:$G,'Marketing Expenses'!E$2)</f>
        <v>0</v>
      </c>
      <c r="F7" s="5">
        <f>SUMIFS('List of Ledgers '!$L:$L,'List of Ledgers '!$F:$F,'Marketing Expenses'!$A7,'List of Ledgers '!$G:$G,'Marketing Expenses'!F$2)</f>
        <v>0</v>
      </c>
      <c r="G7" s="5">
        <f>SUMIFS('List of Ledgers '!$L:$L,'List of Ledgers '!$F:$F,'Marketing Expenses'!$A7,'List of Ledgers '!$G:$G,'Marketing Expenses'!G$2)</f>
        <v>0</v>
      </c>
      <c r="H7" s="5">
        <f>SUMIFS('List of Ledgers '!$L:$L,'List of Ledgers '!$F:$F,'Marketing Expenses'!$A7,'List of Ledgers '!$G:$G,'Marketing Expenses'!H$2)</f>
        <v>0</v>
      </c>
      <c r="I7" s="5">
        <f>SUMIFS('List of Ledgers '!$L:$L,'List of Ledgers '!$F:$F,'Marketing Expenses'!$A7,'List of Ledgers '!$G:$G,'Marketing Expenses'!I$2)</f>
        <v>0</v>
      </c>
      <c r="J7" s="57">
        <f t="shared" si="0"/>
        <v>0</v>
      </c>
      <c r="K7" s="5">
        <f>SUMIFS('List of Ledgers '!$L:$L,'List of Ledgers '!$F:$F,'Marketing Expenses'!$A7,'List of Ledgers '!$G:$G,'Marketing Expenses'!K$2)</f>
        <v>0</v>
      </c>
      <c r="L7" s="5">
        <f>J7+K7</f>
        <v>0</v>
      </c>
      <c r="N7" s="5">
        <f>SUMIFS('List of Ledgers '!$Q:$Q,'List of Ledgers '!$F:$F,'Marketing Expenses'!$A7,'List of Ledgers '!$G:$G,'Marketing Expenses'!N$2)</f>
        <v>0</v>
      </c>
      <c r="O7" s="5">
        <f>SUMIFS('List of Ledgers '!$Q:$Q,'List of Ledgers '!$F:$F,'Marketing Expenses'!$A7,'List of Ledgers '!$G:$G,'Marketing Expenses'!O$2)</f>
        <v>0</v>
      </c>
      <c r="P7" s="5">
        <f>SUMIFS('List of Ledgers '!$Q:$Q,'List of Ledgers '!$F:$F,'Marketing Expenses'!$A7,'List of Ledgers '!$G:$G,'Marketing Expenses'!P$2)</f>
        <v>0</v>
      </c>
      <c r="Q7" s="5">
        <f>SUMIFS('List of Ledgers '!$Q:$Q,'List of Ledgers '!$F:$F,'Marketing Expenses'!$A7,'List of Ledgers '!$G:$G,'Marketing Expenses'!Q$2)</f>
        <v>0</v>
      </c>
      <c r="R7" s="5">
        <f>SUMIFS('List of Ledgers '!$Q:$Q,'List of Ledgers '!$F:$F,'Marketing Expenses'!$A7,'List of Ledgers '!$G:$G,'Marketing Expenses'!R$2)</f>
        <v>0</v>
      </c>
      <c r="S7" s="5">
        <f>SUMIFS('List of Ledgers '!$Q:$Q,'List of Ledgers '!$F:$F,'Marketing Expenses'!$A7,'List of Ledgers '!$G:$G,'Marketing Expenses'!S$2)</f>
        <v>0</v>
      </c>
      <c r="T7" s="5">
        <f>SUMIFS('List of Ledgers '!$Q:$Q,'List of Ledgers '!$F:$F,'Marketing Expenses'!$A7,'List of Ledgers '!$G:$G,'Marketing Expenses'!T$2)</f>
        <v>0</v>
      </c>
      <c r="U7" s="5">
        <f>SUMIFS('List of Ledgers '!$Q:$Q,'List of Ledgers '!$F:$F,'Marketing Expenses'!$A7,'List of Ledgers '!$G:$G,'Marketing Expenses'!U$2)</f>
        <v>130800</v>
      </c>
      <c r="V7" s="5">
        <f t="shared" si="2"/>
        <v>130800</v>
      </c>
      <c r="W7" s="5">
        <f>SUMIFS('List of Ledgers '!$Q:$Q,'List of Ledgers '!$F:$F,'Marketing Expenses'!$A7,'List of Ledgers '!$G:$G,'Marketing Expenses'!W$2)</f>
        <v>0</v>
      </c>
      <c r="X7" s="5">
        <f t="shared" si="3"/>
        <v>130800</v>
      </c>
    </row>
    <row r="8" spans="1:24" x14ac:dyDescent="0.25">
      <c r="A8" s="4" t="s">
        <v>18</v>
      </c>
      <c r="B8" s="5">
        <f>SUMIFS('List of Ledgers '!$L:$L,'List of Ledgers '!$F:$F,'Marketing Expenses'!$A8,'List of Ledgers '!$G:$G,'Marketing Expenses'!B$2)</f>
        <v>0</v>
      </c>
      <c r="C8" s="5">
        <f>SUMIFS('List of Ledgers '!$L:$L,'List of Ledgers '!$F:$F,'Marketing Expenses'!$A8,'List of Ledgers '!$G:$G,'Marketing Expenses'!C$2)</f>
        <v>0</v>
      </c>
      <c r="D8" s="5">
        <f>SUMIFS('List of Ledgers '!$L:$L,'List of Ledgers '!$F:$F,'Marketing Expenses'!$A8,'List of Ledgers '!$G:$G,'Marketing Expenses'!D$2)</f>
        <v>0</v>
      </c>
      <c r="E8" s="5">
        <f>SUMIFS('List of Ledgers '!$L:$L,'List of Ledgers '!$F:$F,'Marketing Expenses'!$A8,'List of Ledgers '!$G:$G,'Marketing Expenses'!E$2)</f>
        <v>0</v>
      </c>
      <c r="F8" s="5">
        <f>SUMIFS('List of Ledgers '!$L:$L,'List of Ledgers '!$F:$F,'Marketing Expenses'!$A8,'List of Ledgers '!$G:$G,'Marketing Expenses'!F$2)</f>
        <v>0</v>
      </c>
      <c r="G8" s="5">
        <f>SUMIFS('List of Ledgers '!$L:$L,'List of Ledgers '!$F:$F,'Marketing Expenses'!$A8,'List of Ledgers '!$G:$G,'Marketing Expenses'!G$2)</f>
        <v>0</v>
      </c>
      <c r="H8" s="5">
        <f>SUMIFS('List of Ledgers '!$L:$L,'List of Ledgers '!$F:$F,'Marketing Expenses'!$A8,'List of Ledgers '!$G:$G,'Marketing Expenses'!H$2)</f>
        <v>0</v>
      </c>
      <c r="I8" s="5">
        <f>SUMIFS('List of Ledgers '!$L:$L,'List of Ledgers '!$F:$F,'Marketing Expenses'!$A8,'List of Ledgers '!$G:$G,'Marketing Expenses'!I$2)</f>
        <v>0</v>
      </c>
      <c r="J8" s="57">
        <f t="shared" si="0"/>
        <v>0</v>
      </c>
      <c r="K8" s="5">
        <f>SUMIFS('List of Ledgers '!$L:$L,'List of Ledgers '!$F:$F,'Marketing Expenses'!$A8,'List of Ledgers '!$G:$G,'Marketing Expenses'!K$2)</f>
        <v>0</v>
      </c>
      <c r="L8" s="5">
        <f t="shared" si="1"/>
        <v>0</v>
      </c>
      <c r="N8" s="5">
        <f>SUMIFS('List of Ledgers '!$Q:$Q,'List of Ledgers '!$F:$F,'Marketing Expenses'!$A8,'List of Ledgers '!$G:$G,'Marketing Expenses'!N$2)</f>
        <v>0</v>
      </c>
      <c r="O8" s="5">
        <f>SUMIFS('List of Ledgers '!$Q:$Q,'List of Ledgers '!$F:$F,'Marketing Expenses'!$A8,'List of Ledgers '!$G:$G,'Marketing Expenses'!O$2)</f>
        <v>0</v>
      </c>
      <c r="P8" s="5">
        <f>SUMIFS('List of Ledgers '!$Q:$Q,'List of Ledgers '!$F:$F,'Marketing Expenses'!$A8,'List of Ledgers '!$G:$G,'Marketing Expenses'!P$2)</f>
        <v>0</v>
      </c>
      <c r="Q8" s="5">
        <f>SUMIFS('List of Ledgers '!$Q:$Q,'List of Ledgers '!$F:$F,'Marketing Expenses'!$A8,'List of Ledgers '!$G:$G,'Marketing Expenses'!Q$2)</f>
        <v>0</v>
      </c>
      <c r="R8" s="5">
        <f>SUMIFS('List of Ledgers '!$Q:$Q,'List of Ledgers '!$F:$F,'Marketing Expenses'!$A8,'List of Ledgers '!$G:$G,'Marketing Expenses'!R$2)</f>
        <v>0</v>
      </c>
      <c r="S8" s="5">
        <f>SUMIFS('List of Ledgers '!$Q:$Q,'List of Ledgers '!$F:$F,'Marketing Expenses'!$A8,'List of Ledgers '!$G:$G,'Marketing Expenses'!S$2)</f>
        <v>0</v>
      </c>
      <c r="T8" s="5">
        <f>SUMIFS('List of Ledgers '!$Q:$Q,'List of Ledgers '!$F:$F,'Marketing Expenses'!$A8,'List of Ledgers '!$G:$G,'Marketing Expenses'!T$2)</f>
        <v>0</v>
      </c>
      <c r="U8" s="5">
        <f>SUMIFS('List of Ledgers '!$Q:$Q,'List of Ledgers '!$F:$F,'Marketing Expenses'!$A8,'List of Ledgers '!$G:$G,'Marketing Expenses'!U$2)</f>
        <v>0</v>
      </c>
      <c r="V8" s="5">
        <f t="shared" si="2"/>
        <v>0</v>
      </c>
      <c r="W8" s="5">
        <f>SUMIFS('List of Ledgers '!$Q:$Q,'List of Ledgers '!$F:$F,'Marketing Expenses'!$A8,'List of Ledgers '!$G:$G,'Marketing Expenses'!W$2)</f>
        <v>0</v>
      </c>
      <c r="X8" s="5">
        <f t="shared" si="3"/>
        <v>0</v>
      </c>
    </row>
    <row r="9" spans="1:24" x14ac:dyDescent="0.25">
      <c r="A9" s="4" t="s">
        <v>19</v>
      </c>
      <c r="B9" s="5">
        <f>SUMIFS('List of Ledgers '!$L:$L,'List of Ledgers '!$F:$F,'Marketing Expenses'!$A9,'List of Ledgers '!$G:$G,'Marketing Expenses'!B$2)</f>
        <v>0</v>
      </c>
      <c r="C9" s="5">
        <f>SUMIFS('List of Ledgers '!$L:$L,'List of Ledgers '!$F:$F,'Marketing Expenses'!$A9,'List of Ledgers '!$G:$G,'Marketing Expenses'!C$2)</f>
        <v>0</v>
      </c>
      <c r="D9" s="5">
        <f>SUMIFS('List of Ledgers '!$L:$L,'List of Ledgers '!$F:$F,'Marketing Expenses'!$A9,'List of Ledgers '!$G:$G,'Marketing Expenses'!D$2)</f>
        <v>0</v>
      </c>
      <c r="E9" s="5">
        <f>SUMIFS('List of Ledgers '!$L:$L,'List of Ledgers '!$F:$F,'Marketing Expenses'!$A9,'List of Ledgers '!$G:$G,'Marketing Expenses'!E$2)</f>
        <v>0</v>
      </c>
      <c r="F9" s="5">
        <f>SUMIFS('List of Ledgers '!$L:$L,'List of Ledgers '!$F:$F,'Marketing Expenses'!$A9,'List of Ledgers '!$G:$G,'Marketing Expenses'!F$2)</f>
        <v>0</v>
      </c>
      <c r="G9" s="5">
        <f>SUMIFS('List of Ledgers '!$L:$L,'List of Ledgers '!$F:$F,'Marketing Expenses'!$A9,'List of Ledgers '!$G:$G,'Marketing Expenses'!G$2)</f>
        <v>0</v>
      </c>
      <c r="H9" s="5">
        <f>SUMIFS('List of Ledgers '!$L:$L,'List of Ledgers '!$F:$F,'Marketing Expenses'!$A9,'List of Ledgers '!$G:$G,'Marketing Expenses'!H$2)</f>
        <v>0</v>
      </c>
      <c r="I9" s="5">
        <f>SUMIFS('List of Ledgers '!$L:$L,'List of Ledgers '!$F:$F,'Marketing Expenses'!$A9,'List of Ledgers '!$G:$G,'Marketing Expenses'!I$2)</f>
        <v>0</v>
      </c>
      <c r="J9" s="57">
        <f t="shared" si="0"/>
        <v>0</v>
      </c>
      <c r="K9" s="5">
        <f>SUMIFS('List of Ledgers '!$L:$L,'List of Ledgers '!$F:$F,'Marketing Expenses'!$A9,'List of Ledgers '!$G:$G,'Marketing Expenses'!K$2)</f>
        <v>0</v>
      </c>
      <c r="L9" s="5">
        <f t="shared" si="1"/>
        <v>0</v>
      </c>
      <c r="N9" s="5">
        <f>SUMIFS('List of Ledgers '!$Q:$Q,'List of Ledgers '!$F:$F,'Marketing Expenses'!$A9,'List of Ledgers '!$G:$G,'Marketing Expenses'!N$2)</f>
        <v>0</v>
      </c>
      <c r="O9" s="5">
        <f>SUMIFS('List of Ledgers '!$Q:$Q,'List of Ledgers '!$F:$F,'Marketing Expenses'!$A9,'List of Ledgers '!$G:$G,'Marketing Expenses'!O$2)</f>
        <v>0</v>
      </c>
      <c r="P9" s="5">
        <f>SUMIFS('List of Ledgers '!$Q:$Q,'List of Ledgers '!$F:$F,'Marketing Expenses'!$A9,'List of Ledgers '!$G:$G,'Marketing Expenses'!P$2)</f>
        <v>0</v>
      </c>
      <c r="Q9" s="5">
        <f>SUMIFS('List of Ledgers '!$Q:$Q,'List of Ledgers '!$F:$F,'Marketing Expenses'!$A9,'List of Ledgers '!$G:$G,'Marketing Expenses'!Q$2)</f>
        <v>0</v>
      </c>
      <c r="R9" s="5">
        <f>SUMIFS('List of Ledgers '!$Q:$Q,'List of Ledgers '!$F:$F,'Marketing Expenses'!$A9,'List of Ledgers '!$G:$G,'Marketing Expenses'!R$2)</f>
        <v>0</v>
      </c>
      <c r="S9" s="5">
        <f>SUMIFS('List of Ledgers '!$Q:$Q,'List of Ledgers '!$F:$F,'Marketing Expenses'!$A9,'List of Ledgers '!$G:$G,'Marketing Expenses'!S$2)</f>
        <v>0</v>
      </c>
      <c r="T9" s="5">
        <f>SUMIFS('List of Ledgers '!$Q:$Q,'List of Ledgers '!$F:$F,'Marketing Expenses'!$A9,'List of Ledgers '!$G:$G,'Marketing Expenses'!T$2)</f>
        <v>0</v>
      </c>
      <c r="U9" s="5">
        <f>SUMIFS('List of Ledgers '!$Q:$Q,'List of Ledgers '!$F:$F,'Marketing Expenses'!$A9,'List of Ledgers '!$G:$G,'Marketing Expenses'!U$2)</f>
        <v>0</v>
      </c>
      <c r="V9" s="5">
        <f t="shared" si="2"/>
        <v>0</v>
      </c>
      <c r="W9" s="5">
        <f>SUMIFS('List of Ledgers '!$Q:$Q,'List of Ledgers '!$F:$F,'Marketing Expenses'!$A9,'List of Ledgers '!$G:$G,'Marketing Expenses'!W$2)</f>
        <v>0</v>
      </c>
      <c r="X9" s="5">
        <f t="shared" si="3"/>
        <v>0</v>
      </c>
    </row>
    <row r="10" spans="1:24" x14ac:dyDescent="0.25">
      <c r="A10" s="4" t="s">
        <v>20</v>
      </c>
      <c r="B10" s="5">
        <f>SUMIFS('List of Ledgers '!$L:$L,'List of Ledgers '!$F:$F,'Marketing Expenses'!$A10,'List of Ledgers '!$G:$G,'Marketing Expenses'!B$2)</f>
        <v>0</v>
      </c>
      <c r="C10" s="5">
        <f>SUMIFS('List of Ledgers '!$L:$L,'List of Ledgers '!$F:$F,'Marketing Expenses'!$A10,'List of Ledgers '!$G:$G,'Marketing Expenses'!C$2)</f>
        <v>0</v>
      </c>
      <c r="D10" s="5">
        <f>SUMIFS('List of Ledgers '!$L:$L,'List of Ledgers '!$F:$F,'Marketing Expenses'!$A10,'List of Ledgers '!$G:$G,'Marketing Expenses'!D$2)</f>
        <v>0</v>
      </c>
      <c r="E10" s="5">
        <f>SUMIFS('List of Ledgers '!$L:$L,'List of Ledgers '!$F:$F,'Marketing Expenses'!$A10,'List of Ledgers '!$G:$G,'Marketing Expenses'!E$2)</f>
        <v>0</v>
      </c>
      <c r="F10" s="5">
        <f>SUMIFS('List of Ledgers '!$L:$L,'List of Ledgers '!$F:$F,'Marketing Expenses'!$A10,'List of Ledgers '!$G:$G,'Marketing Expenses'!F$2)</f>
        <v>0</v>
      </c>
      <c r="G10" s="5">
        <f>SUMIFS('List of Ledgers '!$L:$L,'List of Ledgers '!$F:$F,'Marketing Expenses'!$A10,'List of Ledgers '!$G:$G,'Marketing Expenses'!G$2)</f>
        <v>0</v>
      </c>
      <c r="H10" s="5">
        <f>SUMIFS('List of Ledgers '!$L:$L,'List of Ledgers '!$F:$F,'Marketing Expenses'!$A10,'List of Ledgers '!$G:$G,'Marketing Expenses'!H$2)</f>
        <v>0</v>
      </c>
      <c r="I10" s="5">
        <f>SUMIFS('List of Ledgers '!$L:$L,'List of Ledgers '!$F:$F,'Marketing Expenses'!$A10,'List of Ledgers '!$G:$G,'Marketing Expenses'!I$2)</f>
        <v>0</v>
      </c>
      <c r="J10" s="57">
        <f t="shared" si="0"/>
        <v>0</v>
      </c>
      <c r="K10" s="5">
        <f>SUMIFS('List of Ledgers '!$L:$L,'List of Ledgers '!$F:$F,'Marketing Expenses'!$A10,'List of Ledgers '!$G:$G,'Marketing Expenses'!K$2)</f>
        <v>0</v>
      </c>
      <c r="L10" s="5">
        <f t="shared" si="1"/>
        <v>0</v>
      </c>
      <c r="N10" s="5">
        <f>SUMIFS('List of Ledgers '!$Q:$Q,'List of Ledgers '!$F:$F,'Marketing Expenses'!$A10,'List of Ledgers '!$G:$G,'Marketing Expenses'!N$2)</f>
        <v>0</v>
      </c>
      <c r="O10" s="5">
        <f>SUMIFS('List of Ledgers '!$Q:$Q,'List of Ledgers '!$F:$F,'Marketing Expenses'!$A10,'List of Ledgers '!$G:$G,'Marketing Expenses'!O$2)</f>
        <v>0</v>
      </c>
      <c r="P10" s="5">
        <f>SUMIFS('List of Ledgers '!$Q:$Q,'List of Ledgers '!$F:$F,'Marketing Expenses'!$A10,'List of Ledgers '!$G:$G,'Marketing Expenses'!P$2)</f>
        <v>0</v>
      </c>
      <c r="Q10" s="5">
        <f>SUMIFS('List of Ledgers '!$Q:$Q,'List of Ledgers '!$F:$F,'Marketing Expenses'!$A10,'List of Ledgers '!$G:$G,'Marketing Expenses'!Q$2)</f>
        <v>0</v>
      </c>
      <c r="R10" s="5">
        <f>SUMIFS('List of Ledgers '!$Q:$Q,'List of Ledgers '!$F:$F,'Marketing Expenses'!$A10,'List of Ledgers '!$G:$G,'Marketing Expenses'!R$2)</f>
        <v>0</v>
      </c>
      <c r="S10" s="5">
        <f>SUMIFS('List of Ledgers '!$Q:$Q,'List of Ledgers '!$F:$F,'Marketing Expenses'!$A10,'List of Ledgers '!$G:$G,'Marketing Expenses'!S$2)</f>
        <v>0</v>
      </c>
      <c r="T10" s="5">
        <f>SUMIFS('List of Ledgers '!$Q:$Q,'List of Ledgers '!$F:$F,'Marketing Expenses'!$A10,'List of Ledgers '!$G:$G,'Marketing Expenses'!T$2)</f>
        <v>0</v>
      </c>
      <c r="U10" s="5">
        <f>SUMIFS('List of Ledgers '!$Q:$Q,'List of Ledgers '!$F:$F,'Marketing Expenses'!$A10,'List of Ledgers '!$G:$G,'Marketing Expenses'!U$2)</f>
        <v>0</v>
      </c>
      <c r="V10" s="5">
        <f t="shared" si="2"/>
        <v>0</v>
      </c>
      <c r="W10" s="5">
        <f>SUMIFS('List of Ledgers '!$Q:$Q,'List of Ledgers '!$F:$F,'Marketing Expenses'!$A10,'List of Ledgers '!$G:$G,'Marketing Expenses'!W$2)</f>
        <v>0</v>
      </c>
      <c r="X10" s="5">
        <f t="shared" si="3"/>
        <v>0</v>
      </c>
    </row>
    <row r="11" spans="1:24" x14ac:dyDescent="0.25">
      <c r="A11" s="4" t="s">
        <v>21</v>
      </c>
      <c r="B11" s="5">
        <f>SUMIFS('List of Ledgers '!$L:$L,'List of Ledgers '!$F:$F,'Marketing Expenses'!$A11,'List of Ledgers '!$G:$G,'Marketing Expenses'!B$2)</f>
        <v>0</v>
      </c>
      <c r="C11" s="5">
        <f>SUMIFS('List of Ledgers '!$L:$L,'List of Ledgers '!$F:$F,'Marketing Expenses'!$A11,'List of Ledgers '!$G:$G,'Marketing Expenses'!C$2)</f>
        <v>0</v>
      </c>
      <c r="D11" s="5">
        <f>SUMIFS('List of Ledgers '!$L:$L,'List of Ledgers '!$F:$F,'Marketing Expenses'!$A11,'List of Ledgers '!$G:$G,'Marketing Expenses'!D$2)</f>
        <v>0</v>
      </c>
      <c r="E11" s="5">
        <f>SUMIFS('List of Ledgers '!$L:$L,'List of Ledgers '!$F:$F,'Marketing Expenses'!$A11,'List of Ledgers '!$G:$G,'Marketing Expenses'!E$2)</f>
        <v>0</v>
      </c>
      <c r="F11" s="5">
        <f>SUMIFS('List of Ledgers '!$L:$L,'List of Ledgers '!$F:$F,'Marketing Expenses'!$A11,'List of Ledgers '!$G:$G,'Marketing Expenses'!F$2)</f>
        <v>0</v>
      </c>
      <c r="G11" s="5">
        <f>SUMIFS('List of Ledgers '!$L:$L,'List of Ledgers '!$F:$F,'Marketing Expenses'!$A11,'List of Ledgers '!$G:$G,'Marketing Expenses'!G$2)</f>
        <v>0</v>
      </c>
      <c r="H11" s="5">
        <f>SUMIFS('List of Ledgers '!$L:$L,'List of Ledgers '!$F:$F,'Marketing Expenses'!$A11,'List of Ledgers '!$G:$G,'Marketing Expenses'!H$2)</f>
        <v>0</v>
      </c>
      <c r="I11" s="5">
        <f>SUMIFS('List of Ledgers '!$L:$L,'List of Ledgers '!$F:$F,'Marketing Expenses'!$A11,'List of Ledgers '!$G:$G,'Marketing Expenses'!I$2)</f>
        <v>0</v>
      </c>
      <c r="J11" s="57">
        <f t="shared" si="0"/>
        <v>0</v>
      </c>
      <c r="K11" s="5">
        <f>SUMIFS('List of Ledgers '!$L:$L,'List of Ledgers '!$F:$F,'Marketing Expenses'!$A11,'List of Ledgers '!$G:$G,'Marketing Expenses'!K$2)</f>
        <v>0</v>
      </c>
      <c r="L11" s="5">
        <f t="shared" si="1"/>
        <v>0</v>
      </c>
      <c r="N11" s="5">
        <f>SUMIFS('List of Ledgers '!$Q:$Q,'List of Ledgers '!$F:$F,'Marketing Expenses'!$A11,'List of Ledgers '!$G:$G,'Marketing Expenses'!N$2)</f>
        <v>0</v>
      </c>
      <c r="O11" s="5">
        <f>SUMIFS('List of Ledgers '!$Q:$Q,'List of Ledgers '!$F:$F,'Marketing Expenses'!$A11,'List of Ledgers '!$G:$G,'Marketing Expenses'!O$2)</f>
        <v>0</v>
      </c>
      <c r="P11" s="5">
        <f>SUMIFS('List of Ledgers '!$Q:$Q,'List of Ledgers '!$F:$F,'Marketing Expenses'!$A11,'List of Ledgers '!$G:$G,'Marketing Expenses'!P$2)</f>
        <v>164200.82</v>
      </c>
      <c r="Q11" s="5">
        <f>SUMIFS('List of Ledgers '!$Q:$Q,'List of Ledgers '!$F:$F,'Marketing Expenses'!$A11,'List of Ledgers '!$G:$G,'Marketing Expenses'!Q$2)</f>
        <v>0</v>
      </c>
      <c r="R11" s="5">
        <f>SUMIFS('List of Ledgers '!$Q:$Q,'List of Ledgers '!$F:$F,'Marketing Expenses'!$A11,'List of Ledgers '!$G:$G,'Marketing Expenses'!R$2)</f>
        <v>0</v>
      </c>
      <c r="S11" s="5">
        <f>SUMIFS('List of Ledgers '!$Q:$Q,'List of Ledgers '!$F:$F,'Marketing Expenses'!$A11,'List of Ledgers '!$G:$G,'Marketing Expenses'!S$2)</f>
        <v>861</v>
      </c>
      <c r="T11" s="5">
        <f>SUMIFS('List of Ledgers '!$Q:$Q,'List of Ledgers '!$F:$F,'Marketing Expenses'!$A11,'List of Ledgers '!$G:$G,'Marketing Expenses'!T$2)</f>
        <v>0</v>
      </c>
      <c r="U11" s="5">
        <f>SUMIFS('List of Ledgers '!$Q:$Q,'List of Ledgers '!$F:$F,'Marketing Expenses'!$A11,'List of Ledgers '!$G:$G,'Marketing Expenses'!U$2)</f>
        <v>421904</v>
      </c>
      <c r="V11" s="5">
        <f t="shared" si="2"/>
        <v>586965.82000000007</v>
      </c>
      <c r="W11" s="5">
        <f>SUMIFS('List of Ledgers '!$Q:$Q,'List of Ledgers '!$F:$F,'Marketing Expenses'!$A11,'List of Ledgers '!$G:$G,'Marketing Expenses'!W$2)</f>
        <v>0</v>
      </c>
      <c r="X11" s="5">
        <f t="shared" si="3"/>
        <v>586965.82000000007</v>
      </c>
    </row>
    <row r="12" spans="1:24" x14ac:dyDescent="0.25">
      <c r="A12" s="6" t="s">
        <v>22</v>
      </c>
      <c r="B12" s="54">
        <f>SUM(B3:B11)</f>
        <v>0</v>
      </c>
      <c r="C12" s="54">
        <f t="shared" ref="C12:L12" si="4">SUM(C3:C11)</f>
        <v>0</v>
      </c>
      <c r="D12" s="54">
        <f t="shared" si="4"/>
        <v>30000</v>
      </c>
      <c r="E12" s="54">
        <f t="shared" si="4"/>
        <v>0</v>
      </c>
      <c r="F12" s="54">
        <f t="shared" si="4"/>
        <v>0</v>
      </c>
      <c r="G12" s="54">
        <f t="shared" si="4"/>
        <v>0</v>
      </c>
      <c r="H12" s="54">
        <f t="shared" si="4"/>
        <v>4000</v>
      </c>
      <c r="I12" s="54">
        <f t="shared" si="4"/>
        <v>0</v>
      </c>
      <c r="J12" s="54">
        <f t="shared" si="4"/>
        <v>34000</v>
      </c>
      <c r="K12" s="54">
        <f t="shared" si="4"/>
        <v>0</v>
      </c>
      <c r="L12" s="54">
        <f t="shared" si="4"/>
        <v>34000</v>
      </c>
      <c r="N12" s="54">
        <f t="shared" ref="N12" si="5">SUM(N3:N11)</f>
        <v>0</v>
      </c>
      <c r="O12" s="54">
        <f t="shared" ref="O12" si="6">SUM(O3:O11)</f>
        <v>0</v>
      </c>
      <c r="P12" s="54">
        <f t="shared" ref="P12" si="7">SUM(P3:P11)</f>
        <v>194200.82</v>
      </c>
      <c r="Q12" s="54">
        <f t="shared" ref="Q12" si="8">SUM(Q3:Q11)</f>
        <v>0</v>
      </c>
      <c r="R12" s="54">
        <f t="shared" ref="R12" si="9">SUM(R3:R11)</f>
        <v>0</v>
      </c>
      <c r="S12" s="54">
        <f t="shared" ref="S12" si="10">SUM(S3:S11)</f>
        <v>11572</v>
      </c>
      <c r="T12" s="54">
        <f t="shared" ref="T12" si="11">SUM(T3:T11)</f>
        <v>691055</v>
      </c>
      <c r="U12" s="54">
        <f t="shared" ref="U12" si="12">SUM(U3:U11)</f>
        <v>552704</v>
      </c>
      <c r="V12" s="54">
        <f t="shared" ref="V12" si="13">SUM(V3:V11)</f>
        <v>1449531.82</v>
      </c>
      <c r="W12" s="54">
        <f t="shared" ref="W12" si="14">SUM(W3:W11)</f>
        <v>0</v>
      </c>
      <c r="X12" s="54">
        <f t="shared" ref="X12" si="15">SUM(X3:X11)</f>
        <v>1449531.82</v>
      </c>
    </row>
  </sheetData>
  <autoFilter ref="A2:L12" xr:uid="{E4A83043-B062-4B44-8167-9D687FB18DEC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showGridLines="0" workbookViewId="0"/>
  </sheetViews>
  <sheetFormatPr defaultColWidth="9.42578125" defaultRowHeight="15" x14ac:dyDescent="0.25"/>
  <cols>
    <col min="1" max="1" width="6.5703125" style="2" bestFit="1" customWidth="1"/>
    <col min="2" max="2" width="12.42578125" style="2" bestFit="1" customWidth="1"/>
    <col min="3" max="3" width="13.42578125" style="2" bestFit="1" customWidth="1"/>
    <col min="4" max="4" width="14.28515625" style="2" bestFit="1" customWidth="1"/>
    <col min="5" max="5" width="14.42578125" style="2" bestFit="1" customWidth="1"/>
    <col min="6" max="6" width="13.42578125" style="2" bestFit="1" customWidth="1"/>
    <col min="7" max="7" width="42.42578125" style="2" customWidth="1"/>
    <col min="8" max="8" width="14.42578125" style="2" bestFit="1" customWidth="1"/>
    <col min="9" max="9" width="10.42578125" style="2" bestFit="1" customWidth="1"/>
    <col min="10" max="16384" width="9.42578125" style="2"/>
  </cols>
  <sheetData>
    <row r="1" spans="1:9" x14ac:dyDescent="0.25">
      <c r="A1" s="1" t="s">
        <v>23</v>
      </c>
    </row>
    <row r="2" spans="1:9" x14ac:dyDescent="0.25">
      <c r="A2" s="1" t="s">
        <v>24</v>
      </c>
    </row>
    <row r="3" spans="1:9" x14ac:dyDescent="0.25">
      <c r="A3" s="1" t="s">
        <v>96</v>
      </c>
    </row>
    <row r="4" spans="1:9" x14ac:dyDescent="0.25">
      <c r="F4" s="97" t="str">
        <f>'P&amp;L'!N5</f>
        <v>(April to Mar)</v>
      </c>
    </row>
    <row r="5" spans="1:9" ht="28.5" x14ac:dyDescent="0.25">
      <c r="A5" s="34" t="s">
        <v>97</v>
      </c>
      <c r="B5" s="34" t="s">
        <v>98</v>
      </c>
      <c r="C5" s="34" t="s">
        <v>99</v>
      </c>
      <c r="D5" s="34" t="s">
        <v>100</v>
      </c>
      <c r="E5" s="34" t="s">
        <v>101</v>
      </c>
      <c r="F5" s="34" t="s">
        <v>102</v>
      </c>
    </row>
    <row r="6" spans="1:9" x14ac:dyDescent="0.25">
      <c r="A6" s="77">
        <v>1</v>
      </c>
      <c r="B6" s="77" t="s">
        <v>2</v>
      </c>
      <c r="C6" s="54">
        <f>SUMIF('Stk YTD'!$A:$A,Stock!$B6,'Stk YTD'!C:C)</f>
        <v>4273691.0199999996</v>
      </c>
      <c r="D6" s="54">
        <f>SUMIF('Stk YTD'!$A:$A,Stock!$B6,'Stk YTD'!D:D)</f>
        <v>1345437.87</v>
      </c>
      <c r="E6" s="54">
        <f>SUMIF('Stk YTD'!$A:$A,Stock!$B6,'Stk YTD'!E:E)</f>
        <v>2530990.6599999997</v>
      </c>
      <c r="F6" s="54">
        <f>SUMIF('Stk YTD'!$A:$A,Stock!$B6,'Stk YTD'!F:F)</f>
        <v>2768029.6499999994</v>
      </c>
    </row>
    <row r="7" spans="1:9" x14ac:dyDescent="0.25">
      <c r="A7" s="77">
        <v>2</v>
      </c>
      <c r="B7" s="77" t="s">
        <v>3</v>
      </c>
      <c r="C7" s="54">
        <f>SUMIF('Stk YTD'!$A:$A,Stock!$B7,'Stk YTD'!C:C)</f>
        <v>2101860.2799999998</v>
      </c>
      <c r="D7" s="54">
        <f>SUMIF('Stk YTD'!$A:$A,Stock!$B7,'Stk YTD'!D:D)</f>
        <v>802219.82</v>
      </c>
      <c r="E7" s="54">
        <f>SUMIF('Stk YTD'!$A:$A,Stock!$B7,'Stk YTD'!E:E)</f>
        <v>988667.41</v>
      </c>
      <c r="F7" s="54">
        <f>SUMIF('Stk YTD'!$A:$A,Stock!$B7,'Stk YTD'!F:F)</f>
        <v>1867562.34</v>
      </c>
    </row>
    <row r="8" spans="1:9" x14ac:dyDescent="0.25">
      <c r="A8" s="77">
        <v>3</v>
      </c>
      <c r="B8" s="77" t="s">
        <v>4</v>
      </c>
      <c r="C8" s="76">
        <f>SUMIF('Stk YTD'!$A:$A,Stock!$B8,'Stk YTD'!C:C)</f>
        <v>14777042.890000001</v>
      </c>
      <c r="D8" s="76">
        <f>SUMIF('Stk YTD'!$A:$A,Stock!$B8,'Stk YTD'!D:D)</f>
        <v>87437600.280000001</v>
      </c>
      <c r="E8" s="76">
        <f>SUMIF('Stk YTD'!$A:$A,Stock!$B8,'Stk YTD'!E:E)</f>
        <v>105815329.29000001</v>
      </c>
      <c r="F8" s="76">
        <f>SUMIF('Stk YTD'!$A:$A,Stock!$B8,'Stk YTD'!F:F)</f>
        <v>0</v>
      </c>
    </row>
    <row r="9" spans="1:9" x14ac:dyDescent="0.25">
      <c r="A9" s="77">
        <v>4</v>
      </c>
      <c r="B9" s="77" t="s">
        <v>9</v>
      </c>
      <c r="C9" s="76">
        <f>SUMIF('Stk YTD'!$A:$A,Stock!$B9,'Stk YTD'!C:C)</f>
        <v>0</v>
      </c>
      <c r="D9" s="76">
        <f>SUMIF('Stk YTD'!$A:$A,Stock!$B9,'Stk YTD'!D:D)</f>
        <v>116928744.33</v>
      </c>
      <c r="E9" s="76">
        <f>SUMIF('Stk YTD'!$A:$A,Stock!$B9,'Stk YTD'!E:E)</f>
        <v>119979856.03</v>
      </c>
      <c r="F9" s="76">
        <f>SUMIF('Stk YTD'!$A:$A,Stock!$B9,'Stk YTD'!F:F)</f>
        <v>5589254.8700000001</v>
      </c>
    </row>
    <row r="10" spans="1:9" x14ac:dyDescent="0.25">
      <c r="A10" s="94"/>
      <c r="B10" s="94" t="s">
        <v>103</v>
      </c>
      <c r="C10" s="95">
        <f>SUM(C6:C9)</f>
        <v>21152594.189999998</v>
      </c>
      <c r="D10" s="95">
        <f t="shared" ref="D10:F10" si="0">SUM(D6:D9)</f>
        <v>206514002.30000001</v>
      </c>
      <c r="E10" s="95">
        <f t="shared" si="0"/>
        <v>229314843.38999999</v>
      </c>
      <c r="F10" s="95">
        <f t="shared" si="0"/>
        <v>10224846.859999999</v>
      </c>
    </row>
    <row r="12" spans="1:9" x14ac:dyDescent="0.25">
      <c r="F12" s="96" t="str">
        <f>'P&amp;L'!L5</f>
        <v>Mar'26</v>
      </c>
    </row>
    <row r="13" spans="1:9" ht="28.5" x14ac:dyDescent="0.25">
      <c r="A13" s="34" t="s">
        <v>97</v>
      </c>
      <c r="B13" s="34" t="s">
        <v>98</v>
      </c>
      <c r="C13" s="34" t="s">
        <v>99</v>
      </c>
      <c r="D13" s="34" t="s">
        <v>100</v>
      </c>
      <c r="E13" s="34" t="s">
        <v>101</v>
      </c>
      <c r="F13" s="34" t="s">
        <v>102</v>
      </c>
      <c r="G13" s="34" t="s">
        <v>104</v>
      </c>
    </row>
    <row r="14" spans="1:9" x14ac:dyDescent="0.25">
      <c r="A14" s="77">
        <v>1</v>
      </c>
      <c r="B14" s="77" t="s">
        <v>2</v>
      </c>
      <c r="C14" s="54">
        <f>SUMIF('Stk '!$A:$A,Stock!$B14,'Stk '!C:C)</f>
        <v>2768029.6499999994</v>
      </c>
      <c r="D14" s="54">
        <f>SUMIF('Stk '!$A:$A,Stock!$B14,'Stk '!D:D)</f>
        <v>0</v>
      </c>
      <c r="E14" s="54">
        <f>SUMIF('Stk '!$A:$A,Stock!$B14,'Stk '!E:E)</f>
        <v>0</v>
      </c>
      <c r="F14" s="54">
        <f>SUMIF('Stk '!$A:$A,Stock!$B14,'Stk '!F:F)</f>
        <v>2768029.6499999994</v>
      </c>
      <c r="G14" s="4"/>
      <c r="H14" s="41"/>
      <c r="I14" s="41"/>
    </row>
    <row r="15" spans="1:9" ht="45" x14ac:dyDescent="0.25">
      <c r="A15" s="77">
        <v>2</v>
      </c>
      <c r="B15" s="77" t="s">
        <v>3</v>
      </c>
      <c r="C15" s="54">
        <f>SUMIF('Stk '!$A:$A,Stock!$B15,'Stk '!C:C)</f>
        <v>1234703.4500000002</v>
      </c>
      <c r="D15" s="54">
        <f>SUMIF('Stk '!$A:$A,Stock!$B15,'Stk '!D:D)</f>
        <v>0</v>
      </c>
      <c r="E15" s="54">
        <f>SUMIF('Stk '!$A:$A,Stock!$B15,'Stk '!E:E)</f>
        <v>0</v>
      </c>
      <c r="F15" s="54">
        <f>SUMIF('Stk '!$A:$A,Stock!$B15,'Stk '!F:F)</f>
        <v>1234703.4500000002</v>
      </c>
      <c r="G15" s="131" t="s">
        <v>105</v>
      </c>
      <c r="H15" s="41"/>
      <c r="I15" s="41"/>
    </row>
    <row r="16" spans="1:9" x14ac:dyDescent="0.25">
      <c r="A16" s="77">
        <v>3</v>
      </c>
      <c r="B16" s="77" t="s">
        <v>4</v>
      </c>
      <c r="C16" s="54">
        <f>SUMIF('Stk '!$A:$A,Stock!$B16,'Stk '!C:C)</f>
        <v>649724.43999999994</v>
      </c>
      <c r="D16" s="54">
        <f>SUMIF('Stk '!$A:$A,Stock!$B16,'Stk '!D:D)</f>
        <v>28434.720000000001</v>
      </c>
      <c r="E16" s="54">
        <f>SUMIF('Stk '!$A:$A,Stock!$B16,'Stk '!E:E)</f>
        <v>28434.720000000001</v>
      </c>
      <c r="F16" s="54">
        <f>SUMIF('Stk '!$A:$A,Stock!$B16,'Stk '!F:F)</f>
        <v>632858.89</v>
      </c>
      <c r="G16" s="4"/>
      <c r="H16" s="41"/>
      <c r="I16" s="41"/>
    </row>
    <row r="17" spans="1:9" x14ac:dyDescent="0.25">
      <c r="A17" s="77">
        <v>4</v>
      </c>
      <c r="B17" s="77" t="s">
        <v>9</v>
      </c>
      <c r="C17" s="54">
        <f>SUMIF('Stk '!$A:$A,Stock!$B17,'Stk '!C:C)</f>
        <v>27267339.129999999</v>
      </c>
      <c r="D17" s="54">
        <f>SUMIF('Stk '!$A:$A,Stock!$B17,'Stk '!D:D)</f>
        <v>48210915.5</v>
      </c>
      <c r="E17" s="54">
        <f>SUMIF('Stk '!$A:$A,Stock!$B17,'Stk '!E:E)</f>
        <v>75030496.870000005</v>
      </c>
      <c r="F17" s="54">
        <f>SUMIF('Stk '!$A:$A,Stock!$B17,'Stk '!F:F)</f>
        <v>5589254.8700000001</v>
      </c>
      <c r="G17" s="4"/>
      <c r="H17" s="41"/>
      <c r="I17" s="41"/>
    </row>
    <row r="18" spans="1:9" x14ac:dyDescent="0.25">
      <c r="A18" s="94"/>
      <c r="B18" s="94" t="s">
        <v>103</v>
      </c>
      <c r="C18" s="95">
        <f>SUM(C14:C17)</f>
        <v>31919796.669999998</v>
      </c>
      <c r="D18" s="95">
        <f t="shared" ref="D18:F18" si="1">SUM(D14:D17)</f>
        <v>48239350.219999999</v>
      </c>
      <c r="E18" s="95">
        <f t="shared" si="1"/>
        <v>75058931.590000004</v>
      </c>
      <c r="F18" s="95">
        <f t="shared" si="1"/>
        <v>10224846.859999999</v>
      </c>
      <c r="G18" s="130"/>
      <c r="I1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N441"/>
  <sheetViews>
    <sheetView showGridLines="0" topLeftCell="A26" zoomScale="89" zoomScaleNormal="85" workbookViewId="0">
      <selection activeCell="F156" sqref="F156"/>
    </sheetView>
  </sheetViews>
  <sheetFormatPr defaultColWidth="9.42578125" defaultRowHeight="15" x14ac:dyDescent="0.25"/>
  <cols>
    <col min="1" max="1" width="44.42578125" style="2" bestFit="1" customWidth="1"/>
    <col min="2" max="2" width="20.42578125" style="15" bestFit="1" customWidth="1"/>
    <col min="3" max="3" width="16" style="15" bestFit="1" customWidth="1"/>
    <col min="4" max="4" width="14.42578125" style="15" bestFit="1" customWidth="1"/>
    <col min="5" max="5" width="16" style="15" bestFit="1" customWidth="1"/>
    <col min="6" max="6" width="14.42578125" style="15" bestFit="1" customWidth="1"/>
    <col min="7" max="7" width="13.42578125" style="15" bestFit="1" customWidth="1"/>
    <col min="8" max="10" width="16" style="15" customWidth="1"/>
    <col min="11" max="11" width="14.42578125" style="15" customWidth="1"/>
    <col min="12" max="13" width="9.42578125" style="2"/>
    <col min="14" max="14" width="11" style="2" bestFit="1" customWidth="1"/>
    <col min="15" max="16384" width="9.42578125" style="2"/>
  </cols>
  <sheetData>
    <row r="1" spans="1:11" ht="13.9" x14ac:dyDescent="0.25">
      <c r="A1" s="1" t="str">
        <f>'P&amp;L'!A1</f>
        <v>M J P T &amp; Co LLP</v>
      </c>
    </row>
    <row r="2" spans="1:11" ht="13.9" x14ac:dyDescent="0.25">
      <c r="A2" s="1" t="str">
        <f>'P&amp;L'!A2</f>
        <v>Pristine Worldwide Private Limited</v>
      </c>
    </row>
    <row r="4" spans="1:11" ht="13.9" x14ac:dyDescent="0.25">
      <c r="A4" s="1" t="s">
        <v>1092</v>
      </c>
    </row>
    <row r="5" spans="1:11" ht="13.9" x14ac:dyDescent="0.25">
      <c r="C5" s="219" t="str">
        <f>'P&amp;L'!L5</f>
        <v>Mar'26</v>
      </c>
      <c r="D5" s="219"/>
      <c r="E5" s="219"/>
      <c r="F5" s="219"/>
      <c r="H5" s="219" t="str">
        <f>'P&amp;L'!N5</f>
        <v>(April to Mar)</v>
      </c>
      <c r="I5" s="219"/>
      <c r="J5" s="219"/>
      <c r="K5" s="219"/>
    </row>
    <row r="6" spans="1:11" ht="13.9" x14ac:dyDescent="0.25">
      <c r="A6" s="85"/>
      <c r="B6" s="78" t="s">
        <v>134</v>
      </c>
      <c r="C6" s="78" t="s">
        <v>114</v>
      </c>
      <c r="D6" s="78" t="s">
        <v>115</v>
      </c>
      <c r="E6" s="78" t="s">
        <v>116</v>
      </c>
      <c r="F6" s="78" t="s">
        <v>117</v>
      </c>
      <c r="H6" s="78" t="s">
        <v>114</v>
      </c>
      <c r="I6" s="78" t="s">
        <v>115</v>
      </c>
      <c r="J6" s="78" t="s">
        <v>116</v>
      </c>
      <c r="K6" s="78" t="s">
        <v>117</v>
      </c>
    </row>
    <row r="7" spans="1:11" ht="13.9" x14ac:dyDescent="0.25">
      <c r="A7" s="12"/>
      <c r="B7" s="53" t="s">
        <v>2</v>
      </c>
      <c r="C7" s="54">
        <f>SUMIFS('List of Ledgers '!I:I,'List of Ledgers '!$E:$E,Drs_Crs!$B$6,'List of Ledgers '!$G:$G,Drs_Crs!$B7)</f>
        <v>-76286.880000000005</v>
      </c>
      <c r="D7" s="54">
        <f>SUMIFS('List of Ledgers '!J:J,'List of Ledgers '!$E:$E,Drs_Crs!$B$6,'List of Ledgers '!$G:$G,Drs_Crs!$B7)</f>
        <v>0</v>
      </c>
      <c r="E7" s="54">
        <f>SUMIFS('List of Ledgers '!K:K,'List of Ledgers '!$E:$E,Drs_Crs!$B$6,'List of Ledgers '!$G:$G,Drs_Crs!$B7)</f>
        <v>0</v>
      </c>
      <c r="F7" s="54">
        <f>SUMIFS('List of Ledgers '!L:L,'List of Ledgers '!$E:$E,Drs_Crs!$B$6,'List of Ledgers '!$G:$G,Drs_Crs!$B7)</f>
        <v>-76286.880000000005</v>
      </c>
      <c r="H7" s="54">
        <f>SUMIFS('List of Ledgers '!N:N,'List of Ledgers '!$E:$E,Drs_Crs!$B$6,'List of Ledgers '!$G:$G,Drs_Crs!$B7)</f>
        <v>5361378.76</v>
      </c>
      <c r="I7" s="54">
        <f>SUMIFS('List of Ledgers '!O:O,'List of Ledgers '!$E:$E,Drs_Crs!$B$6,'List of Ledgers '!$G:$G,Drs_Crs!$B7)</f>
        <v>10726884</v>
      </c>
      <c r="J7" s="54">
        <f>SUMIFS('List of Ledgers '!P:P,'List of Ledgers '!$E:$E,Drs_Crs!$B$6,'List of Ledgers '!$G:$G,Drs_Crs!$B7)</f>
        <v>16164549.640000001</v>
      </c>
      <c r="K7" s="54">
        <f>SUMIFS('List of Ledgers '!Q:Q,'List of Ledgers '!$E:$E,Drs_Crs!$B$6,'List of Ledgers '!$G:$G,Drs_Crs!$B7)</f>
        <v>-76286.880000000005</v>
      </c>
    </row>
    <row r="8" spans="1:11" ht="13.9" x14ac:dyDescent="0.25">
      <c r="A8" s="12"/>
      <c r="B8" s="53" t="s">
        <v>3</v>
      </c>
      <c r="C8" s="54">
        <f>SUMIFS('List of Ledgers '!I:I,'List of Ledgers '!$E:$E,Drs_Crs!$B$6,'List of Ledgers '!$G:$G,Drs_Crs!$B8)</f>
        <v>-123082.59000000001</v>
      </c>
      <c r="D8" s="54">
        <f>SUMIFS('List of Ledgers '!J:J,'List of Ledgers '!$E:$E,Drs_Crs!$B$6,'List of Ledgers '!$G:$G,Drs_Crs!$B8)</f>
        <v>38553</v>
      </c>
      <c r="E8" s="54">
        <f>SUMIFS('List of Ledgers '!K:K,'List of Ledgers '!$E:$E,Drs_Crs!$B$6,'List of Ledgers '!$G:$G,Drs_Crs!$B8)</f>
        <v>64788</v>
      </c>
      <c r="F8" s="76">
        <f>SUMIFS('List of Ledgers '!L:L,'List of Ledgers '!$E:$E,Drs_Crs!$B$6,'List of Ledgers '!$G:$G,Drs_Crs!$B8)</f>
        <v>-149317.59000000003</v>
      </c>
      <c r="H8" s="54">
        <f>SUMIFS('List of Ledgers '!N:N,'List of Ledgers '!$E:$E,Drs_Crs!$B$6,'List of Ledgers '!$G:$G,Drs_Crs!$B8)</f>
        <v>132920.87</v>
      </c>
      <c r="I8" s="54">
        <f>SUMIFS('List of Ledgers '!O:O,'List of Ledgers '!$E:$E,Drs_Crs!$B$6,'List of Ledgers '!$G:$G,Drs_Crs!$B8)</f>
        <v>1188550</v>
      </c>
      <c r="J8" s="54">
        <f>SUMIFS('List of Ledgers '!P:P,'List of Ledgers '!$E:$E,Drs_Crs!$B$6,'List of Ledgers '!$G:$G,Drs_Crs!$B8)</f>
        <v>1470788.46</v>
      </c>
      <c r="K8" s="54">
        <f>SUMIFS('List of Ledgers '!Q:Q,'List of Ledgers '!$E:$E,Drs_Crs!$B$6,'List of Ledgers '!$G:$G,Drs_Crs!$B8)</f>
        <v>-149317.59000000003</v>
      </c>
    </row>
    <row r="9" spans="1:11" ht="13.9" x14ac:dyDescent="0.25">
      <c r="A9" s="12"/>
      <c r="B9" s="53" t="s">
        <v>7</v>
      </c>
      <c r="C9" s="54">
        <f>SUMIFS('List of Ledgers '!I:I,'List of Ledgers '!$E:$E,Drs_Crs!$B$6,'List of Ledgers '!$G:$G,Drs_Crs!$B9)</f>
        <v>0</v>
      </c>
      <c r="D9" s="54">
        <f>SUMIFS('List of Ledgers '!J:J,'List of Ledgers '!$E:$E,Drs_Crs!$B$6,'List of Ledgers '!$G:$G,Drs_Crs!$B9)</f>
        <v>24190000</v>
      </c>
      <c r="E9" s="54">
        <f>SUMIFS('List of Ledgers '!K:K,'List of Ledgers '!$E:$E,Drs_Crs!$B$6,'List of Ledgers '!$G:$G,Drs_Crs!$B9)</f>
        <v>24190000</v>
      </c>
      <c r="F9" s="54">
        <f>SUMIFS('List of Ledgers '!L:L,'List of Ledgers '!$E:$E,Drs_Crs!$B$6,'List of Ledgers '!$G:$G,Drs_Crs!$B9)</f>
        <v>0</v>
      </c>
      <c r="H9" s="54">
        <f>SUMIFS('List of Ledgers '!N:N,'List of Ledgers '!$E:$E,Drs_Crs!$B$6,'List of Ledgers '!$G:$G,Drs_Crs!$B9)</f>
        <v>237010</v>
      </c>
      <c r="I9" s="54">
        <f>SUMIFS('List of Ledgers '!O:O,'List of Ledgers '!$E:$E,Drs_Crs!$B$6,'List of Ledgers '!$G:$G,Drs_Crs!$B9)</f>
        <v>24845048</v>
      </c>
      <c r="J9" s="54">
        <f>SUMIFS('List of Ledgers '!P:P,'List of Ledgers '!$E:$E,Drs_Crs!$B$6,'List of Ledgers '!$G:$G,Drs_Crs!$B9)</f>
        <v>25082058</v>
      </c>
      <c r="K9" s="54">
        <f>SUMIFS('List of Ledgers '!Q:Q,'List of Ledgers '!$E:$E,Drs_Crs!$B$6,'List of Ledgers '!$G:$G,Drs_Crs!$B9)</f>
        <v>0</v>
      </c>
    </row>
    <row r="10" spans="1:11" ht="13.9" x14ac:dyDescent="0.25">
      <c r="A10" s="12"/>
      <c r="B10" s="53" t="s">
        <v>4</v>
      </c>
      <c r="C10" s="54">
        <f>SUMIFS('List of Ledgers '!I:I,'List of Ledgers '!$E:$E,Drs_Crs!$B$6,'List of Ledgers '!$G:$G,Drs_Crs!$B10)</f>
        <v>38958814</v>
      </c>
      <c r="D10" s="54">
        <f>SUMIFS('List of Ledgers '!J:J,'List of Ledgers '!$E:$E,Drs_Crs!$B$6,'List of Ledgers '!$G:$G,Drs_Crs!$B10)</f>
        <v>18446903</v>
      </c>
      <c r="E10" s="54">
        <f>SUMIFS('List of Ledgers '!K:K,'List of Ledgers '!$E:$E,Drs_Crs!$B$6,'List of Ledgers '!$G:$G,Drs_Crs!$B10)</f>
        <v>40861911.170000002</v>
      </c>
      <c r="F10" s="54">
        <f>SUMIFS('List of Ledgers '!L:L,'List of Ledgers '!$E:$E,Drs_Crs!$B$6,'List of Ledgers '!$G:$G,Drs_Crs!$B10)</f>
        <v>16543805.83</v>
      </c>
      <c r="H10" s="54">
        <f>SUMIFS('List of Ledgers '!N:N,'List of Ledgers '!$E:$E,Drs_Crs!$B$6,'List of Ledgers '!$G:$G,Drs_Crs!$B10)</f>
        <v>0</v>
      </c>
      <c r="I10" s="54">
        <f>SUMIFS('List of Ledgers '!O:O,'List of Ledgers '!$E:$E,Drs_Crs!$B$6,'List of Ledgers '!$G:$G,Drs_Crs!$B10)</f>
        <v>130113602.54000001</v>
      </c>
      <c r="J10" s="54">
        <f>SUMIFS('List of Ledgers '!P:P,'List of Ledgers '!$E:$E,Drs_Crs!$B$6,'List of Ledgers '!$G:$G,Drs_Crs!$B10)</f>
        <v>113569796.71000002</v>
      </c>
      <c r="K10" s="54">
        <f>SUMIFS('List of Ledgers '!Q:Q,'List of Ledgers '!$E:$E,Drs_Crs!$B$6,'List of Ledgers '!$G:$G,Drs_Crs!$B10)</f>
        <v>16543805.83</v>
      </c>
    </row>
    <row r="11" spans="1:11" ht="13.9" x14ac:dyDescent="0.25">
      <c r="A11" s="12"/>
      <c r="B11" s="53" t="s">
        <v>9</v>
      </c>
      <c r="C11" s="54">
        <f>SUMIFS('List of Ledgers '!I:I,'List of Ledgers '!$E:$E,Drs_Crs!$B$6,'List of Ledgers '!$G:$G,Drs_Crs!$B11)</f>
        <v>17225917.119999997</v>
      </c>
      <c r="D11" s="54">
        <f>SUMIFS('List of Ledgers '!J:J,'List of Ledgers '!$E:$E,Drs_Crs!$B$6,'List of Ledgers '!$G:$G,Drs_Crs!$B11)</f>
        <v>58878405</v>
      </c>
      <c r="E11" s="54">
        <f>SUMIFS('List of Ledgers '!K:K,'List of Ledgers '!$E:$E,Drs_Crs!$B$6,'List of Ledgers '!$G:$G,Drs_Crs!$B11)</f>
        <v>20579815.920000002</v>
      </c>
      <c r="F11" s="54">
        <f>SUMIFS('List of Ledgers '!L:L,'List of Ledgers '!$E:$E,Drs_Crs!$B$6,'List of Ledgers '!$G:$G,Drs_Crs!$B11)</f>
        <v>55524506.20000001</v>
      </c>
      <c r="H11" s="54">
        <f>SUMIFS('List of Ledgers '!N:N,'List of Ledgers '!$E:$E,Drs_Crs!$B$6,'List of Ledgers '!$G:$G,Drs_Crs!$B11)</f>
        <v>0</v>
      </c>
      <c r="I11" s="54">
        <f>SUMIFS('List of Ledgers '!O:O,'List of Ledgers '!$E:$E,Drs_Crs!$B$6,'List of Ledgers '!$G:$G,Drs_Crs!$B11)</f>
        <v>107368065.38</v>
      </c>
      <c r="J11" s="54">
        <f>SUMIFS('List of Ledgers '!P:P,'List of Ledgers '!$E:$E,Drs_Crs!$B$6,'List of Ledgers '!$G:$G,Drs_Crs!$B11)</f>
        <v>51843559.179999985</v>
      </c>
      <c r="K11" s="54">
        <f>SUMIFS('List of Ledgers '!Q:Q,'List of Ledgers '!$E:$E,Drs_Crs!$B$6,'List of Ledgers '!$G:$G,Drs_Crs!$B11)</f>
        <v>55524506.20000001</v>
      </c>
    </row>
    <row r="12" spans="1:11" ht="13.9" x14ac:dyDescent="0.25">
      <c r="A12" s="12"/>
      <c r="B12" s="53" t="s">
        <v>11</v>
      </c>
      <c r="C12" s="54">
        <f>SUMIFS('List of Ledgers '!I:I,'List of Ledgers '!$E:$E,Drs_Crs!$B$6,'List of Ledgers '!$G:$G,Drs_Crs!$B12)</f>
        <v>0</v>
      </c>
      <c r="D12" s="54">
        <f>SUMIFS('List of Ledgers '!J:J,'List of Ledgers '!$E:$E,Drs_Crs!$B$6,'List of Ledgers '!$G:$G,Drs_Crs!$B12)</f>
        <v>0</v>
      </c>
      <c r="E12" s="54">
        <f>SUMIFS('List of Ledgers '!K:K,'List of Ledgers '!$E:$E,Drs_Crs!$B$6,'List of Ledgers '!$G:$G,Drs_Crs!$B12)</f>
        <v>0</v>
      </c>
      <c r="F12" s="54">
        <f>SUMIFS('List of Ledgers '!L:L,'List of Ledgers '!$E:$E,Drs_Crs!$B$6,'List of Ledgers '!$G:$G,Drs_Crs!$B12)</f>
        <v>0</v>
      </c>
      <c r="H12" s="54">
        <f>SUMIFS('List of Ledgers '!N:N,'List of Ledgers '!$E:$E,Drs_Crs!$B$6,'List of Ledgers '!$G:$G,Drs_Crs!$B12)</f>
        <v>0</v>
      </c>
      <c r="I12" s="54">
        <f>SUMIFS('List of Ledgers '!O:O,'List of Ledgers '!$E:$E,Drs_Crs!$B$6,'List of Ledgers '!$G:$G,Drs_Crs!$B12)</f>
        <v>0</v>
      </c>
      <c r="J12" s="54">
        <f>SUMIFS('List of Ledgers '!P:P,'List of Ledgers '!$E:$E,Drs_Crs!$B$6,'List of Ledgers '!$G:$G,Drs_Crs!$B12)</f>
        <v>0</v>
      </c>
      <c r="K12" s="54">
        <f>SUMIFS('List of Ledgers '!Q:Q,'List of Ledgers '!$E:$E,Drs_Crs!$B$6,'List of Ledgers '!$G:$G,Drs_Crs!$B12)</f>
        <v>0</v>
      </c>
    </row>
    <row r="13" spans="1:11" s="1" customFormat="1" ht="14.25" x14ac:dyDescent="0.2">
      <c r="A13" s="38"/>
      <c r="B13" s="6" t="s">
        <v>22</v>
      </c>
      <c r="C13" s="55">
        <f>SUM(C7:C12)</f>
        <v>55985361.649999999</v>
      </c>
      <c r="D13" s="55">
        <f t="shared" ref="D13:F13" si="0">SUM(D7:D12)</f>
        <v>101553861</v>
      </c>
      <c r="E13" s="55">
        <f t="shared" si="0"/>
        <v>85696515.090000004</v>
      </c>
      <c r="F13" s="55">
        <f t="shared" si="0"/>
        <v>71842707.560000002</v>
      </c>
      <c r="G13" s="30"/>
      <c r="H13" s="55">
        <f>SUM(H7:H12)</f>
        <v>5731309.6299999999</v>
      </c>
      <c r="I13" s="55">
        <f t="shared" ref="I13:K13" si="1">SUM(I7:I12)</f>
        <v>274242149.92000002</v>
      </c>
      <c r="J13" s="55">
        <f t="shared" si="1"/>
        <v>208130751.99000001</v>
      </c>
      <c r="K13" s="55">
        <f t="shared" si="1"/>
        <v>71842707.560000002</v>
      </c>
    </row>
    <row r="15" spans="1:11" ht="13.9" x14ac:dyDescent="0.25">
      <c r="B15" s="98"/>
      <c r="C15" s="222" t="str">
        <f>C5</f>
        <v>Mar'26</v>
      </c>
      <c r="D15" s="222"/>
      <c r="E15" s="222"/>
      <c r="F15" s="222"/>
      <c r="H15" s="219" t="str">
        <f>H5</f>
        <v>(April to Mar)</v>
      </c>
      <c r="I15" s="219"/>
      <c r="J15" s="219"/>
      <c r="K15" s="219"/>
    </row>
    <row r="16" spans="1:11" ht="13.9" x14ac:dyDescent="0.25">
      <c r="A16" s="85"/>
      <c r="B16" s="78" t="s">
        <v>131</v>
      </c>
      <c r="C16" s="78" t="s">
        <v>114</v>
      </c>
      <c r="D16" s="78" t="s">
        <v>115</v>
      </c>
      <c r="E16" s="78" t="s">
        <v>116</v>
      </c>
      <c r="F16" s="78" t="s">
        <v>117</v>
      </c>
      <c r="H16" s="78" t="s">
        <v>114</v>
      </c>
      <c r="I16" s="78" t="s">
        <v>115</v>
      </c>
      <c r="J16" s="78" t="s">
        <v>116</v>
      </c>
      <c r="K16" s="78" t="s">
        <v>117</v>
      </c>
    </row>
    <row r="17" spans="1:14" ht="13.9" x14ac:dyDescent="0.25">
      <c r="A17" s="12"/>
      <c r="B17" s="53" t="s">
        <v>2</v>
      </c>
      <c r="C17" s="54">
        <f>SUMIFS('List of Ledgers '!I:I,'List of Ledgers '!$E:$E,Drs_Crs!$B$16,'List of Ledgers '!$G:$G,Drs_Crs!$B17)</f>
        <v>-23961</v>
      </c>
      <c r="D17" s="54">
        <f>SUMIFS('List of Ledgers '!J:J,'List of Ledgers '!$E:$E,Drs_Crs!$B$16,'List of Ledgers '!$G:$G,Drs_Crs!$B17)</f>
        <v>0</v>
      </c>
      <c r="E17" s="54">
        <f>SUMIFS('List of Ledgers '!K:K,'List of Ledgers '!$E:$E,Drs_Crs!$B$16,'List of Ledgers '!$G:$G,Drs_Crs!$B17)</f>
        <v>0</v>
      </c>
      <c r="F17" s="54">
        <f>SUMIFS('List of Ledgers '!L:L,'List of Ledgers '!$E:$E,Drs_Crs!$B$16,'List of Ledgers '!$G:$G,Drs_Crs!$B17)</f>
        <v>-23961</v>
      </c>
      <c r="H17" s="54">
        <f>SUMIFS('List of Ledgers '!N:N,'List of Ledgers '!$E:$E,Drs_Crs!$B$16,'List of Ledgers '!$G:$G,Drs_Crs!$B17)</f>
        <v>-591235.19999999995</v>
      </c>
      <c r="I17" s="54">
        <f>SUMIFS('List of Ledgers '!O:O,'List of Ledgers '!$E:$E,Drs_Crs!$B$16,'List of Ledgers '!$G:$G,Drs_Crs!$B17)</f>
        <v>1048133.2</v>
      </c>
      <c r="J17" s="54">
        <f>SUMIFS('List of Ledgers '!P:P,'List of Ledgers '!$E:$E,Drs_Crs!$B$16,'List of Ledgers '!$G:$G,Drs_Crs!$B17)</f>
        <v>480859</v>
      </c>
      <c r="K17" s="54">
        <f>SUMIFS('List of Ledgers '!Q:Q,'List of Ledgers '!$E:$E,Drs_Crs!$B$16,'List of Ledgers '!$G:$G,Drs_Crs!$B17)</f>
        <v>-23961</v>
      </c>
    </row>
    <row r="18" spans="1:14" ht="13.9" x14ac:dyDescent="0.25">
      <c r="A18" s="12"/>
      <c r="B18" s="53" t="s">
        <v>3</v>
      </c>
      <c r="C18" s="54">
        <f>SUMIFS('List of Ledgers '!I:I,'List of Ledgers '!$E:$E,Drs_Crs!$B$16,'List of Ledgers '!$G:$G,Drs_Crs!$B18)</f>
        <v>90378</v>
      </c>
      <c r="D18" s="54">
        <f>SUMIFS('List of Ledgers '!J:J,'List of Ledgers '!$E:$E,Drs_Crs!$B$16,'List of Ledgers '!$G:$G,Drs_Crs!$B18)</f>
        <v>0</v>
      </c>
      <c r="E18" s="54">
        <f>SUMIFS('List of Ledgers '!K:K,'List of Ledgers '!$E:$E,Drs_Crs!$B$16,'List of Ledgers '!$G:$G,Drs_Crs!$B18)</f>
        <v>0</v>
      </c>
      <c r="F18" s="54">
        <f>SUMIFS('List of Ledgers '!L:L,'List of Ledgers '!$E:$E,Drs_Crs!$B$16,'List of Ledgers '!$G:$G,Drs_Crs!$B18)</f>
        <v>90378</v>
      </c>
      <c r="H18" s="54">
        <f>SUMIFS('List of Ledgers '!N:N,'List of Ledgers '!$E:$E,Drs_Crs!$B$16,'List of Ledgers '!$G:$G,Drs_Crs!$B18)</f>
        <v>88254</v>
      </c>
      <c r="I18" s="54">
        <f>SUMIFS('List of Ledgers '!O:O,'List of Ledgers '!$E:$E,Drs_Crs!$B$16,'List of Ledgers '!$G:$G,Drs_Crs!$B18)</f>
        <v>31624</v>
      </c>
      <c r="J18" s="54">
        <f>SUMIFS('List of Ledgers '!P:P,'List of Ledgers '!$E:$E,Drs_Crs!$B$16,'List of Ledgers '!$G:$G,Drs_Crs!$B18)</f>
        <v>29500</v>
      </c>
      <c r="K18" s="54">
        <f>SUMIFS('List of Ledgers '!Q:Q,'List of Ledgers '!$E:$E,Drs_Crs!$B$16,'List of Ledgers '!$G:$G,Drs_Crs!$B18)</f>
        <v>90378</v>
      </c>
    </row>
    <row r="19" spans="1:14" ht="13.9" x14ac:dyDescent="0.25">
      <c r="A19" s="12"/>
      <c r="B19" s="53" t="s">
        <v>7</v>
      </c>
      <c r="C19" s="54">
        <f>SUMIFS('List of Ledgers '!I:I,'List of Ledgers '!$E:$E,Drs_Crs!$B$16,'List of Ledgers '!$G:$G,Drs_Crs!$B19)</f>
        <v>472714.2</v>
      </c>
      <c r="D19" s="54">
        <f>SUMIFS('List of Ledgers '!J:J,'List of Ledgers '!$E:$E,Drs_Crs!$B$16,'List of Ledgers '!$G:$G,Drs_Crs!$B19)</f>
        <v>4742892.22</v>
      </c>
      <c r="E19" s="54">
        <f>SUMIFS('List of Ledgers '!K:K,'List of Ledgers '!$E:$E,Drs_Crs!$B$16,'List of Ledgers '!$G:$G,Drs_Crs!$B19)</f>
        <v>4816619.25</v>
      </c>
      <c r="F19" s="54">
        <f>SUMIFS('List of Ledgers '!L:L,'List of Ledgers '!$E:$E,Drs_Crs!$B$16,'List of Ledgers '!$G:$G,Drs_Crs!$B19)</f>
        <v>398987.17</v>
      </c>
      <c r="H19" s="54">
        <f>SUMIFS('List of Ledgers '!N:N,'List of Ledgers '!$E:$E,Drs_Crs!$B$16,'List of Ledgers '!$G:$G,Drs_Crs!$B19)</f>
        <v>-173305.92</v>
      </c>
      <c r="I19" s="54">
        <f>SUMIFS('List of Ledgers '!O:O,'List of Ledgers '!$E:$E,Drs_Crs!$B$16,'List of Ledgers '!$G:$G,Drs_Crs!$B19)</f>
        <v>17455615.690000001</v>
      </c>
      <c r="J19" s="54">
        <f>SUMIFS('List of Ledgers '!P:P,'List of Ledgers '!$E:$E,Drs_Crs!$B$16,'List of Ledgers '!$G:$G,Drs_Crs!$B19)</f>
        <v>16883322.600000001</v>
      </c>
      <c r="K19" s="54">
        <f>SUMIFS('List of Ledgers '!Q:Q,'List of Ledgers '!$E:$E,Drs_Crs!$B$16,'List of Ledgers '!$G:$G,Drs_Crs!$B19)</f>
        <v>398987.17</v>
      </c>
    </row>
    <row r="20" spans="1:14" ht="13.9" x14ac:dyDescent="0.25">
      <c r="A20" s="12"/>
      <c r="B20" s="53" t="s">
        <v>4</v>
      </c>
      <c r="C20" s="54">
        <f>SUMIFS('List of Ledgers '!I:I,'List of Ledgers '!$E:$E,Drs_Crs!$B$16,'List of Ledgers '!$G:$G,Drs_Crs!$B20)</f>
        <v>-285560</v>
      </c>
      <c r="D20" s="54">
        <f>SUMIFS('List of Ledgers '!J:J,'List of Ledgers '!$E:$E,Drs_Crs!$B$16,'List of Ledgers '!$G:$G,Drs_Crs!$B20)</f>
        <v>1975347.85</v>
      </c>
      <c r="E20" s="54">
        <f>SUMIFS('List of Ledgers '!K:K,'List of Ledgers '!$E:$E,Drs_Crs!$B$16,'List of Ledgers '!$G:$G,Drs_Crs!$B20)</f>
        <v>2260126.85</v>
      </c>
      <c r="F20" s="54">
        <f>SUMIFS('List of Ledgers '!L:L,'List of Ledgers '!$E:$E,Drs_Crs!$B$16,'List of Ledgers '!$G:$G,Drs_Crs!$B20)</f>
        <v>-570339</v>
      </c>
      <c r="H20" s="54">
        <f>SUMIFS('List of Ledgers '!N:N,'List of Ledgers '!$E:$E,Drs_Crs!$B$16,'List of Ledgers '!$G:$G,Drs_Crs!$B20)</f>
        <v>-32600</v>
      </c>
      <c r="I20" s="54">
        <f>SUMIFS('List of Ledgers '!O:O,'List of Ledgers '!$E:$E,Drs_Crs!$B$16,'List of Ledgers '!$G:$G,Drs_Crs!$B20)</f>
        <v>129097111.83</v>
      </c>
      <c r="J20" s="54">
        <f>SUMIFS('List of Ledgers '!P:P,'List of Ledgers '!$E:$E,Drs_Crs!$B$16,'List of Ledgers '!$G:$G,Drs_Crs!$B20)</f>
        <v>129634850.83</v>
      </c>
      <c r="K20" s="54">
        <f>SUMIFS('List of Ledgers '!Q:Q,'List of Ledgers '!$E:$E,Drs_Crs!$B$16,'List of Ledgers '!$G:$G,Drs_Crs!$B20)</f>
        <v>-570339</v>
      </c>
    </row>
    <row r="21" spans="1:14" ht="13.9" x14ac:dyDescent="0.25">
      <c r="A21" s="12"/>
      <c r="B21" s="53" t="s">
        <v>5</v>
      </c>
      <c r="C21" s="54">
        <f>SUMIFS('List of Ledgers '!I:I,'List of Ledgers '!$E:$E,Drs_Crs!$B$16,'List of Ledgers '!$G:$G,Drs_Crs!$B21)</f>
        <v>0</v>
      </c>
      <c r="D21" s="54">
        <f>SUMIFS('List of Ledgers '!J:J,'List of Ledgers '!$E:$E,Drs_Crs!$B$16,'List of Ledgers '!$G:$G,Drs_Crs!$B21)</f>
        <v>0</v>
      </c>
      <c r="E21" s="54">
        <f>SUMIFS('List of Ledgers '!K:K,'List of Ledgers '!$E:$E,Drs_Crs!$B$16,'List of Ledgers '!$G:$G,Drs_Crs!$B21)</f>
        <v>0</v>
      </c>
      <c r="F21" s="54">
        <f>SUMIFS('List of Ledgers '!L:L,'List of Ledgers '!$E:$E,Drs_Crs!$B$16,'List of Ledgers '!$G:$G,Drs_Crs!$B21)</f>
        <v>0</v>
      </c>
      <c r="H21" s="54">
        <f>SUMIFS('List of Ledgers '!N:N,'List of Ledgers '!$E:$E,Drs_Crs!$B$16,'List of Ledgers '!$G:$G,Drs_Crs!$B21)</f>
        <v>0</v>
      </c>
      <c r="I21" s="54">
        <f>SUMIFS('List of Ledgers '!O:O,'List of Ledgers '!$E:$E,Drs_Crs!$B$16,'List of Ledgers '!$G:$G,Drs_Crs!$B21)</f>
        <v>0</v>
      </c>
      <c r="J21" s="54">
        <f>SUMIFS('List of Ledgers '!P:P,'List of Ledgers '!$E:$E,Drs_Crs!$B$16,'List of Ledgers '!$G:$G,Drs_Crs!$B21)</f>
        <v>0</v>
      </c>
      <c r="K21" s="54">
        <f>SUMIFS('List of Ledgers '!Q:Q,'List of Ledgers '!$E:$E,Drs_Crs!$B$16,'List of Ledgers '!$G:$G,Drs_Crs!$B21)</f>
        <v>0</v>
      </c>
    </row>
    <row r="22" spans="1:14" ht="13.9" x14ac:dyDescent="0.25">
      <c r="A22" s="12"/>
      <c r="B22" s="53" t="s">
        <v>6</v>
      </c>
      <c r="C22" s="54">
        <f>SUMIFS('List of Ledgers '!I:I,'List of Ledgers '!$E:$E,Drs_Crs!$B$16,'List of Ledgers '!$G:$G,Drs_Crs!$B22)</f>
        <v>0</v>
      </c>
      <c r="D22" s="54">
        <f>SUMIFS('List of Ledgers '!J:J,'List of Ledgers '!$E:$E,Drs_Crs!$B$16,'List of Ledgers '!$G:$G,Drs_Crs!$B22)</f>
        <v>0</v>
      </c>
      <c r="E22" s="54">
        <f>SUMIFS('List of Ledgers '!K:K,'List of Ledgers '!$E:$E,Drs_Crs!$B$16,'List of Ledgers '!$G:$G,Drs_Crs!$B22)</f>
        <v>0</v>
      </c>
      <c r="F22" s="54">
        <f>SUMIFS('List of Ledgers '!L:L,'List of Ledgers '!$E:$E,Drs_Crs!$B$16,'List of Ledgers '!$G:$G,Drs_Crs!$B22)</f>
        <v>0</v>
      </c>
      <c r="H22" s="54">
        <f>SUMIFS('List of Ledgers '!N:N,'List of Ledgers '!$E:$E,Drs_Crs!$B$16,'List of Ledgers '!$G:$G,Drs_Crs!$B22)</f>
        <v>0</v>
      </c>
      <c r="I22" s="54">
        <f>SUMIFS('List of Ledgers '!O:O,'List of Ledgers '!$E:$E,Drs_Crs!$B$16,'List of Ledgers '!$G:$G,Drs_Crs!$B22)</f>
        <v>0</v>
      </c>
      <c r="J22" s="54">
        <f>SUMIFS('List of Ledgers '!P:P,'List of Ledgers '!$E:$E,Drs_Crs!$B$16,'List of Ledgers '!$G:$G,Drs_Crs!$B22)</f>
        <v>0</v>
      </c>
      <c r="K22" s="54">
        <f>SUMIFS('List of Ledgers '!Q:Q,'List of Ledgers '!$E:$E,Drs_Crs!$B$16,'List of Ledgers '!$G:$G,Drs_Crs!$B22)</f>
        <v>0</v>
      </c>
    </row>
    <row r="23" spans="1:14" ht="13.9" x14ac:dyDescent="0.25">
      <c r="A23" s="12"/>
      <c r="B23" s="53" t="s">
        <v>11</v>
      </c>
      <c r="C23" s="54">
        <f>SUMIFS('List of Ledgers '!I:I,'List of Ledgers '!$E:$E,Drs_Crs!$B$16,'List of Ledgers '!$G:$G,Drs_Crs!$B23)</f>
        <v>0</v>
      </c>
      <c r="D23" s="54">
        <f>SUMIFS('List of Ledgers '!J:J,'List of Ledgers '!$E:$E,Drs_Crs!$B$16,'List of Ledgers '!$G:$G,Drs_Crs!$B23)</f>
        <v>0</v>
      </c>
      <c r="E23" s="54">
        <f>SUMIFS('List of Ledgers '!K:K,'List of Ledgers '!$E:$E,Drs_Crs!$B$16,'List of Ledgers '!$G:$G,Drs_Crs!$B23)</f>
        <v>0</v>
      </c>
      <c r="F23" s="54">
        <f>SUMIFS('List of Ledgers '!L:L,'List of Ledgers '!$E:$E,Drs_Crs!$B$16,'List of Ledgers '!$G:$G,Drs_Crs!$B23)</f>
        <v>0</v>
      </c>
      <c r="H23" s="54">
        <f>SUMIFS('List of Ledgers '!N:N,'List of Ledgers '!$E:$E,Drs_Crs!$B$16,'List of Ledgers '!$G:$G,Drs_Crs!$B23)</f>
        <v>0</v>
      </c>
      <c r="I23" s="54">
        <f>SUMIFS('List of Ledgers '!O:O,'List of Ledgers '!$E:$E,Drs_Crs!$B$16,'List of Ledgers '!$G:$G,Drs_Crs!$B23)</f>
        <v>0</v>
      </c>
      <c r="J23" s="54">
        <f>SUMIFS('List of Ledgers '!P:P,'List of Ledgers '!$E:$E,Drs_Crs!$B$16,'List of Ledgers '!$G:$G,Drs_Crs!$B23)</f>
        <v>0</v>
      </c>
      <c r="K23" s="54">
        <f>SUMIFS('List of Ledgers '!Q:Q,'List of Ledgers '!$E:$E,Drs_Crs!$B$16,'List of Ledgers '!$G:$G,Drs_Crs!$B23)</f>
        <v>0</v>
      </c>
    </row>
    <row r="24" spans="1:14" ht="13.9" x14ac:dyDescent="0.25">
      <c r="A24" s="12"/>
      <c r="B24" s="53" t="s">
        <v>9</v>
      </c>
      <c r="C24" s="54">
        <f>SUMIFS('List of Ledgers '!I:I,'List of Ledgers '!$E:$E,Drs_Crs!$B$16,'List of Ledgers '!$G:$G,Drs_Crs!$B24)</f>
        <v>-7457070.6799999997</v>
      </c>
      <c r="D24" s="54">
        <f>SUMIFS('List of Ledgers '!J:J,'List of Ledgers '!$E:$E,Drs_Crs!$B$16,'List of Ledgers '!$G:$G,Drs_Crs!$B24)</f>
        <v>52239220.5</v>
      </c>
      <c r="E24" s="54">
        <f>SUMIFS('List of Ledgers '!K:K,'List of Ledgers '!$E:$E,Drs_Crs!$B$16,'List of Ledgers '!$G:$G,Drs_Crs!$B24)</f>
        <v>49939870.549999997</v>
      </c>
      <c r="F24" s="54">
        <f>SUMIFS('List of Ledgers '!L:L,'List of Ledgers '!$E:$E,Drs_Crs!$B$16,'List of Ledgers '!$G:$G,Drs_Crs!$B24)</f>
        <v>-5157720.7300000004</v>
      </c>
      <c r="H24" s="54">
        <f>SUMIFS('List of Ledgers '!N:N,'List of Ledgers '!$E:$E,Drs_Crs!$B$16,'List of Ledgers '!$G:$G,Drs_Crs!$B24)</f>
        <v>0</v>
      </c>
      <c r="I24" s="54">
        <f>SUMIFS('List of Ledgers '!O:O,'List of Ledgers '!$E:$E,Drs_Crs!$B$16,'List of Ledgers '!$G:$G,Drs_Crs!$B24)</f>
        <v>118493142.5</v>
      </c>
      <c r="J24" s="54">
        <f>SUMIFS('List of Ledgers '!P:P,'List of Ledgers '!$E:$E,Drs_Crs!$B$16,'List of Ledgers '!$G:$G,Drs_Crs!$B24)</f>
        <v>123650863.23</v>
      </c>
      <c r="K24" s="54">
        <f>SUMIFS('List of Ledgers '!Q:Q,'List of Ledgers '!$E:$E,Drs_Crs!$B$16,'List of Ledgers '!$G:$G,Drs_Crs!$B24)</f>
        <v>-5157720.7300000004</v>
      </c>
    </row>
    <row r="25" spans="1:14" s="1" customFormat="1" ht="14.25" x14ac:dyDescent="0.2">
      <c r="B25" s="6" t="s">
        <v>22</v>
      </c>
      <c r="C25" s="55">
        <f>SUM(C17:C24)</f>
        <v>-7203499.4799999995</v>
      </c>
      <c r="D25" s="55">
        <f t="shared" ref="D25:F25" si="2">SUM(D17:D24)</f>
        <v>58957460.57</v>
      </c>
      <c r="E25" s="55">
        <f t="shared" si="2"/>
        <v>57016616.649999999</v>
      </c>
      <c r="F25" s="55">
        <f t="shared" si="2"/>
        <v>-5262655.5600000005</v>
      </c>
      <c r="G25" s="30"/>
      <c r="H25" s="55">
        <f>SUM(H17:H24)</f>
        <v>-708887.12</v>
      </c>
      <c r="I25" s="55">
        <f t="shared" ref="I25:K25" si="3">SUM(I17:I24)</f>
        <v>266125627.22</v>
      </c>
      <c r="J25" s="55">
        <f t="shared" si="3"/>
        <v>270679395.66000003</v>
      </c>
      <c r="K25" s="55">
        <f t="shared" si="3"/>
        <v>-5262655.5600000005</v>
      </c>
      <c r="N25" s="154"/>
    </row>
    <row r="27" spans="1:14" ht="13.9" x14ac:dyDescent="0.25">
      <c r="A27" s="1" t="s">
        <v>1093</v>
      </c>
      <c r="C27" s="220" t="str">
        <f>C5</f>
        <v>Mar'26</v>
      </c>
      <c r="D27" s="221"/>
      <c r="E27" s="221"/>
      <c r="F27" s="221"/>
      <c r="G27" s="30"/>
      <c r="H27" s="220" t="str">
        <f>H5</f>
        <v>(April to Mar)</v>
      </c>
      <c r="I27" s="221"/>
      <c r="J27" s="221"/>
      <c r="K27" s="221"/>
    </row>
    <row r="28" spans="1:14" s="1" customFormat="1" ht="14.25" x14ac:dyDescent="0.2">
      <c r="A28" s="74" t="s">
        <v>134</v>
      </c>
      <c r="B28" s="75" t="s">
        <v>98</v>
      </c>
      <c r="C28" s="78" t="s">
        <v>114</v>
      </c>
      <c r="D28" s="78" t="s">
        <v>115</v>
      </c>
      <c r="E28" s="78" t="s">
        <v>116</v>
      </c>
      <c r="F28" s="78" t="s">
        <v>117</v>
      </c>
      <c r="G28" s="84" t="s">
        <v>1094</v>
      </c>
      <c r="H28" s="78" t="s">
        <v>119</v>
      </c>
      <c r="I28" s="78" t="s">
        <v>120</v>
      </c>
      <c r="J28" s="74" t="s">
        <v>121</v>
      </c>
      <c r="K28" s="74" t="s">
        <v>122</v>
      </c>
    </row>
    <row r="29" spans="1:14" ht="13.9" hidden="1" x14ac:dyDescent="0.25">
      <c r="A29" s="125" t="s">
        <v>132</v>
      </c>
      <c r="B29" s="102" t="str">
        <f>VLOOKUP(A29,'List of Ledgers '!B:G,6,0)</f>
        <v>Bluestreak</v>
      </c>
      <c r="C29" s="76">
        <f>SUMIFS('List of Ledgers '!I:I,'List of Ledgers '!$E:$E,Drs_Crs!$A$28,'List of Ledgers '!$B:$B,Drs_Crs!$A29)</f>
        <v>0</v>
      </c>
      <c r="D29" s="76">
        <f>SUMIFS('List of Ledgers '!J:J,'List of Ledgers '!$E:$E,Drs_Crs!$A$28,'List of Ledgers '!$B:$B,Drs_Crs!$A29)</f>
        <v>0</v>
      </c>
      <c r="E29" s="76">
        <f>SUMIFS('List of Ledgers '!K:K,'List of Ledgers '!$E:$E,Drs_Crs!$A$28,'List of Ledgers '!$B:$B,Drs_Crs!$A29)</f>
        <v>0</v>
      </c>
      <c r="F29" s="76">
        <f>SUMIFS('List of Ledgers '!L:L,'List of Ledgers '!$E:$E,Drs_Crs!$A$28,'List of Ledgers '!$B:$B,Drs_Crs!$A29)</f>
        <v>0</v>
      </c>
      <c r="H29" s="76">
        <f>SUMIFS('List of Ledgers '!N:N,'List of Ledgers '!$E:$E,Drs_Crs!$A$28,'List of Ledgers '!$B:$B,Drs_Crs!$A29)</f>
        <v>0</v>
      </c>
      <c r="I29" s="76">
        <f>SUMIFS('List of Ledgers '!O:O,'List of Ledgers '!$E:$E,Drs_Crs!$A$28,'List of Ledgers '!$B:$B,Drs_Crs!$A29)</f>
        <v>0</v>
      </c>
      <c r="J29" s="76">
        <f>SUMIFS('List of Ledgers '!P:P,'List of Ledgers '!$E:$E,Drs_Crs!$A$28,'List of Ledgers '!$B:$B,Drs_Crs!$A29)</f>
        <v>0</v>
      </c>
      <c r="K29" s="76">
        <f>SUMIFS('List of Ledgers '!Q:Q,'List of Ledgers '!$E:$E,Drs_Crs!$A$28,'List of Ledgers '!$B:$B,Drs_Crs!$A29)</f>
        <v>0</v>
      </c>
    </row>
    <row r="30" spans="1:14" ht="13.9" hidden="1" x14ac:dyDescent="0.25">
      <c r="A30" s="125" t="s">
        <v>135</v>
      </c>
      <c r="B30" s="102" t="str">
        <f>VLOOKUP(A30,'List of Ledgers '!B:G,6,0)</f>
        <v>Bluestreak</v>
      </c>
      <c r="C30" s="76">
        <f>SUMIFS('List of Ledgers '!I:I,'List of Ledgers '!$E:$E,Drs_Crs!$A$28,'List of Ledgers '!$B:$B,Drs_Crs!$A30)</f>
        <v>0</v>
      </c>
      <c r="D30" s="76">
        <f>SUMIFS('List of Ledgers '!J:J,'List of Ledgers '!$E:$E,Drs_Crs!$A$28,'List of Ledgers '!$B:$B,Drs_Crs!$A30)</f>
        <v>0</v>
      </c>
      <c r="E30" s="76">
        <f>SUMIFS('List of Ledgers '!K:K,'List of Ledgers '!$E:$E,Drs_Crs!$A$28,'List of Ledgers '!$B:$B,Drs_Crs!$A30)</f>
        <v>0</v>
      </c>
      <c r="F30" s="76">
        <f>SUMIFS('List of Ledgers '!L:L,'List of Ledgers '!$E:$E,Drs_Crs!$A$28,'List of Ledgers '!$B:$B,Drs_Crs!$A30)</f>
        <v>0</v>
      </c>
      <c r="H30" s="76">
        <f>SUMIFS('List of Ledgers '!N:N,'List of Ledgers '!$E:$E,Drs_Crs!$A$28,'List of Ledgers '!$B:$B,Drs_Crs!$A30)</f>
        <v>0</v>
      </c>
      <c r="I30" s="76">
        <f>SUMIFS('List of Ledgers '!O:O,'List of Ledgers '!$E:$E,Drs_Crs!$A$28,'List of Ledgers '!$B:$B,Drs_Crs!$A30)</f>
        <v>0</v>
      </c>
      <c r="J30" s="76">
        <f>SUMIFS('List of Ledgers '!P:P,'List of Ledgers '!$E:$E,Drs_Crs!$A$28,'List of Ledgers '!$B:$B,Drs_Crs!$A30)</f>
        <v>0</v>
      </c>
      <c r="K30" s="76">
        <f>SUMIFS('List of Ledgers '!Q:Q,'List of Ledgers '!$E:$E,Drs_Crs!$A$28,'List of Ledgers '!$B:$B,Drs_Crs!$A30)</f>
        <v>0</v>
      </c>
    </row>
    <row r="31" spans="1:14" s="193" customFormat="1" ht="13.9" hidden="1" x14ac:dyDescent="0.25">
      <c r="A31" s="226" t="s">
        <v>137</v>
      </c>
      <c r="B31" s="227" t="str">
        <f>VLOOKUP(A31,'List of Ledgers '!B:G,6,0)</f>
        <v>Bluestreak</v>
      </c>
      <c r="C31" s="228">
        <f>SUMIFS('List of Ledgers '!I:I,'List of Ledgers '!$E:$E,Drs_Crs!$A$28,'List of Ledgers '!$B:$B,Drs_Crs!$A31)</f>
        <v>79762.52</v>
      </c>
      <c r="D31" s="228">
        <f>SUMIFS('List of Ledgers '!J:J,'List of Ledgers '!$E:$E,Drs_Crs!$A$28,'List of Ledgers '!$B:$B,Drs_Crs!$A31)</f>
        <v>0</v>
      </c>
      <c r="E31" s="228">
        <f>SUMIFS('List of Ledgers '!K:K,'List of Ledgers '!$E:$E,Drs_Crs!$A$28,'List of Ledgers '!$B:$B,Drs_Crs!$A31)</f>
        <v>0</v>
      </c>
      <c r="F31" s="228">
        <f>SUMIFS('List of Ledgers '!L:L,'List of Ledgers '!$E:$E,Drs_Crs!$A$28,'List of Ledgers '!$B:$B,Drs_Crs!$A31)</f>
        <v>79762.52</v>
      </c>
      <c r="G31" s="197" t="s">
        <v>1416</v>
      </c>
      <c r="H31" s="228">
        <f>SUMIFS('List of Ledgers '!N:N,'List of Ledgers '!$E:$E,Drs_Crs!$A$28,'List of Ledgers '!$B:$B,Drs_Crs!$A31)</f>
        <v>79762.52</v>
      </c>
      <c r="I31" s="228">
        <f>SUMIFS('List of Ledgers '!O:O,'List of Ledgers '!$E:$E,Drs_Crs!$A$28,'List of Ledgers '!$B:$B,Drs_Crs!$A31)</f>
        <v>0</v>
      </c>
      <c r="J31" s="228">
        <f>SUMIFS('List of Ledgers '!P:P,'List of Ledgers '!$E:$E,Drs_Crs!$A$28,'List of Ledgers '!$B:$B,Drs_Crs!$A31)</f>
        <v>0</v>
      </c>
      <c r="K31" s="228">
        <f>SUMIFS('List of Ledgers '!Q:Q,'List of Ledgers '!$E:$E,Drs_Crs!$A$28,'List of Ledgers '!$B:$B,Drs_Crs!$A31)</f>
        <v>79762.52</v>
      </c>
    </row>
    <row r="32" spans="1:14" ht="13.9" hidden="1" x14ac:dyDescent="0.25">
      <c r="A32" s="125" t="s">
        <v>155</v>
      </c>
      <c r="B32" s="102" t="str">
        <f>VLOOKUP(A32,'List of Ledgers '!B:G,6,0)</f>
        <v>Bluestreak</v>
      </c>
      <c r="C32" s="76">
        <f>SUMIFS('List of Ledgers '!I:I,'List of Ledgers '!$E:$E,Drs_Crs!$A$28,'List of Ledgers '!$B:$B,Drs_Crs!$A32)</f>
        <v>0</v>
      </c>
      <c r="D32" s="76">
        <f>SUMIFS('List of Ledgers '!J:J,'List of Ledgers '!$E:$E,Drs_Crs!$A$28,'List of Ledgers '!$B:$B,Drs_Crs!$A32)</f>
        <v>0</v>
      </c>
      <c r="E32" s="76">
        <f>SUMIFS('List of Ledgers '!K:K,'List of Ledgers '!$E:$E,Drs_Crs!$A$28,'List of Ledgers '!$B:$B,Drs_Crs!$A32)</f>
        <v>0</v>
      </c>
      <c r="F32" s="76">
        <f>SUMIFS('List of Ledgers '!L:L,'List of Ledgers '!$E:$E,Drs_Crs!$A$28,'List of Ledgers '!$B:$B,Drs_Crs!$A32)</f>
        <v>0</v>
      </c>
      <c r="H32" s="76">
        <f>SUMIFS('List of Ledgers '!N:N,'List of Ledgers '!$E:$E,Drs_Crs!$A$28,'List of Ledgers '!$B:$B,Drs_Crs!$A32)</f>
        <v>0</v>
      </c>
      <c r="I32" s="76">
        <f>SUMIFS('List of Ledgers '!O:O,'List of Ledgers '!$E:$E,Drs_Crs!$A$28,'List of Ledgers '!$B:$B,Drs_Crs!$A32)</f>
        <v>15741</v>
      </c>
      <c r="J32" s="76">
        <f>SUMIFS('List of Ledgers '!P:P,'List of Ledgers '!$E:$E,Drs_Crs!$A$28,'List of Ledgers '!$B:$B,Drs_Crs!$A32)</f>
        <v>15741</v>
      </c>
      <c r="K32" s="76">
        <f>SUMIFS('List of Ledgers '!Q:Q,'List of Ledgers '!$E:$E,Drs_Crs!$A$28,'List of Ledgers '!$B:$B,Drs_Crs!$A32)</f>
        <v>0</v>
      </c>
    </row>
    <row r="33" spans="1:11" ht="13.9" hidden="1" x14ac:dyDescent="0.25">
      <c r="A33" s="125" t="s">
        <v>182</v>
      </c>
      <c r="B33" s="102" t="str">
        <f>VLOOKUP(A33,'List of Ledgers '!B:G,6,0)</f>
        <v>Bluestreak</v>
      </c>
      <c r="C33" s="76">
        <f>SUMIFS('List of Ledgers '!I:I,'List of Ledgers '!$E:$E,Drs_Crs!$A$28,'List of Ledgers '!$B:$B,Drs_Crs!$A33)</f>
        <v>0</v>
      </c>
      <c r="D33" s="76">
        <f>SUMIFS('List of Ledgers '!J:J,'List of Ledgers '!$E:$E,Drs_Crs!$A$28,'List of Ledgers '!$B:$B,Drs_Crs!$A33)</f>
        <v>0</v>
      </c>
      <c r="E33" s="76">
        <f>SUMIFS('List of Ledgers '!K:K,'List of Ledgers '!$E:$E,Drs_Crs!$A$28,'List of Ledgers '!$B:$B,Drs_Crs!$A33)</f>
        <v>0</v>
      </c>
      <c r="F33" s="76">
        <f>SUMIFS('List of Ledgers '!L:L,'List of Ledgers '!$E:$E,Drs_Crs!$A$28,'List of Ledgers '!$B:$B,Drs_Crs!$A33)</f>
        <v>0</v>
      </c>
      <c r="H33" s="76">
        <f>SUMIFS('List of Ledgers '!N:N,'List of Ledgers '!$E:$E,Drs_Crs!$A$28,'List of Ledgers '!$B:$B,Drs_Crs!$A33)</f>
        <v>0</v>
      </c>
      <c r="I33" s="76">
        <f>SUMIFS('List of Ledgers '!O:O,'List of Ledgers '!$E:$E,Drs_Crs!$A$28,'List of Ledgers '!$B:$B,Drs_Crs!$A33)</f>
        <v>0</v>
      </c>
      <c r="J33" s="76">
        <f>SUMIFS('List of Ledgers '!P:P,'List of Ledgers '!$E:$E,Drs_Crs!$A$28,'List of Ledgers '!$B:$B,Drs_Crs!$A33)</f>
        <v>0</v>
      </c>
      <c r="K33" s="76">
        <f>SUMIFS('List of Ledgers '!Q:Q,'List of Ledgers '!$E:$E,Drs_Crs!$A$28,'List of Ledgers '!$B:$B,Drs_Crs!$A33)</f>
        <v>0</v>
      </c>
    </row>
    <row r="34" spans="1:11" ht="13.9" hidden="1" x14ac:dyDescent="0.25">
      <c r="A34" s="125" t="s">
        <v>184</v>
      </c>
      <c r="B34" s="102" t="str">
        <f>VLOOKUP(A34,'List of Ledgers '!B:G,6,0)</f>
        <v>Clarus</v>
      </c>
      <c r="C34" s="76">
        <f>SUMIFS('List of Ledgers '!I:I,'List of Ledgers '!$E:$E,Drs_Crs!$A$28,'List of Ledgers '!$B:$B,Drs_Crs!$A34)</f>
        <v>0</v>
      </c>
      <c r="D34" s="76">
        <f>SUMIFS('List of Ledgers '!J:J,'List of Ledgers '!$E:$E,Drs_Crs!$A$28,'List of Ledgers '!$B:$B,Drs_Crs!$A34)</f>
        <v>0</v>
      </c>
      <c r="E34" s="76">
        <f>SUMIFS('List of Ledgers '!K:K,'List of Ledgers '!$E:$E,Drs_Crs!$A$28,'List of Ledgers '!$B:$B,Drs_Crs!$A34)</f>
        <v>0</v>
      </c>
      <c r="F34" s="76">
        <f>SUMIFS('List of Ledgers '!L:L,'List of Ledgers '!$E:$E,Drs_Crs!$A$28,'List of Ledgers '!$B:$B,Drs_Crs!$A34)</f>
        <v>0</v>
      </c>
      <c r="H34" s="76">
        <f>SUMIFS('List of Ledgers '!N:N,'List of Ledgers '!$E:$E,Drs_Crs!$A$28,'List of Ledgers '!$B:$B,Drs_Crs!$A34)</f>
        <v>0</v>
      </c>
      <c r="I34" s="76">
        <f>SUMIFS('List of Ledgers '!O:O,'List of Ledgers '!$E:$E,Drs_Crs!$A$28,'List of Ledgers '!$B:$B,Drs_Crs!$A34)</f>
        <v>31288</v>
      </c>
      <c r="J34" s="76">
        <f>SUMIFS('List of Ledgers '!P:P,'List of Ledgers '!$E:$E,Drs_Crs!$A$28,'List of Ledgers '!$B:$B,Drs_Crs!$A34)</f>
        <v>31288</v>
      </c>
      <c r="K34" s="76">
        <f>SUMIFS('List of Ledgers '!Q:Q,'List of Ledgers '!$E:$E,Drs_Crs!$A$28,'List of Ledgers '!$B:$B,Drs_Crs!$A34)</f>
        <v>0</v>
      </c>
    </row>
    <row r="35" spans="1:11" ht="13.9" hidden="1" x14ac:dyDescent="0.25">
      <c r="A35" s="125" t="s">
        <v>186</v>
      </c>
      <c r="B35" s="102" t="str">
        <f>VLOOKUP(A35,'List of Ledgers '!B:G,6,0)</f>
        <v>Bluestreak</v>
      </c>
      <c r="C35" s="76">
        <f>SUMIFS('List of Ledgers '!I:I,'List of Ledgers '!$E:$E,Drs_Crs!$A$28,'List of Ledgers '!$B:$B,Drs_Crs!$A35)</f>
        <v>0</v>
      </c>
      <c r="D35" s="76">
        <f>SUMIFS('List of Ledgers '!J:J,'List of Ledgers '!$E:$E,Drs_Crs!$A$28,'List of Ledgers '!$B:$B,Drs_Crs!$A35)</f>
        <v>0</v>
      </c>
      <c r="E35" s="76">
        <f>SUMIFS('List of Ledgers '!K:K,'List of Ledgers '!$E:$E,Drs_Crs!$A$28,'List of Ledgers '!$B:$B,Drs_Crs!$A35)</f>
        <v>0</v>
      </c>
      <c r="F35" s="76">
        <f>SUMIFS('List of Ledgers '!L:L,'List of Ledgers '!$E:$E,Drs_Crs!$A$28,'List of Ledgers '!$B:$B,Drs_Crs!$A35)</f>
        <v>0</v>
      </c>
      <c r="H35" s="76">
        <f>SUMIFS('List of Ledgers '!N:N,'List of Ledgers '!$E:$E,Drs_Crs!$A$28,'List of Ledgers '!$B:$B,Drs_Crs!$A35)</f>
        <v>0</v>
      </c>
      <c r="I35" s="76">
        <f>SUMIFS('List of Ledgers '!O:O,'List of Ledgers '!$E:$E,Drs_Crs!$A$28,'List of Ledgers '!$B:$B,Drs_Crs!$A35)</f>
        <v>0</v>
      </c>
      <c r="J35" s="76">
        <f>SUMIFS('List of Ledgers '!P:P,'List of Ledgers '!$E:$E,Drs_Crs!$A$28,'List of Ledgers '!$B:$B,Drs_Crs!$A35)</f>
        <v>0</v>
      </c>
      <c r="K35" s="76">
        <f>SUMIFS('List of Ledgers '!Q:Q,'List of Ledgers '!$E:$E,Drs_Crs!$A$28,'List of Ledgers '!$B:$B,Drs_Crs!$A35)</f>
        <v>0</v>
      </c>
    </row>
    <row r="36" spans="1:11" ht="13.9" hidden="1" x14ac:dyDescent="0.25">
      <c r="A36" s="125" t="s">
        <v>195</v>
      </c>
      <c r="B36" s="102" t="str">
        <f>VLOOKUP(A36,'List of Ledgers '!B:G,6,0)</f>
        <v>Bluestreak</v>
      </c>
      <c r="C36" s="76">
        <f>SUMIFS('List of Ledgers '!I:I,'List of Ledgers '!$E:$E,Drs_Crs!$A$28,'List of Ledgers '!$B:$B,Drs_Crs!$A36)</f>
        <v>0</v>
      </c>
      <c r="D36" s="76">
        <f>SUMIFS('List of Ledgers '!J:J,'List of Ledgers '!$E:$E,Drs_Crs!$A$28,'List of Ledgers '!$B:$B,Drs_Crs!$A36)</f>
        <v>0</v>
      </c>
      <c r="E36" s="76">
        <f>SUMIFS('List of Ledgers '!K:K,'List of Ledgers '!$E:$E,Drs_Crs!$A$28,'List of Ledgers '!$B:$B,Drs_Crs!$A36)</f>
        <v>0</v>
      </c>
      <c r="F36" s="76">
        <f>SUMIFS('List of Ledgers '!L:L,'List of Ledgers '!$E:$E,Drs_Crs!$A$28,'List of Ledgers '!$B:$B,Drs_Crs!$A36)</f>
        <v>0</v>
      </c>
      <c r="H36" s="76">
        <f>SUMIFS('List of Ledgers '!N:N,'List of Ledgers '!$E:$E,Drs_Crs!$A$28,'List of Ledgers '!$B:$B,Drs_Crs!$A36)</f>
        <v>0</v>
      </c>
      <c r="I36" s="76">
        <f>SUMIFS('List of Ledgers '!O:O,'List of Ledgers '!$E:$E,Drs_Crs!$A$28,'List of Ledgers '!$B:$B,Drs_Crs!$A36)</f>
        <v>0</v>
      </c>
      <c r="J36" s="76">
        <f>SUMIFS('List of Ledgers '!P:P,'List of Ledgers '!$E:$E,Drs_Crs!$A$28,'List of Ledgers '!$B:$B,Drs_Crs!$A36)</f>
        <v>0</v>
      </c>
      <c r="K36" s="76">
        <f>SUMIFS('List of Ledgers '!Q:Q,'List of Ledgers '!$E:$E,Drs_Crs!$A$28,'List of Ledgers '!$B:$B,Drs_Crs!$A36)</f>
        <v>0</v>
      </c>
    </row>
    <row r="37" spans="1:11" ht="13.9" hidden="1" x14ac:dyDescent="0.25">
      <c r="A37" s="125" t="s">
        <v>197</v>
      </c>
      <c r="B37" s="102" t="str">
        <f>VLOOKUP(A37,'List of Ledgers '!B:G,6,0)</f>
        <v>Bluestreak</v>
      </c>
      <c r="C37" s="76">
        <f>SUMIFS('List of Ledgers '!I:I,'List of Ledgers '!$E:$E,Drs_Crs!$A$28,'List of Ledgers '!$B:$B,Drs_Crs!$A37)</f>
        <v>0</v>
      </c>
      <c r="D37" s="76">
        <f>SUMIFS('List of Ledgers '!J:J,'List of Ledgers '!$E:$E,Drs_Crs!$A$28,'List of Ledgers '!$B:$B,Drs_Crs!$A37)</f>
        <v>0</v>
      </c>
      <c r="E37" s="76">
        <f>SUMIFS('List of Ledgers '!K:K,'List of Ledgers '!$E:$E,Drs_Crs!$A$28,'List of Ledgers '!$B:$B,Drs_Crs!$A37)</f>
        <v>0</v>
      </c>
      <c r="F37" s="76">
        <f>SUMIFS('List of Ledgers '!L:L,'List of Ledgers '!$E:$E,Drs_Crs!$A$28,'List of Ledgers '!$B:$B,Drs_Crs!$A37)</f>
        <v>0</v>
      </c>
      <c r="H37" s="76">
        <f>SUMIFS('List of Ledgers '!N:N,'List of Ledgers '!$E:$E,Drs_Crs!$A$28,'List of Ledgers '!$B:$B,Drs_Crs!$A37)</f>
        <v>0</v>
      </c>
      <c r="I37" s="76">
        <f>SUMIFS('List of Ledgers '!O:O,'List of Ledgers '!$E:$E,Drs_Crs!$A$28,'List of Ledgers '!$B:$B,Drs_Crs!$A37)</f>
        <v>0</v>
      </c>
      <c r="J37" s="76">
        <f>SUMIFS('List of Ledgers '!P:P,'List of Ledgers '!$E:$E,Drs_Crs!$A$28,'List of Ledgers '!$B:$B,Drs_Crs!$A37)</f>
        <v>0</v>
      </c>
      <c r="K37" s="76">
        <f>SUMIFS('List of Ledgers '!Q:Q,'List of Ledgers '!$E:$E,Drs_Crs!$A$28,'List of Ledgers '!$B:$B,Drs_Crs!$A37)</f>
        <v>0</v>
      </c>
    </row>
    <row r="38" spans="1:11" ht="13.9" hidden="1" x14ac:dyDescent="0.25">
      <c r="A38" s="125" t="s">
        <v>208</v>
      </c>
      <c r="B38" s="102" t="str">
        <f>VLOOKUP(A38,'List of Ledgers '!B:G,6,0)</f>
        <v>Bluestreak</v>
      </c>
      <c r="C38" s="76">
        <f>SUMIFS('List of Ledgers '!I:I,'List of Ledgers '!$E:$E,Drs_Crs!$A$28,'List of Ledgers '!$B:$B,Drs_Crs!$A38)</f>
        <v>0</v>
      </c>
      <c r="D38" s="76">
        <f>SUMIFS('List of Ledgers '!J:J,'List of Ledgers '!$E:$E,Drs_Crs!$A$28,'List of Ledgers '!$B:$B,Drs_Crs!$A38)</f>
        <v>0</v>
      </c>
      <c r="E38" s="76">
        <f>SUMIFS('List of Ledgers '!K:K,'List of Ledgers '!$E:$E,Drs_Crs!$A$28,'List of Ledgers '!$B:$B,Drs_Crs!$A38)</f>
        <v>0</v>
      </c>
      <c r="F38" s="76">
        <f>SUMIFS('List of Ledgers '!L:L,'List of Ledgers '!$E:$E,Drs_Crs!$A$28,'List of Ledgers '!$B:$B,Drs_Crs!$A38)</f>
        <v>0</v>
      </c>
      <c r="H38" s="76">
        <f>SUMIFS('List of Ledgers '!N:N,'List of Ledgers '!$E:$E,Drs_Crs!$A$28,'List of Ledgers '!$B:$B,Drs_Crs!$A38)</f>
        <v>0</v>
      </c>
      <c r="I38" s="76">
        <f>SUMIFS('List of Ledgers '!O:O,'List of Ledgers '!$E:$E,Drs_Crs!$A$28,'List of Ledgers '!$B:$B,Drs_Crs!$A38)</f>
        <v>0</v>
      </c>
      <c r="J38" s="76">
        <f>SUMIFS('List of Ledgers '!P:P,'List of Ledgers '!$E:$E,Drs_Crs!$A$28,'List of Ledgers '!$B:$B,Drs_Crs!$A38)</f>
        <v>0</v>
      </c>
      <c r="K38" s="76">
        <f>SUMIFS('List of Ledgers '!Q:Q,'List of Ledgers '!$E:$E,Drs_Crs!$A$28,'List of Ledgers '!$B:$B,Drs_Crs!$A38)</f>
        <v>0</v>
      </c>
    </row>
    <row r="39" spans="1:11" ht="13.9" hidden="1" x14ac:dyDescent="0.25">
      <c r="A39" s="125" t="s">
        <v>209</v>
      </c>
      <c r="B39" s="102" t="str">
        <f>VLOOKUP(A39,'List of Ledgers '!B:G,6,0)</f>
        <v>Bluestreak</v>
      </c>
      <c r="C39" s="76">
        <f>SUMIFS('List of Ledgers '!I:I,'List of Ledgers '!$E:$E,Drs_Crs!$A$28,'List of Ledgers '!$B:$B,Drs_Crs!$A39)</f>
        <v>0</v>
      </c>
      <c r="D39" s="76">
        <f>SUMIFS('List of Ledgers '!J:J,'List of Ledgers '!$E:$E,Drs_Crs!$A$28,'List of Ledgers '!$B:$B,Drs_Crs!$A39)</f>
        <v>0</v>
      </c>
      <c r="E39" s="76">
        <f>SUMIFS('List of Ledgers '!K:K,'List of Ledgers '!$E:$E,Drs_Crs!$A$28,'List of Ledgers '!$B:$B,Drs_Crs!$A39)</f>
        <v>0</v>
      </c>
      <c r="F39" s="76">
        <f>SUMIFS('List of Ledgers '!L:L,'List of Ledgers '!$E:$E,Drs_Crs!$A$28,'List of Ledgers '!$B:$B,Drs_Crs!$A39)</f>
        <v>0</v>
      </c>
      <c r="H39" s="76">
        <f>SUMIFS('List of Ledgers '!N:N,'List of Ledgers '!$E:$E,Drs_Crs!$A$28,'List of Ledgers '!$B:$B,Drs_Crs!$A39)</f>
        <v>0</v>
      </c>
      <c r="I39" s="76">
        <f>SUMIFS('List of Ledgers '!O:O,'List of Ledgers '!$E:$E,Drs_Crs!$A$28,'List of Ledgers '!$B:$B,Drs_Crs!$A39)</f>
        <v>0</v>
      </c>
      <c r="J39" s="76">
        <f>SUMIFS('List of Ledgers '!P:P,'List of Ledgers '!$E:$E,Drs_Crs!$A$28,'List of Ledgers '!$B:$B,Drs_Crs!$A39)</f>
        <v>0</v>
      </c>
      <c r="K39" s="76">
        <f>SUMIFS('List of Ledgers '!Q:Q,'List of Ledgers '!$E:$E,Drs_Crs!$A$28,'List of Ledgers '!$B:$B,Drs_Crs!$A39)</f>
        <v>0</v>
      </c>
    </row>
    <row r="40" spans="1:11" ht="13.9" hidden="1" x14ac:dyDescent="0.25">
      <c r="A40" s="125" t="s">
        <v>210</v>
      </c>
      <c r="B40" s="102" t="str">
        <f>VLOOKUP(A40,'List of Ledgers '!B:G,6,0)</f>
        <v>Clarus</v>
      </c>
      <c r="C40" s="76">
        <f>SUMIFS('List of Ledgers '!I:I,'List of Ledgers '!$E:$E,Drs_Crs!$A$28,'List of Ledgers '!$B:$B,Drs_Crs!$A40)</f>
        <v>0</v>
      </c>
      <c r="D40" s="76">
        <f>SUMIFS('List of Ledgers '!J:J,'List of Ledgers '!$E:$E,Drs_Crs!$A$28,'List of Ledgers '!$B:$B,Drs_Crs!$A40)</f>
        <v>0</v>
      </c>
      <c r="E40" s="76">
        <f>SUMIFS('List of Ledgers '!K:K,'List of Ledgers '!$E:$E,Drs_Crs!$A$28,'List of Ledgers '!$B:$B,Drs_Crs!$A40)</f>
        <v>0</v>
      </c>
      <c r="F40" s="76">
        <f>SUMIFS('List of Ledgers '!L:L,'List of Ledgers '!$E:$E,Drs_Crs!$A$28,'List of Ledgers '!$B:$B,Drs_Crs!$A40)</f>
        <v>0</v>
      </c>
      <c r="H40" s="76">
        <f>SUMIFS('List of Ledgers '!N:N,'List of Ledgers '!$E:$E,Drs_Crs!$A$28,'List of Ledgers '!$B:$B,Drs_Crs!$A40)</f>
        <v>0</v>
      </c>
      <c r="I40" s="76">
        <f>SUMIFS('List of Ledgers '!O:O,'List of Ledgers '!$E:$E,Drs_Crs!$A$28,'List of Ledgers '!$B:$B,Drs_Crs!$A40)</f>
        <v>21902</v>
      </c>
      <c r="J40" s="76">
        <f>SUMIFS('List of Ledgers '!P:P,'List of Ledgers '!$E:$E,Drs_Crs!$A$28,'List of Ledgers '!$B:$B,Drs_Crs!$A40)</f>
        <v>21902</v>
      </c>
      <c r="K40" s="76">
        <f>SUMIFS('List of Ledgers '!Q:Q,'List of Ledgers '!$E:$E,Drs_Crs!$A$28,'List of Ledgers '!$B:$B,Drs_Crs!$A40)</f>
        <v>0</v>
      </c>
    </row>
    <row r="41" spans="1:11" s="193" customFormat="1" ht="13.9" x14ac:dyDescent="0.25">
      <c r="A41" s="226" t="s">
        <v>221</v>
      </c>
      <c r="B41" s="227" t="str">
        <f>VLOOKUP(A41,'List of Ledgers '!B:G,6,0)</f>
        <v>Clarus</v>
      </c>
      <c r="C41" s="228">
        <f>SUMIFS('List of Ledgers '!I:I,'List of Ledgers '!$E:$E,Drs_Crs!$A$28,'List of Ledgers '!$B:$B,Drs_Crs!$A41)</f>
        <v>-229554.44</v>
      </c>
      <c r="D41" s="228">
        <f>SUMIFS('List of Ledgers '!J:J,'List of Ledgers '!$E:$E,Drs_Crs!$A$28,'List of Ledgers '!$B:$B,Drs_Crs!$A41)</f>
        <v>5000</v>
      </c>
      <c r="E41" s="228">
        <f>SUMIFS('List of Ledgers '!K:K,'List of Ledgers '!$E:$E,Drs_Crs!$A$28,'List of Ledgers '!$B:$B,Drs_Crs!$A41)</f>
        <v>38553</v>
      </c>
      <c r="F41" s="228">
        <f>SUMIFS('List of Ledgers '!L:L,'List of Ledgers '!$E:$E,Drs_Crs!$A$28,'List of Ledgers '!$B:$B,Drs_Crs!$A41)</f>
        <v>-263107.44</v>
      </c>
      <c r="G41" s="197"/>
      <c r="H41" s="228">
        <f>SUMIFS('List of Ledgers '!N:N,'List of Ledgers '!$E:$E,Drs_Crs!$A$28,'List of Ledgers '!$B:$B,Drs_Crs!$A41)</f>
        <v>0</v>
      </c>
      <c r="I41" s="228">
        <f>SUMIFS('List of Ledgers '!O:O,'List of Ledgers '!$E:$E,Drs_Crs!$A$28,'List of Ledgers '!$B:$B,Drs_Crs!$A41)</f>
        <v>136962</v>
      </c>
      <c r="J41" s="228">
        <f>SUMIFS('List of Ledgers '!P:P,'List of Ledgers '!$E:$E,Drs_Crs!$A$28,'List of Ledgers '!$B:$B,Drs_Crs!$A41)</f>
        <v>400069.44</v>
      </c>
      <c r="K41" s="228">
        <f>SUMIFS('List of Ledgers '!Q:Q,'List of Ledgers '!$E:$E,Drs_Crs!$A$28,'List of Ledgers '!$B:$B,Drs_Crs!$A41)</f>
        <v>-263107.44</v>
      </c>
    </row>
    <row r="42" spans="1:11" ht="13.9" hidden="1" x14ac:dyDescent="0.25">
      <c r="A42" s="125" t="s">
        <v>242</v>
      </c>
      <c r="B42" s="102" t="str">
        <f>VLOOKUP(A42,'List of Ledgers '!B:G,6,0)</f>
        <v>Bluestreak</v>
      </c>
      <c r="C42" s="76">
        <f>SUMIFS('List of Ledgers '!I:I,'List of Ledgers '!$E:$E,Drs_Crs!$A$28,'List of Ledgers '!$B:$B,Drs_Crs!$A42)</f>
        <v>0</v>
      </c>
      <c r="D42" s="76">
        <f>SUMIFS('List of Ledgers '!J:J,'List of Ledgers '!$E:$E,Drs_Crs!$A$28,'List of Ledgers '!$B:$B,Drs_Crs!$A42)</f>
        <v>0</v>
      </c>
      <c r="E42" s="76">
        <f>SUMIFS('List of Ledgers '!K:K,'List of Ledgers '!$E:$E,Drs_Crs!$A$28,'List of Ledgers '!$B:$B,Drs_Crs!$A42)</f>
        <v>0</v>
      </c>
      <c r="F42" s="76">
        <f>SUMIFS('List of Ledgers '!L:L,'List of Ledgers '!$E:$E,Drs_Crs!$A$28,'List of Ledgers '!$B:$B,Drs_Crs!$A42)</f>
        <v>0</v>
      </c>
      <c r="H42" s="76">
        <f>SUMIFS('List of Ledgers '!N:N,'List of Ledgers '!$E:$E,Drs_Crs!$A$28,'List of Ledgers '!$B:$B,Drs_Crs!$A42)</f>
        <v>0</v>
      </c>
      <c r="I42" s="76">
        <f>SUMIFS('List of Ledgers '!O:O,'List of Ledgers '!$E:$E,Drs_Crs!$A$28,'List of Ledgers '!$B:$B,Drs_Crs!$A42)</f>
        <v>0</v>
      </c>
      <c r="J42" s="76">
        <f>SUMIFS('List of Ledgers '!P:P,'List of Ledgers '!$E:$E,Drs_Crs!$A$28,'List of Ledgers '!$B:$B,Drs_Crs!$A42)</f>
        <v>0</v>
      </c>
      <c r="K42" s="76">
        <f>SUMIFS('List of Ledgers '!Q:Q,'List of Ledgers '!$E:$E,Drs_Crs!$A$28,'List of Ledgers '!$B:$B,Drs_Crs!$A42)</f>
        <v>0</v>
      </c>
    </row>
    <row r="43" spans="1:11" ht="13.9" hidden="1" x14ac:dyDescent="0.25">
      <c r="A43" s="125" t="s">
        <v>243</v>
      </c>
      <c r="B43" s="102" t="str">
        <f>VLOOKUP(A43,'List of Ledgers '!B:G,6,0)</f>
        <v>Clarus</v>
      </c>
      <c r="C43" s="76">
        <f>SUMIFS('List of Ledgers '!I:I,'List of Ledgers '!$E:$E,Drs_Crs!$A$28,'List of Ledgers '!$B:$B,Drs_Crs!$A43)</f>
        <v>0</v>
      </c>
      <c r="D43" s="76">
        <f>SUMIFS('List of Ledgers '!J:J,'List of Ledgers '!$E:$E,Drs_Crs!$A$28,'List of Ledgers '!$B:$B,Drs_Crs!$A43)</f>
        <v>0</v>
      </c>
      <c r="E43" s="76">
        <f>SUMIFS('List of Ledgers '!K:K,'List of Ledgers '!$E:$E,Drs_Crs!$A$28,'List of Ledgers '!$B:$B,Drs_Crs!$A43)</f>
        <v>0</v>
      </c>
      <c r="F43" s="76">
        <f>SUMIFS('List of Ledgers '!L:L,'List of Ledgers '!$E:$E,Drs_Crs!$A$28,'List of Ledgers '!$B:$B,Drs_Crs!$A43)</f>
        <v>0</v>
      </c>
      <c r="H43" s="76">
        <f>SUMIFS('List of Ledgers '!N:N,'List of Ledgers '!$E:$E,Drs_Crs!$A$28,'List of Ledgers '!$B:$B,Drs_Crs!$A43)</f>
        <v>0</v>
      </c>
      <c r="I43" s="76">
        <f>SUMIFS('List of Ledgers '!O:O,'List of Ledgers '!$E:$E,Drs_Crs!$A$28,'List of Ledgers '!$B:$B,Drs_Crs!$A43)</f>
        <v>21902</v>
      </c>
      <c r="J43" s="76">
        <f>SUMIFS('List of Ledgers '!P:P,'List of Ledgers '!$E:$E,Drs_Crs!$A$28,'List of Ledgers '!$B:$B,Drs_Crs!$A43)</f>
        <v>21902</v>
      </c>
      <c r="K43" s="76">
        <f>SUMIFS('List of Ledgers '!Q:Q,'List of Ledgers '!$E:$E,Drs_Crs!$A$28,'List of Ledgers '!$B:$B,Drs_Crs!$A43)</f>
        <v>0</v>
      </c>
    </row>
    <row r="44" spans="1:11" ht="13.9" hidden="1" x14ac:dyDescent="0.25">
      <c r="A44" s="125" t="s">
        <v>245</v>
      </c>
      <c r="B44" s="102" t="str">
        <f>VLOOKUP(A44,'List of Ledgers '!B:G,6,0)</f>
        <v>Bluestreak</v>
      </c>
      <c r="C44" s="76">
        <f>SUMIFS('List of Ledgers '!I:I,'List of Ledgers '!$E:$E,Drs_Crs!$A$28,'List of Ledgers '!$B:$B,Drs_Crs!$A44)</f>
        <v>0</v>
      </c>
      <c r="D44" s="76">
        <f>SUMIFS('List of Ledgers '!J:J,'List of Ledgers '!$E:$E,Drs_Crs!$A$28,'List of Ledgers '!$B:$B,Drs_Crs!$A44)</f>
        <v>0</v>
      </c>
      <c r="E44" s="76">
        <f>SUMIFS('List of Ledgers '!K:K,'List of Ledgers '!$E:$E,Drs_Crs!$A$28,'List of Ledgers '!$B:$B,Drs_Crs!$A44)</f>
        <v>0</v>
      </c>
      <c r="F44" s="76">
        <f>SUMIFS('List of Ledgers '!L:L,'List of Ledgers '!$E:$E,Drs_Crs!$A$28,'List of Ledgers '!$B:$B,Drs_Crs!$A44)</f>
        <v>0</v>
      </c>
      <c r="H44" s="76">
        <f>SUMIFS('List of Ledgers '!N:N,'List of Ledgers '!$E:$E,Drs_Crs!$A$28,'List of Ledgers '!$B:$B,Drs_Crs!$A44)</f>
        <v>0</v>
      </c>
      <c r="I44" s="76">
        <f>SUMIFS('List of Ledgers '!O:O,'List of Ledgers '!$E:$E,Drs_Crs!$A$28,'List of Ledgers '!$B:$B,Drs_Crs!$A44)</f>
        <v>0</v>
      </c>
      <c r="J44" s="76">
        <f>SUMIFS('List of Ledgers '!P:P,'List of Ledgers '!$E:$E,Drs_Crs!$A$28,'List of Ledgers '!$B:$B,Drs_Crs!$A44)</f>
        <v>0</v>
      </c>
      <c r="K44" s="76">
        <f>SUMIFS('List of Ledgers '!Q:Q,'List of Ledgers '!$E:$E,Drs_Crs!$A$28,'List of Ledgers '!$B:$B,Drs_Crs!$A44)</f>
        <v>0</v>
      </c>
    </row>
    <row r="45" spans="1:11" ht="13.9" hidden="1" x14ac:dyDescent="0.25">
      <c r="A45" s="125" t="s">
        <v>247</v>
      </c>
      <c r="B45" s="102" t="str">
        <f>VLOOKUP(A45,'List of Ledgers '!B:G,6,0)</f>
        <v>Clarus</v>
      </c>
      <c r="C45" s="76">
        <f>SUMIFS('List of Ledgers '!I:I,'List of Ledgers '!$E:$E,Drs_Crs!$A$28,'List of Ledgers '!$B:$B,Drs_Crs!$A45)</f>
        <v>0</v>
      </c>
      <c r="D45" s="76">
        <f>SUMIFS('List of Ledgers '!J:J,'List of Ledgers '!$E:$E,Drs_Crs!$A$28,'List of Ledgers '!$B:$B,Drs_Crs!$A45)</f>
        <v>0</v>
      </c>
      <c r="E45" s="76">
        <f>SUMIFS('List of Ledgers '!K:K,'List of Ledgers '!$E:$E,Drs_Crs!$A$28,'List of Ledgers '!$B:$B,Drs_Crs!$A45)</f>
        <v>0</v>
      </c>
      <c r="F45" s="76">
        <f>SUMIFS('List of Ledgers '!L:L,'List of Ledgers '!$E:$E,Drs_Crs!$A$28,'List of Ledgers '!$B:$B,Drs_Crs!$A45)</f>
        <v>0</v>
      </c>
      <c r="H45" s="76">
        <f>SUMIFS('List of Ledgers '!N:N,'List of Ledgers '!$E:$E,Drs_Crs!$A$28,'List of Ledgers '!$B:$B,Drs_Crs!$A45)</f>
        <v>0</v>
      </c>
      <c r="I45" s="76">
        <f>SUMIFS('List of Ledgers '!O:O,'List of Ledgers '!$E:$E,Drs_Crs!$A$28,'List of Ledgers '!$B:$B,Drs_Crs!$A45)</f>
        <v>15644</v>
      </c>
      <c r="J45" s="76">
        <f>SUMIFS('List of Ledgers '!P:P,'List of Ledgers '!$E:$E,Drs_Crs!$A$28,'List of Ledgers '!$B:$B,Drs_Crs!$A45)</f>
        <v>15644</v>
      </c>
      <c r="K45" s="76">
        <f>SUMIFS('List of Ledgers '!Q:Q,'List of Ledgers '!$E:$E,Drs_Crs!$A$28,'List of Ledgers '!$B:$B,Drs_Crs!$A45)</f>
        <v>0</v>
      </c>
    </row>
    <row r="46" spans="1:11" ht="13.9" x14ac:dyDescent="0.25">
      <c r="A46" s="125" t="s">
        <v>257</v>
      </c>
      <c r="B46" s="102" t="str">
        <f>VLOOKUP(A46,'List of Ledgers '!B:G,6,0)</f>
        <v>IT</v>
      </c>
      <c r="C46" s="76">
        <f>SUMIFS('List of Ledgers '!I:I,'List of Ledgers '!$E:$E,Drs_Crs!$A$28,'List of Ledgers '!$B:$B,Drs_Crs!$A46)</f>
        <v>38958814</v>
      </c>
      <c r="D46" s="76">
        <f>SUMIFS('List of Ledgers '!J:J,'List of Ledgers '!$E:$E,Drs_Crs!$A$28,'List of Ledgers '!$B:$B,Drs_Crs!$A46)</f>
        <v>0</v>
      </c>
      <c r="E46" s="76">
        <f>SUMIFS('List of Ledgers '!K:K,'List of Ledgers '!$E:$E,Drs_Crs!$A$28,'List of Ledgers '!$B:$B,Drs_Crs!$A46)</f>
        <v>33921159.170000002</v>
      </c>
      <c r="F46" s="76">
        <f>SUMIFS('List of Ledgers '!L:L,'List of Ledgers '!$E:$E,Drs_Crs!$A$28,'List of Ledgers '!$B:$B,Drs_Crs!$A46)</f>
        <v>5037654.83</v>
      </c>
      <c r="H46" s="76">
        <f>SUMIFS('List of Ledgers '!N:N,'List of Ledgers '!$E:$E,Drs_Crs!$A$28,'List of Ledgers '!$B:$B,Drs_Crs!$A46)</f>
        <v>0</v>
      </c>
      <c r="I46" s="76">
        <f>SUMIFS('List of Ledgers '!O:O,'List of Ledgers '!$E:$E,Drs_Crs!$A$28,'List of Ledgers '!$B:$B,Drs_Crs!$A46)</f>
        <v>76132861.510000005</v>
      </c>
      <c r="J46" s="76">
        <f>SUMIFS('List of Ledgers '!P:P,'List of Ledgers '!$E:$E,Drs_Crs!$A$28,'List of Ledgers '!$B:$B,Drs_Crs!$A46)</f>
        <v>71095206.680000007</v>
      </c>
      <c r="K46" s="76">
        <f>SUMIFS('List of Ledgers '!Q:Q,'List of Ledgers '!$E:$E,Drs_Crs!$A$28,'List of Ledgers '!$B:$B,Drs_Crs!$A46)</f>
        <v>5037654.83</v>
      </c>
    </row>
    <row r="47" spans="1:11" s="193" customFormat="1" ht="13.9" hidden="1" x14ac:dyDescent="0.25">
      <c r="A47" s="226" t="s">
        <v>266</v>
      </c>
      <c r="B47" s="227" t="str">
        <f>VLOOKUP(A47,'List of Ledgers '!B:G,6,0)</f>
        <v>Bluestreak</v>
      </c>
      <c r="C47" s="228">
        <f>SUMIFS('List of Ledgers '!I:I,'List of Ledgers '!$E:$E,Drs_Crs!$A$28,'List of Ledgers '!$B:$B,Drs_Crs!$A47)</f>
        <v>-1768</v>
      </c>
      <c r="D47" s="228">
        <f>SUMIFS('List of Ledgers '!J:J,'List of Ledgers '!$E:$E,Drs_Crs!$A$28,'List of Ledgers '!$B:$B,Drs_Crs!$A47)</f>
        <v>0</v>
      </c>
      <c r="E47" s="228">
        <f>SUMIFS('List of Ledgers '!K:K,'List of Ledgers '!$E:$E,Drs_Crs!$A$28,'List of Ledgers '!$B:$B,Drs_Crs!$A47)</f>
        <v>0</v>
      </c>
      <c r="F47" s="228">
        <f>SUMIFS('List of Ledgers '!L:L,'List of Ledgers '!$E:$E,Drs_Crs!$A$28,'List of Ledgers '!$B:$B,Drs_Crs!$A47)</f>
        <v>-1768</v>
      </c>
      <c r="G47" s="197"/>
      <c r="H47" s="228">
        <f>SUMIFS('List of Ledgers '!N:N,'List of Ledgers '!$E:$E,Drs_Crs!$A$28,'List of Ledgers '!$B:$B,Drs_Crs!$A47)</f>
        <v>164376</v>
      </c>
      <c r="I47" s="228">
        <f>SUMIFS('List of Ledgers '!O:O,'List of Ledgers '!$E:$E,Drs_Crs!$A$28,'List of Ledgers '!$B:$B,Drs_Crs!$A47)</f>
        <v>247191</v>
      </c>
      <c r="J47" s="228">
        <f>SUMIFS('List of Ledgers '!P:P,'List of Ledgers '!$E:$E,Drs_Crs!$A$28,'List of Ledgers '!$B:$B,Drs_Crs!$A47)</f>
        <v>413335</v>
      </c>
      <c r="K47" s="228">
        <f>SUMIFS('List of Ledgers '!Q:Q,'List of Ledgers '!$E:$E,Drs_Crs!$A$28,'List of Ledgers '!$B:$B,Drs_Crs!$A47)</f>
        <v>-1768</v>
      </c>
    </row>
    <row r="48" spans="1:11" s="193" customFormat="1" ht="13.9" hidden="1" x14ac:dyDescent="0.25">
      <c r="A48" s="226" t="s">
        <v>312</v>
      </c>
      <c r="B48" s="227" t="str">
        <f>VLOOKUP(A48,'List of Ledgers '!B:G,6,0)</f>
        <v>Bluestreak</v>
      </c>
      <c r="C48" s="228">
        <f>SUMIFS('List of Ledgers '!I:I,'List of Ledgers '!$E:$E,Drs_Crs!$A$28,'List of Ledgers '!$B:$B,Drs_Crs!$A48)</f>
        <v>26597</v>
      </c>
      <c r="D48" s="228">
        <f>SUMIFS('List of Ledgers '!J:J,'List of Ledgers '!$E:$E,Drs_Crs!$A$28,'List of Ledgers '!$B:$B,Drs_Crs!$A48)</f>
        <v>0</v>
      </c>
      <c r="E48" s="228">
        <f>SUMIFS('List of Ledgers '!K:K,'List of Ledgers '!$E:$E,Drs_Crs!$A$28,'List of Ledgers '!$B:$B,Drs_Crs!$A48)</f>
        <v>0</v>
      </c>
      <c r="F48" s="228">
        <f>SUMIFS('List of Ledgers '!L:L,'List of Ledgers '!$E:$E,Drs_Crs!$A$28,'List of Ledgers '!$B:$B,Drs_Crs!$A48)</f>
        <v>26597</v>
      </c>
      <c r="G48" s="197" t="s">
        <v>1416</v>
      </c>
      <c r="H48" s="228">
        <f>SUMIFS('List of Ledgers '!N:N,'List of Ledgers '!$E:$E,Drs_Crs!$A$28,'List of Ledgers '!$B:$B,Drs_Crs!$A48)</f>
        <v>26597</v>
      </c>
      <c r="I48" s="228">
        <f>SUMIFS('List of Ledgers '!O:O,'List of Ledgers '!$E:$E,Drs_Crs!$A$28,'List of Ledgers '!$B:$B,Drs_Crs!$A48)</f>
        <v>26597</v>
      </c>
      <c r="J48" s="228">
        <f>SUMIFS('List of Ledgers '!P:P,'List of Ledgers '!$E:$E,Drs_Crs!$A$28,'List of Ledgers '!$B:$B,Drs_Crs!$A48)</f>
        <v>26597</v>
      </c>
      <c r="K48" s="228">
        <f>SUMIFS('List of Ledgers '!Q:Q,'List of Ledgers '!$E:$E,Drs_Crs!$A$28,'List of Ledgers '!$B:$B,Drs_Crs!$A48)</f>
        <v>26597</v>
      </c>
    </row>
    <row r="49" spans="1:11" ht="13.9" hidden="1" x14ac:dyDescent="0.25">
      <c r="A49" s="125" t="s">
        <v>316</v>
      </c>
      <c r="B49" s="102" t="str">
        <f>VLOOKUP(A49,'List of Ledgers '!B:G,6,0)</f>
        <v>Bluestreak</v>
      </c>
      <c r="C49" s="76">
        <f>SUMIFS('List of Ledgers '!I:I,'List of Ledgers '!$E:$E,Drs_Crs!$A$28,'List of Ledgers '!$B:$B,Drs_Crs!$A49)</f>
        <v>0</v>
      </c>
      <c r="D49" s="76">
        <f>SUMIFS('List of Ledgers '!J:J,'List of Ledgers '!$E:$E,Drs_Crs!$A$28,'List of Ledgers '!$B:$B,Drs_Crs!$A49)</f>
        <v>0</v>
      </c>
      <c r="E49" s="76">
        <f>SUMIFS('List of Ledgers '!K:K,'List of Ledgers '!$E:$E,Drs_Crs!$A$28,'List of Ledgers '!$B:$B,Drs_Crs!$A49)</f>
        <v>0</v>
      </c>
      <c r="F49" s="76">
        <f>SUMIFS('List of Ledgers '!L:L,'List of Ledgers '!$E:$E,Drs_Crs!$A$28,'List of Ledgers '!$B:$B,Drs_Crs!$A49)</f>
        <v>0</v>
      </c>
      <c r="H49" s="76">
        <f>SUMIFS('List of Ledgers '!N:N,'List of Ledgers '!$E:$E,Drs_Crs!$A$28,'List of Ledgers '!$B:$B,Drs_Crs!$A49)</f>
        <v>0</v>
      </c>
      <c r="I49" s="76">
        <f>SUMIFS('List of Ledgers '!O:O,'List of Ledgers '!$E:$E,Drs_Crs!$A$28,'List of Ledgers '!$B:$B,Drs_Crs!$A49)</f>
        <v>0</v>
      </c>
      <c r="J49" s="76">
        <f>SUMIFS('List of Ledgers '!P:P,'List of Ledgers '!$E:$E,Drs_Crs!$A$28,'List of Ledgers '!$B:$B,Drs_Crs!$A49)</f>
        <v>0</v>
      </c>
      <c r="K49" s="76">
        <f>SUMIFS('List of Ledgers '!Q:Q,'List of Ledgers '!$E:$E,Drs_Crs!$A$28,'List of Ledgers '!$B:$B,Drs_Crs!$A49)</f>
        <v>0</v>
      </c>
    </row>
    <row r="50" spans="1:11" ht="13.9" hidden="1" x14ac:dyDescent="0.25">
      <c r="A50" s="125" t="s">
        <v>337</v>
      </c>
      <c r="B50" s="102" t="str">
        <f>VLOOKUP(A50,'List of Ledgers '!B:G,6,0)</f>
        <v>Bluestreak</v>
      </c>
      <c r="C50" s="76">
        <f>SUMIFS('List of Ledgers '!I:I,'List of Ledgers '!$E:$E,Drs_Crs!$A$28,'List of Ledgers '!$B:$B,Drs_Crs!$A50)</f>
        <v>0</v>
      </c>
      <c r="D50" s="76">
        <f>SUMIFS('List of Ledgers '!J:J,'List of Ledgers '!$E:$E,Drs_Crs!$A$28,'List of Ledgers '!$B:$B,Drs_Crs!$A50)</f>
        <v>0</v>
      </c>
      <c r="E50" s="76">
        <f>SUMIFS('List of Ledgers '!K:K,'List of Ledgers '!$E:$E,Drs_Crs!$A$28,'List of Ledgers '!$B:$B,Drs_Crs!$A50)</f>
        <v>0</v>
      </c>
      <c r="F50" s="76">
        <f>SUMIFS('List of Ledgers '!L:L,'List of Ledgers '!$E:$E,Drs_Crs!$A$28,'List of Ledgers '!$B:$B,Drs_Crs!$A50)</f>
        <v>0</v>
      </c>
      <c r="H50" s="76">
        <f>SUMIFS('List of Ledgers '!N:N,'List of Ledgers '!$E:$E,Drs_Crs!$A$28,'List of Ledgers '!$B:$B,Drs_Crs!$A50)</f>
        <v>29198</v>
      </c>
      <c r="I50" s="76">
        <f>SUMIFS('List of Ledgers '!O:O,'List of Ledgers '!$E:$E,Drs_Crs!$A$28,'List of Ledgers '!$B:$B,Drs_Crs!$A50)</f>
        <v>0</v>
      </c>
      <c r="J50" s="76">
        <f>SUMIFS('List of Ledgers '!P:P,'List of Ledgers '!$E:$E,Drs_Crs!$A$28,'List of Ledgers '!$B:$B,Drs_Crs!$A50)</f>
        <v>29198</v>
      </c>
      <c r="K50" s="76">
        <f>SUMIFS('List of Ledgers '!Q:Q,'List of Ledgers '!$E:$E,Drs_Crs!$A$28,'List of Ledgers '!$B:$B,Drs_Crs!$A50)</f>
        <v>0</v>
      </c>
    </row>
    <row r="51" spans="1:11" ht="13.9" hidden="1" x14ac:dyDescent="0.25">
      <c r="A51" s="125" t="s">
        <v>334</v>
      </c>
      <c r="B51" s="102" t="str">
        <f>VLOOKUP(A51,'List of Ledgers '!B:G,6,0)</f>
        <v>Bluestreak</v>
      </c>
      <c r="C51" s="76">
        <f>SUMIFS('List of Ledgers '!I:I,'List of Ledgers '!$E:$E,Drs_Crs!$A$28,'List of Ledgers '!$B:$B,Drs_Crs!$A51)</f>
        <v>0</v>
      </c>
      <c r="D51" s="76">
        <f>SUMIFS('List of Ledgers '!J:J,'List of Ledgers '!$E:$E,Drs_Crs!$A$28,'List of Ledgers '!$B:$B,Drs_Crs!$A51)</f>
        <v>0</v>
      </c>
      <c r="E51" s="76">
        <f>SUMIFS('List of Ledgers '!K:K,'List of Ledgers '!$E:$E,Drs_Crs!$A$28,'List of Ledgers '!$B:$B,Drs_Crs!$A51)</f>
        <v>0</v>
      </c>
      <c r="F51" s="76">
        <f>SUMIFS('List of Ledgers '!L:L,'List of Ledgers '!$E:$E,Drs_Crs!$A$28,'List of Ledgers '!$B:$B,Drs_Crs!$A51)</f>
        <v>0</v>
      </c>
      <c r="H51" s="76">
        <f>SUMIFS('List of Ledgers '!N:N,'List of Ledgers '!$E:$E,Drs_Crs!$A$28,'List of Ledgers '!$B:$B,Drs_Crs!$A51)</f>
        <v>0</v>
      </c>
      <c r="I51" s="76">
        <f>SUMIFS('List of Ledgers '!O:O,'List of Ledgers '!$E:$E,Drs_Crs!$A$28,'List of Ledgers '!$B:$B,Drs_Crs!$A51)</f>
        <v>0</v>
      </c>
      <c r="J51" s="76">
        <f>SUMIFS('List of Ledgers '!P:P,'List of Ledgers '!$E:$E,Drs_Crs!$A$28,'List of Ledgers '!$B:$B,Drs_Crs!$A51)</f>
        <v>0</v>
      </c>
      <c r="K51" s="76">
        <f>SUMIFS('List of Ledgers '!Q:Q,'List of Ledgers '!$E:$E,Drs_Crs!$A$28,'List of Ledgers '!$B:$B,Drs_Crs!$A51)</f>
        <v>0</v>
      </c>
    </row>
    <row r="52" spans="1:11" ht="13.9" hidden="1" x14ac:dyDescent="0.25">
      <c r="A52" s="125" t="s">
        <v>341</v>
      </c>
      <c r="B52" s="102" t="str">
        <f>VLOOKUP(A52,'List of Ledgers '!B:G,6,0)</f>
        <v>Bluestreak</v>
      </c>
      <c r="C52" s="76">
        <f>SUMIFS('List of Ledgers '!I:I,'List of Ledgers '!$E:$E,Drs_Crs!$A$28,'List of Ledgers '!$B:$B,Drs_Crs!$A52)</f>
        <v>0</v>
      </c>
      <c r="D52" s="76">
        <f>SUMIFS('List of Ledgers '!J:J,'List of Ledgers '!$E:$E,Drs_Crs!$A$28,'List of Ledgers '!$B:$B,Drs_Crs!$A52)</f>
        <v>0</v>
      </c>
      <c r="E52" s="76">
        <f>SUMIFS('List of Ledgers '!K:K,'List of Ledgers '!$E:$E,Drs_Crs!$A$28,'List of Ledgers '!$B:$B,Drs_Crs!$A52)</f>
        <v>0</v>
      </c>
      <c r="F52" s="76">
        <f>SUMIFS('List of Ledgers '!L:L,'List of Ledgers '!$E:$E,Drs_Crs!$A$28,'List of Ledgers '!$B:$B,Drs_Crs!$A52)</f>
        <v>0</v>
      </c>
      <c r="H52" s="76">
        <f>SUMIFS('List of Ledgers '!N:N,'List of Ledgers '!$E:$E,Drs_Crs!$A$28,'List of Ledgers '!$B:$B,Drs_Crs!$A52)</f>
        <v>0</v>
      </c>
      <c r="I52" s="76">
        <f>SUMIFS('List of Ledgers '!O:O,'List of Ledgers '!$E:$E,Drs_Crs!$A$28,'List of Ledgers '!$B:$B,Drs_Crs!$A52)</f>
        <v>78720</v>
      </c>
      <c r="J52" s="76">
        <f>SUMIFS('List of Ledgers '!P:P,'List of Ledgers '!$E:$E,Drs_Crs!$A$28,'List of Ledgers '!$B:$B,Drs_Crs!$A52)</f>
        <v>78720</v>
      </c>
      <c r="K52" s="76">
        <f>SUMIFS('List of Ledgers '!Q:Q,'List of Ledgers '!$E:$E,Drs_Crs!$A$28,'List of Ledgers '!$B:$B,Drs_Crs!$A52)</f>
        <v>0</v>
      </c>
    </row>
    <row r="53" spans="1:11" ht="13.9" hidden="1" x14ac:dyDescent="0.25">
      <c r="A53" s="125" t="s">
        <v>345</v>
      </c>
      <c r="B53" s="102" t="str">
        <f>VLOOKUP(A53,'List of Ledgers '!B:G,6,0)</f>
        <v>Bluestreak</v>
      </c>
      <c r="C53" s="76">
        <f>SUMIFS('List of Ledgers '!I:I,'List of Ledgers '!$E:$E,Drs_Crs!$A$28,'List of Ledgers '!$B:$B,Drs_Crs!$A53)</f>
        <v>0</v>
      </c>
      <c r="D53" s="76">
        <f>SUMIFS('List of Ledgers '!J:J,'List of Ledgers '!$E:$E,Drs_Crs!$A$28,'List of Ledgers '!$B:$B,Drs_Crs!$A53)</f>
        <v>0</v>
      </c>
      <c r="E53" s="76">
        <f>SUMIFS('List of Ledgers '!K:K,'List of Ledgers '!$E:$E,Drs_Crs!$A$28,'List of Ledgers '!$B:$B,Drs_Crs!$A53)</f>
        <v>0</v>
      </c>
      <c r="F53" s="76">
        <f>SUMIFS('List of Ledgers '!L:L,'List of Ledgers '!$E:$E,Drs_Crs!$A$28,'List of Ledgers '!$B:$B,Drs_Crs!$A53)</f>
        <v>0</v>
      </c>
      <c r="H53" s="76">
        <f>SUMIFS('List of Ledgers '!N:N,'List of Ledgers '!$E:$E,Drs_Crs!$A$28,'List of Ledgers '!$B:$B,Drs_Crs!$A53)</f>
        <v>0</v>
      </c>
      <c r="I53" s="76">
        <f>SUMIFS('List of Ledgers '!O:O,'List of Ledgers '!$E:$E,Drs_Crs!$A$28,'List of Ledgers '!$B:$B,Drs_Crs!$A53)</f>
        <v>0</v>
      </c>
      <c r="J53" s="76">
        <f>SUMIFS('List of Ledgers '!P:P,'List of Ledgers '!$E:$E,Drs_Crs!$A$28,'List of Ledgers '!$B:$B,Drs_Crs!$A53)</f>
        <v>0</v>
      </c>
      <c r="K53" s="76">
        <f>SUMIFS('List of Ledgers '!Q:Q,'List of Ledgers '!$E:$E,Drs_Crs!$A$28,'List of Ledgers '!$B:$B,Drs_Crs!$A53)</f>
        <v>0</v>
      </c>
    </row>
    <row r="54" spans="1:11" ht="13.9" hidden="1" x14ac:dyDescent="0.25">
      <c r="A54" s="125" t="s">
        <v>347</v>
      </c>
      <c r="B54" s="102" t="str">
        <f>VLOOKUP(A54,'List of Ledgers '!B:G,6,0)</f>
        <v>Clarus</v>
      </c>
      <c r="C54" s="76">
        <f>SUMIFS('List of Ledgers '!I:I,'List of Ledgers '!$E:$E,Drs_Crs!$A$28,'List of Ledgers '!$B:$B,Drs_Crs!$A54)</f>
        <v>0</v>
      </c>
      <c r="D54" s="76">
        <f>SUMIFS('List of Ledgers '!J:J,'List of Ledgers '!$E:$E,Drs_Crs!$A$28,'List of Ledgers '!$B:$B,Drs_Crs!$A54)</f>
        <v>0</v>
      </c>
      <c r="E54" s="76">
        <f>SUMIFS('List of Ledgers '!K:K,'List of Ledgers '!$E:$E,Drs_Crs!$A$28,'List of Ledgers '!$B:$B,Drs_Crs!$A54)</f>
        <v>0</v>
      </c>
      <c r="F54" s="76">
        <f>SUMIFS('List of Ledgers '!L:L,'List of Ledgers '!$E:$E,Drs_Crs!$A$28,'List of Ledgers '!$B:$B,Drs_Crs!$A54)</f>
        <v>0</v>
      </c>
      <c r="H54" s="76">
        <f>SUMIFS('List of Ledgers '!N:N,'List of Ledgers '!$E:$E,Drs_Crs!$A$28,'List of Ledgers '!$B:$B,Drs_Crs!$A54)</f>
        <v>0</v>
      </c>
      <c r="I54" s="76">
        <f>SUMIFS('List of Ledgers '!O:O,'List of Ledgers '!$E:$E,Drs_Crs!$A$28,'List of Ledgers '!$B:$B,Drs_Crs!$A54)</f>
        <v>0</v>
      </c>
      <c r="J54" s="76">
        <f>SUMIFS('List of Ledgers '!P:P,'List of Ledgers '!$E:$E,Drs_Crs!$A$28,'List of Ledgers '!$B:$B,Drs_Crs!$A54)</f>
        <v>0</v>
      </c>
      <c r="K54" s="76">
        <f>SUMIFS('List of Ledgers '!Q:Q,'List of Ledgers '!$E:$E,Drs_Crs!$A$28,'List of Ledgers '!$B:$B,Drs_Crs!$A54)</f>
        <v>0</v>
      </c>
    </row>
    <row r="55" spans="1:11" ht="13.9" hidden="1" x14ac:dyDescent="0.25">
      <c r="A55" s="125" t="s">
        <v>353</v>
      </c>
      <c r="B55" s="102" t="str">
        <f>VLOOKUP(A55,'List of Ledgers '!B:G,6,0)</f>
        <v>Bluestreak</v>
      </c>
      <c r="C55" s="76">
        <f>SUMIFS('List of Ledgers '!I:I,'List of Ledgers '!$E:$E,Drs_Crs!$A$28,'List of Ledgers '!$B:$B,Drs_Crs!$A55)</f>
        <v>0</v>
      </c>
      <c r="D55" s="76">
        <f>SUMIFS('List of Ledgers '!J:J,'List of Ledgers '!$E:$E,Drs_Crs!$A$28,'List of Ledgers '!$B:$B,Drs_Crs!$A55)</f>
        <v>0</v>
      </c>
      <c r="E55" s="76">
        <f>SUMIFS('List of Ledgers '!K:K,'List of Ledgers '!$E:$E,Drs_Crs!$A$28,'List of Ledgers '!$B:$B,Drs_Crs!$A55)</f>
        <v>0</v>
      </c>
      <c r="F55" s="76">
        <f>SUMIFS('List of Ledgers '!L:L,'List of Ledgers '!$E:$E,Drs_Crs!$A$28,'List of Ledgers '!$B:$B,Drs_Crs!$A55)</f>
        <v>0</v>
      </c>
      <c r="H55" s="76">
        <f>SUMIFS('List of Ledgers '!N:N,'List of Ledgers '!$E:$E,Drs_Crs!$A$28,'List of Ledgers '!$B:$B,Drs_Crs!$A55)</f>
        <v>0</v>
      </c>
      <c r="I55" s="76">
        <f>SUMIFS('List of Ledgers '!O:O,'List of Ledgers '!$E:$E,Drs_Crs!$A$28,'List of Ledgers '!$B:$B,Drs_Crs!$A55)</f>
        <v>0</v>
      </c>
      <c r="J55" s="76">
        <f>SUMIFS('List of Ledgers '!P:P,'List of Ledgers '!$E:$E,Drs_Crs!$A$28,'List of Ledgers '!$B:$B,Drs_Crs!$A55)</f>
        <v>0</v>
      </c>
      <c r="K55" s="76">
        <f>SUMIFS('List of Ledgers '!Q:Q,'List of Ledgers '!$E:$E,Drs_Crs!$A$28,'List of Ledgers '!$B:$B,Drs_Crs!$A55)</f>
        <v>0</v>
      </c>
    </row>
    <row r="56" spans="1:11" ht="13.9" hidden="1" x14ac:dyDescent="0.25">
      <c r="A56" s="125" t="s">
        <v>354</v>
      </c>
      <c r="B56" s="102" t="str">
        <f>VLOOKUP(A56,'List of Ledgers '!B:G,6,0)</f>
        <v>Clarus</v>
      </c>
      <c r="C56" s="76">
        <f>SUMIFS('List of Ledgers '!I:I,'List of Ledgers '!$E:$E,Drs_Crs!$A$28,'List of Ledgers '!$B:$B,Drs_Crs!$A56)</f>
        <v>0</v>
      </c>
      <c r="D56" s="76">
        <f>SUMIFS('List of Ledgers '!J:J,'List of Ledgers '!$E:$E,Drs_Crs!$A$28,'List of Ledgers '!$B:$B,Drs_Crs!$A56)</f>
        <v>0</v>
      </c>
      <c r="E56" s="76">
        <f>SUMIFS('List of Ledgers '!K:K,'List of Ledgers '!$E:$E,Drs_Crs!$A$28,'List of Ledgers '!$B:$B,Drs_Crs!$A56)</f>
        <v>0</v>
      </c>
      <c r="F56" s="76">
        <f>SUMIFS('List of Ledgers '!L:L,'List of Ledgers '!$E:$E,Drs_Crs!$A$28,'List of Ledgers '!$B:$B,Drs_Crs!$A56)</f>
        <v>0</v>
      </c>
      <c r="H56" s="76">
        <f>SUMIFS('List of Ledgers '!N:N,'List of Ledgers '!$E:$E,Drs_Crs!$A$28,'List of Ledgers '!$B:$B,Drs_Crs!$A56)</f>
        <v>0</v>
      </c>
      <c r="I56" s="76">
        <f>SUMIFS('List of Ledgers '!O:O,'List of Ledgers '!$E:$E,Drs_Crs!$A$28,'List of Ledgers '!$B:$B,Drs_Crs!$A56)</f>
        <v>109511</v>
      </c>
      <c r="J56" s="76">
        <f>SUMIFS('List of Ledgers '!P:P,'List of Ledgers '!$E:$E,Drs_Crs!$A$28,'List of Ledgers '!$B:$B,Drs_Crs!$A56)</f>
        <v>109511</v>
      </c>
      <c r="K56" s="76">
        <f>SUMIFS('List of Ledgers '!Q:Q,'List of Ledgers '!$E:$E,Drs_Crs!$A$28,'List of Ledgers '!$B:$B,Drs_Crs!$A56)</f>
        <v>0</v>
      </c>
    </row>
    <row r="57" spans="1:11" ht="13.9" hidden="1" x14ac:dyDescent="0.25">
      <c r="A57" s="125" t="s">
        <v>359</v>
      </c>
      <c r="B57" s="102" t="str">
        <f>VLOOKUP(A57,'List of Ledgers '!B:G,6,0)</f>
        <v>Clarus</v>
      </c>
      <c r="C57" s="76">
        <f>SUMIFS('List of Ledgers '!I:I,'List of Ledgers '!$E:$E,Drs_Crs!$A$28,'List of Ledgers '!$B:$B,Drs_Crs!$A57)</f>
        <v>0</v>
      </c>
      <c r="D57" s="76">
        <f>SUMIFS('List of Ledgers '!J:J,'List of Ledgers '!$E:$E,Drs_Crs!$A$28,'List of Ledgers '!$B:$B,Drs_Crs!$A57)</f>
        <v>0</v>
      </c>
      <c r="E57" s="76">
        <f>SUMIFS('List of Ledgers '!K:K,'List of Ledgers '!$E:$E,Drs_Crs!$A$28,'List of Ledgers '!$B:$B,Drs_Crs!$A57)</f>
        <v>0</v>
      </c>
      <c r="F57" s="76">
        <f>SUMIFS('List of Ledgers '!L:L,'List of Ledgers '!$E:$E,Drs_Crs!$A$28,'List of Ledgers '!$B:$B,Drs_Crs!$A57)</f>
        <v>0</v>
      </c>
      <c r="H57" s="76">
        <f>SUMIFS('List of Ledgers '!N:N,'List of Ledgers '!$E:$E,Drs_Crs!$A$28,'List of Ledgers '!$B:$B,Drs_Crs!$A57)</f>
        <v>0</v>
      </c>
      <c r="I57" s="76">
        <f>SUMIFS('List of Ledgers '!O:O,'List of Ledgers '!$E:$E,Drs_Crs!$A$28,'List of Ledgers '!$B:$B,Drs_Crs!$A57)</f>
        <v>12516</v>
      </c>
      <c r="J57" s="76">
        <f>SUMIFS('List of Ledgers '!P:P,'List of Ledgers '!$E:$E,Drs_Crs!$A$28,'List of Ledgers '!$B:$B,Drs_Crs!$A57)</f>
        <v>12516</v>
      </c>
      <c r="K57" s="76">
        <f>SUMIFS('List of Ledgers '!Q:Q,'List of Ledgers '!$E:$E,Drs_Crs!$A$28,'List of Ledgers '!$B:$B,Drs_Crs!$A57)</f>
        <v>0</v>
      </c>
    </row>
    <row r="58" spans="1:11" ht="13.9" hidden="1" x14ac:dyDescent="0.25">
      <c r="A58" s="125" t="s">
        <v>333</v>
      </c>
      <c r="B58" s="102" t="str">
        <f>VLOOKUP(A58,'List of Ledgers '!B:G,6,0)</f>
        <v>Bluestreak</v>
      </c>
      <c r="C58" s="76">
        <f>SUMIFS('List of Ledgers '!I:I,'List of Ledgers '!$E:$E,Drs_Crs!$A$28,'List of Ledgers '!$B:$B,Drs_Crs!$A58)</f>
        <v>0</v>
      </c>
      <c r="D58" s="76">
        <f>SUMIFS('List of Ledgers '!J:J,'List of Ledgers '!$E:$E,Drs_Crs!$A$28,'List of Ledgers '!$B:$B,Drs_Crs!$A58)</f>
        <v>0</v>
      </c>
      <c r="E58" s="76">
        <f>SUMIFS('List of Ledgers '!K:K,'List of Ledgers '!$E:$E,Drs_Crs!$A$28,'List of Ledgers '!$B:$B,Drs_Crs!$A58)</f>
        <v>0</v>
      </c>
      <c r="F58" s="76">
        <f>SUMIFS('List of Ledgers '!L:L,'List of Ledgers '!$E:$E,Drs_Crs!$A$28,'List of Ledgers '!$B:$B,Drs_Crs!$A58)</f>
        <v>0</v>
      </c>
      <c r="H58" s="76">
        <f>SUMIFS('List of Ledgers '!N:N,'List of Ledgers '!$E:$E,Drs_Crs!$A$28,'List of Ledgers '!$B:$B,Drs_Crs!$A58)</f>
        <v>57909</v>
      </c>
      <c r="I58" s="76">
        <f>SUMIFS('List of Ledgers '!O:O,'List of Ledgers '!$E:$E,Drs_Crs!$A$28,'List of Ledgers '!$B:$B,Drs_Crs!$A58)</f>
        <v>0</v>
      </c>
      <c r="J58" s="76">
        <f>SUMIFS('List of Ledgers '!P:P,'List of Ledgers '!$E:$E,Drs_Crs!$A$28,'List of Ledgers '!$B:$B,Drs_Crs!$A58)</f>
        <v>57909</v>
      </c>
      <c r="K58" s="76">
        <f>SUMIFS('List of Ledgers '!Q:Q,'List of Ledgers '!$E:$E,Drs_Crs!$A$28,'List of Ledgers '!$B:$B,Drs_Crs!$A58)</f>
        <v>0</v>
      </c>
    </row>
    <row r="59" spans="1:11" ht="13.9" hidden="1" x14ac:dyDescent="0.25">
      <c r="A59" s="125" t="s">
        <v>381</v>
      </c>
      <c r="B59" s="102" t="str">
        <f>VLOOKUP(A59,'List of Ledgers '!B:G,6,0)</f>
        <v>Bluestreak</v>
      </c>
      <c r="C59" s="76">
        <f>SUMIFS('List of Ledgers '!I:I,'List of Ledgers '!$E:$E,Drs_Crs!$A$28,'List of Ledgers '!$B:$B,Drs_Crs!$A59)</f>
        <v>0</v>
      </c>
      <c r="D59" s="76">
        <f>SUMIFS('List of Ledgers '!J:J,'List of Ledgers '!$E:$E,Drs_Crs!$A$28,'List of Ledgers '!$B:$B,Drs_Crs!$A59)</f>
        <v>0</v>
      </c>
      <c r="E59" s="76">
        <f>SUMIFS('List of Ledgers '!K:K,'List of Ledgers '!$E:$E,Drs_Crs!$A$28,'List of Ledgers '!$B:$B,Drs_Crs!$A59)</f>
        <v>0</v>
      </c>
      <c r="F59" s="76">
        <f>SUMIFS('List of Ledgers '!L:L,'List of Ledgers '!$E:$E,Drs_Crs!$A$28,'List of Ledgers '!$B:$B,Drs_Crs!$A59)</f>
        <v>0</v>
      </c>
      <c r="H59" s="76">
        <f>SUMIFS('List of Ledgers '!N:N,'List of Ledgers '!$E:$E,Drs_Crs!$A$28,'List of Ledgers '!$B:$B,Drs_Crs!$A59)</f>
        <v>0</v>
      </c>
      <c r="I59" s="76">
        <f>SUMIFS('List of Ledgers '!O:O,'List of Ledgers '!$E:$E,Drs_Crs!$A$28,'List of Ledgers '!$B:$B,Drs_Crs!$A59)</f>
        <v>15644</v>
      </c>
      <c r="J59" s="76">
        <f>SUMIFS('List of Ledgers '!P:P,'List of Ledgers '!$E:$E,Drs_Crs!$A$28,'List of Ledgers '!$B:$B,Drs_Crs!$A59)</f>
        <v>15644</v>
      </c>
      <c r="K59" s="76">
        <f>SUMIFS('List of Ledgers '!Q:Q,'List of Ledgers '!$E:$E,Drs_Crs!$A$28,'List of Ledgers '!$B:$B,Drs_Crs!$A59)</f>
        <v>0</v>
      </c>
    </row>
    <row r="60" spans="1:11" ht="13.9" hidden="1" x14ac:dyDescent="0.25">
      <c r="A60" s="125" t="s">
        <v>482</v>
      </c>
      <c r="B60" s="102" t="str">
        <f>VLOOKUP(A60,'List of Ledgers '!B:G,6,0)</f>
        <v>Bluestreak</v>
      </c>
      <c r="C60" s="76">
        <f>SUMIFS('List of Ledgers '!I:I,'List of Ledgers '!$E:$E,Drs_Crs!$A$28,'List of Ledgers '!$B:$B,Drs_Crs!$A60)</f>
        <v>0</v>
      </c>
      <c r="D60" s="76">
        <f>SUMIFS('List of Ledgers '!J:J,'List of Ledgers '!$E:$E,Drs_Crs!$A$28,'List of Ledgers '!$B:$B,Drs_Crs!$A60)</f>
        <v>0</v>
      </c>
      <c r="E60" s="76">
        <f>SUMIFS('List of Ledgers '!K:K,'List of Ledgers '!$E:$E,Drs_Crs!$A$28,'List of Ledgers '!$B:$B,Drs_Crs!$A60)</f>
        <v>0</v>
      </c>
      <c r="F60" s="76">
        <f>SUMIFS('List of Ledgers '!L:L,'List of Ledgers '!$E:$E,Drs_Crs!$A$28,'List of Ledgers '!$B:$B,Drs_Crs!$A60)</f>
        <v>0</v>
      </c>
      <c r="H60" s="76">
        <f>SUMIFS('List of Ledgers '!N:N,'List of Ledgers '!$E:$E,Drs_Crs!$A$28,'List of Ledgers '!$B:$B,Drs_Crs!$A60)</f>
        <v>0</v>
      </c>
      <c r="I60" s="76">
        <f>SUMIFS('List of Ledgers '!O:O,'List of Ledgers '!$E:$E,Drs_Crs!$A$28,'List of Ledgers '!$B:$B,Drs_Crs!$A60)</f>
        <v>0</v>
      </c>
      <c r="J60" s="76">
        <f>SUMIFS('List of Ledgers '!P:P,'List of Ledgers '!$E:$E,Drs_Crs!$A$28,'List of Ledgers '!$B:$B,Drs_Crs!$A60)</f>
        <v>0</v>
      </c>
      <c r="K60" s="76">
        <f>SUMIFS('List of Ledgers '!Q:Q,'List of Ledgers '!$E:$E,Drs_Crs!$A$28,'List of Ledgers '!$B:$B,Drs_Crs!$A60)</f>
        <v>0</v>
      </c>
    </row>
    <row r="61" spans="1:11" ht="13.9" hidden="1" x14ac:dyDescent="0.25">
      <c r="A61" s="125" t="s">
        <v>487</v>
      </c>
      <c r="B61" s="102" t="str">
        <f>VLOOKUP(A61,'List of Ledgers '!B:G,6,0)</f>
        <v>Bluestreak</v>
      </c>
      <c r="C61" s="76">
        <f>SUMIFS('List of Ledgers '!I:I,'List of Ledgers '!$E:$E,Drs_Crs!$A$28,'List of Ledgers '!$B:$B,Drs_Crs!$A61)</f>
        <v>0</v>
      </c>
      <c r="D61" s="76">
        <f>SUMIFS('List of Ledgers '!J:J,'List of Ledgers '!$E:$E,Drs_Crs!$A$28,'List of Ledgers '!$B:$B,Drs_Crs!$A61)</f>
        <v>0</v>
      </c>
      <c r="E61" s="76">
        <f>SUMIFS('List of Ledgers '!K:K,'List of Ledgers '!$E:$E,Drs_Crs!$A$28,'List of Ledgers '!$B:$B,Drs_Crs!$A61)</f>
        <v>0</v>
      </c>
      <c r="F61" s="76">
        <f>SUMIFS('List of Ledgers '!L:L,'List of Ledgers '!$E:$E,Drs_Crs!$A$28,'List of Ledgers '!$B:$B,Drs_Crs!$A61)</f>
        <v>0</v>
      </c>
      <c r="H61" s="76">
        <f>SUMIFS('List of Ledgers '!N:N,'List of Ledgers '!$E:$E,Drs_Crs!$A$28,'List of Ledgers '!$B:$B,Drs_Crs!$A61)</f>
        <v>0</v>
      </c>
      <c r="I61" s="76">
        <f>SUMIFS('List of Ledgers '!O:O,'List of Ledgers '!$E:$E,Drs_Crs!$A$28,'List of Ledgers '!$B:$B,Drs_Crs!$A61)</f>
        <v>0</v>
      </c>
      <c r="J61" s="76">
        <f>SUMIFS('List of Ledgers '!P:P,'List of Ledgers '!$E:$E,Drs_Crs!$A$28,'List of Ledgers '!$B:$B,Drs_Crs!$A61)</f>
        <v>0</v>
      </c>
      <c r="K61" s="76">
        <f>SUMIFS('List of Ledgers '!Q:Q,'List of Ledgers '!$E:$E,Drs_Crs!$A$28,'List of Ledgers '!$B:$B,Drs_Crs!$A61)</f>
        <v>0</v>
      </c>
    </row>
    <row r="62" spans="1:11" ht="13.9" hidden="1" x14ac:dyDescent="0.25">
      <c r="A62" s="125" t="s">
        <v>496</v>
      </c>
      <c r="B62" s="102" t="str">
        <f>VLOOKUP(A62,'List of Ledgers '!B:G,6,0)</f>
        <v>Common</v>
      </c>
      <c r="C62" s="76">
        <f>SUMIFS('List of Ledgers '!I:I,'List of Ledgers '!$E:$E,Drs_Crs!$A$28,'List of Ledgers '!$B:$B,Drs_Crs!$A62)</f>
        <v>0</v>
      </c>
      <c r="D62" s="76">
        <f>SUMIFS('List of Ledgers '!J:J,'List of Ledgers '!$E:$E,Drs_Crs!$A$28,'List of Ledgers '!$B:$B,Drs_Crs!$A62)</f>
        <v>0</v>
      </c>
      <c r="E62" s="76">
        <f>SUMIFS('List of Ledgers '!K:K,'List of Ledgers '!$E:$E,Drs_Crs!$A$28,'List of Ledgers '!$B:$B,Drs_Crs!$A62)</f>
        <v>0</v>
      </c>
      <c r="F62" s="76">
        <f>SUMIFS('List of Ledgers '!L:L,'List of Ledgers '!$E:$E,Drs_Crs!$A$28,'List of Ledgers '!$B:$B,Drs_Crs!$A62)</f>
        <v>0</v>
      </c>
      <c r="H62" s="76">
        <f>SUMIFS('List of Ledgers '!N:N,'List of Ledgers '!$E:$E,Drs_Crs!$A$28,'List of Ledgers '!$B:$B,Drs_Crs!$A62)</f>
        <v>237010</v>
      </c>
      <c r="I62" s="76">
        <f>SUMIFS('List of Ledgers '!O:O,'List of Ledgers '!$E:$E,Drs_Crs!$A$28,'List of Ledgers '!$B:$B,Drs_Crs!$A62)</f>
        <v>655048</v>
      </c>
      <c r="J62" s="76">
        <f>SUMIFS('List of Ledgers '!P:P,'List of Ledgers '!$E:$E,Drs_Crs!$A$28,'List of Ledgers '!$B:$B,Drs_Crs!$A62)</f>
        <v>892058</v>
      </c>
      <c r="K62" s="76">
        <f>SUMIFS('List of Ledgers '!Q:Q,'List of Ledgers '!$E:$E,Drs_Crs!$A$28,'List of Ledgers '!$B:$B,Drs_Crs!$A62)</f>
        <v>0</v>
      </c>
    </row>
    <row r="63" spans="1:11" ht="13.9" hidden="1" x14ac:dyDescent="0.25">
      <c r="A63" s="125" t="s">
        <v>485</v>
      </c>
      <c r="B63" s="102" t="str">
        <f>VLOOKUP(A63,'List of Ledgers '!B:G,6,0)</f>
        <v>Bluestreak</v>
      </c>
      <c r="C63" s="76">
        <f>SUMIFS('List of Ledgers '!I:I,'List of Ledgers '!$E:$E,Drs_Crs!$A$28,'List of Ledgers '!$B:$B,Drs_Crs!$A63)</f>
        <v>0</v>
      </c>
      <c r="D63" s="76">
        <f>SUMIFS('List of Ledgers '!J:J,'List of Ledgers '!$E:$E,Drs_Crs!$A$28,'List of Ledgers '!$B:$B,Drs_Crs!$A63)</f>
        <v>0</v>
      </c>
      <c r="E63" s="76">
        <f>SUMIFS('List of Ledgers '!K:K,'List of Ledgers '!$E:$E,Drs_Crs!$A$28,'List of Ledgers '!$B:$B,Drs_Crs!$A63)</f>
        <v>0</v>
      </c>
      <c r="F63" s="76">
        <f>SUMIFS('List of Ledgers '!L:L,'List of Ledgers '!$E:$E,Drs_Crs!$A$28,'List of Ledgers '!$B:$B,Drs_Crs!$A63)</f>
        <v>0</v>
      </c>
      <c r="H63" s="76">
        <f>SUMIFS('List of Ledgers '!N:N,'List of Ledgers '!$E:$E,Drs_Crs!$A$28,'List of Ledgers '!$B:$B,Drs_Crs!$A63)</f>
        <v>0</v>
      </c>
      <c r="I63" s="76">
        <f>SUMIFS('List of Ledgers '!O:O,'List of Ledgers '!$E:$E,Drs_Crs!$A$28,'List of Ledgers '!$B:$B,Drs_Crs!$A63)</f>
        <v>0</v>
      </c>
      <c r="J63" s="76">
        <f>SUMIFS('List of Ledgers '!P:P,'List of Ledgers '!$E:$E,Drs_Crs!$A$28,'List of Ledgers '!$B:$B,Drs_Crs!$A63)</f>
        <v>0</v>
      </c>
      <c r="K63" s="76">
        <f>SUMIFS('List of Ledgers '!Q:Q,'List of Ledgers '!$E:$E,Drs_Crs!$A$28,'List of Ledgers '!$B:$B,Drs_Crs!$A63)</f>
        <v>0</v>
      </c>
    </row>
    <row r="64" spans="1:11" s="193" customFormat="1" ht="13.9" hidden="1" x14ac:dyDescent="0.25">
      <c r="A64" s="226" t="s">
        <v>550</v>
      </c>
      <c r="B64" s="227" t="str">
        <f>VLOOKUP(A64,'List of Ledgers '!B:G,6,0)</f>
        <v>Bluestreak</v>
      </c>
      <c r="C64" s="228">
        <f>SUMIFS('List of Ledgers '!I:I,'List of Ledgers '!$E:$E,Drs_Crs!$A$28,'List of Ledgers '!$B:$B,Drs_Crs!$A64)</f>
        <v>90097</v>
      </c>
      <c r="D64" s="228">
        <f>SUMIFS('List of Ledgers '!J:J,'List of Ledgers '!$E:$E,Drs_Crs!$A$28,'List of Ledgers '!$B:$B,Drs_Crs!$A64)</f>
        <v>0</v>
      </c>
      <c r="E64" s="228">
        <f>SUMIFS('List of Ledgers '!K:K,'List of Ledgers '!$E:$E,Drs_Crs!$A$28,'List of Ledgers '!$B:$B,Drs_Crs!$A64)</f>
        <v>0</v>
      </c>
      <c r="F64" s="228">
        <f>SUMIFS('List of Ledgers '!L:L,'List of Ledgers '!$E:$E,Drs_Crs!$A$28,'List of Ledgers '!$B:$B,Drs_Crs!$A64)</f>
        <v>90097</v>
      </c>
      <c r="G64" s="197" t="s">
        <v>1416</v>
      </c>
      <c r="H64" s="228">
        <f>SUMIFS('List of Ledgers '!N:N,'List of Ledgers '!$E:$E,Drs_Crs!$A$28,'List of Ledgers '!$B:$B,Drs_Crs!$A64)</f>
        <v>90097</v>
      </c>
      <c r="I64" s="228">
        <f>SUMIFS('List of Ledgers '!O:O,'List of Ledgers '!$E:$E,Drs_Crs!$A$28,'List of Ledgers '!$B:$B,Drs_Crs!$A64)</f>
        <v>0</v>
      </c>
      <c r="J64" s="228">
        <f>SUMIFS('List of Ledgers '!P:P,'List of Ledgers '!$E:$E,Drs_Crs!$A$28,'List of Ledgers '!$B:$B,Drs_Crs!$A64)</f>
        <v>0</v>
      </c>
      <c r="K64" s="228">
        <f>SUMIFS('List of Ledgers '!Q:Q,'List of Ledgers '!$E:$E,Drs_Crs!$A$28,'List of Ledgers '!$B:$B,Drs_Crs!$A64)</f>
        <v>90097</v>
      </c>
    </row>
    <row r="65" spans="1:11" s="193" customFormat="1" ht="13.9" hidden="1" x14ac:dyDescent="0.25">
      <c r="A65" s="226" t="s">
        <v>557</v>
      </c>
      <c r="B65" s="227" t="str">
        <f>VLOOKUP(A65,'List of Ledgers '!B:G,6,0)</f>
        <v>Bluestreak</v>
      </c>
      <c r="C65" s="228">
        <f>SUMIFS('List of Ledgers '!I:I,'List of Ledgers '!$E:$E,Drs_Crs!$A$28,'List of Ledgers '!$B:$B,Drs_Crs!$A65)</f>
        <v>-12803</v>
      </c>
      <c r="D65" s="228">
        <f>SUMIFS('List of Ledgers '!J:J,'List of Ledgers '!$E:$E,Drs_Crs!$A$28,'List of Ledgers '!$B:$B,Drs_Crs!$A65)</f>
        <v>0</v>
      </c>
      <c r="E65" s="228">
        <f>SUMIFS('List of Ledgers '!K:K,'List of Ledgers '!$E:$E,Drs_Crs!$A$28,'List of Ledgers '!$B:$B,Drs_Crs!$A65)</f>
        <v>0</v>
      </c>
      <c r="F65" s="228">
        <f>SUMIFS('List of Ledgers '!L:L,'List of Ledgers '!$E:$E,Drs_Crs!$A$28,'List of Ledgers '!$B:$B,Drs_Crs!$A65)</f>
        <v>-12803</v>
      </c>
      <c r="G65" s="197"/>
      <c r="H65" s="228">
        <f>SUMIFS('List of Ledgers '!N:N,'List of Ledgers '!$E:$E,Drs_Crs!$A$28,'List of Ledgers '!$B:$B,Drs_Crs!$A65)</f>
        <v>-12803</v>
      </c>
      <c r="I65" s="228">
        <f>SUMIFS('List of Ledgers '!O:O,'List of Ledgers '!$E:$E,Drs_Crs!$A$28,'List of Ledgers '!$B:$B,Drs_Crs!$A65)</f>
        <v>0</v>
      </c>
      <c r="J65" s="228">
        <f>SUMIFS('List of Ledgers '!P:P,'List of Ledgers '!$E:$E,Drs_Crs!$A$28,'List of Ledgers '!$B:$B,Drs_Crs!$A65)</f>
        <v>0</v>
      </c>
      <c r="K65" s="228">
        <f>SUMIFS('List of Ledgers '!Q:Q,'List of Ledgers '!$E:$E,Drs_Crs!$A$28,'List of Ledgers '!$B:$B,Drs_Crs!$A65)</f>
        <v>-12803</v>
      </c>
    </row>
    <row r="66" spans="1:11" ht="13.9" hidden="1" x14ac:dyDescent="0.25">
      <c r="A66" s="125" t="s">
        <v>559</v>
      </c>
      <c r="B66" s="102" t="str">
        <f>VLOOKUP(A66,'List of Ledgers '!B:G,6,0)</f>
        <v>Bluestreak</v>
      </c>
      <c r="C66" s="76">
        <f>SUMIFS('List of Ledgers '!I:I,'List of Ledgers '!$E:$E,Drs_Crs!$A$28,'List of Ledgers '!$B:$B,Drs_Crs!$A66)</f>
        <v>0</v>
      </c>
      <c r="D66" s="76">
        <f>SUMIFS('List of Ledgers '!J:J,'List of Ledgers '!$E:$E,Drs_Crs!$A$28,'List of Ledgers '!$B:$B,Drs_Crs!$A66)</f>
        <v>0</v>
      </c>
      <c r="E66" s="76">
        <f>SUMIFS('List of Ledgers '!K:K,'List of Ledgers '!$E:$E,Drs_Crs!$A$28,'List of Ledgers '!$B:$B,Drs_Crs!$A66)</f>
        <v>0</v>
      </c>
      <c r="F66" s="76">
        <f>SUMIFS('List of Ledgers '!L:L,'List of Ledgers '!$E:$E,Drs_Crs!$A$28,'List of Ledgers '!$B:$B,Drs_Crs!$A66)</f>
        <v>0</v>
      </c>
      <c r="H66" s="76">
        <f>SUMIFS('List of Ledgers '!N:N,'List of Ledgers '!$E:$E,Drs_Crs!$A$28,'List of Ledgers '!$B:$B,Drs_Crs!$A66)</f>
        <v>0</v>
      </c>
      <c r="I66" s="76">
        <f>SUMIFS('List of Ledgers '!O:O,'List of Ledgers '!$E:$E,Drs_Crs!$A$28,'List of Ledgers '!$B:$B,Drs_Crs!$A66)</f>
        <v>42903</v>
      </c>
      <c r="J66" s="76">
        <f>SUMIFS('List of Ledgers '!P:P,'List of Ledgers '!$E:$E,Drs_Crs!$A$28,'List of Ledgers '!$B:$B,Drs_Crs!$A66)</f>
        <v>42903</v>
      </c>
      <c r="K66" s="76">
        <f>SUMIFS('List of Ledgers '!Q:Q,'List of Ledgers '!$E:$E,Drs_Crs!$A$28,'List of Ledgers '!$B:$B,Drs_Crs!$A66)</f>
        <v>0</v>
      </c>
    </row>
    <row r="67" spans="1:11" s="193" customFormat="1" ht="13.9" hidden="1" x14ac:dyDescent="0.25">
      <c r="A67" s="226" t="s">
        <v>582</v>
      </c>
      <c r="B67" s="227" t="str">
        <f>VLOOKUP(A67,'List of Ledgers '!B:G,6,0)</f>
        <v>Bluestreak</v>
      </c>
      <c r="C67" s="228">
        <f>SUMIFS('List of Ledgers '!I:I,'List of Ledgers '!$E:$E,Drs_Crs!$A$28,'List of Ledgers '!$B:$B,Drs_Crs!$A67)</f>
        <v>10201.6</v>
      </c>
      <c r="D67" s="228">
        <f>SUMIFS('List of Ledgers '!J:J,'List of Ledgers '!$E:$E,Drs_Crs!$A$28,'List of Ledgers '!$B:$B,Drs_Crs!$A67)</f>
        <v>0</v>
      </c>
      <c r="E67" s="228">
        <f>SUMIFS('List of Ledgers '!K:K,'List of Ledgers '!$E:$E,Drs_Crs!$A$28,'List of Ledgers '!$B:$B,Drs_Crs!$A67)</f>
        <v>0</v>
      </c>
      <c r="F67" s="228">
        <f>SUMIFS('List of Ledgers '!L:L,'List of Ledgers '!$E:$E,Drs_Crs!$A$28,'List of Ledgers '!$B:$B,Drs_Crs!$A67)</f>
        <v>10201.6</v>
      </c>
      <c r="G67" s="197" t="s">
        <v>1416</v>
      </c>
      <c r="H67" s="228">
        <f>SUMIFS('List of Ledgers '!N:N,'List of Ledgers '!$E:$E,Drs_Crs!$A$28,'List of Ledgers '!$B:$B,Drs_Crs!$A67)</f>
        <v>56221.599999999999</v>
      </c>
      <c r="I67" s="228">
        <f>SUMIFS('List of Ledgers '!O:O,'List of Ledgers '!$E:$E,Drs_Crs!$A$28,'List of Ledgers '!$B:$B,Drs_Crs!$A67)</f>
        <v>76877</v>
      </c>
      <c r="J67" s="228">
        <f>SUMIFS('List of Ledgers '!P:P,'List of Ledgers '!$E:$E,Drs_Crs!$A$28,'List of Ledgers '!$B:$B,Drs_Crs!$A67)</f>
        <v>122897</v>
      </c>
      <c r="K67" s="228">
        <f>SUMIFS('List of Ledgers '!Q:Q,'List of Ledgers '!$E:$E,Drs_Crs!$A$28,'List of Ledgers '!$B:$B,Drs_Crs!$A67)</f>
        <v>10201.6</v>
      </c>
    </row>
    <row r="68" spans="1:11" s="193" customFormat="1" ht="13.9" hidden="1" x14ac:dyDescent="0.25">
      <c r="A68" s="226" t="s">
        <v>584</v>
      </c>
      <c r="B68" s="227" t="str">
        <f>VLOOKUP(A68,'List of Ledgers '!B:G,6,0)</f>
        <v>Bluestreak</v>
      </c>
      <c r="C68" s="228">
        <f>SUMIFS('List of Ledgers '!I:I,'List of Ledgers '!$E:$E,Drs_Crs!$A$28,'List of Ledgers '!$B:$B,Drs_Crs!$A68)</f>
        <v>6254</v>
      </c>
      <c r="D68" s="228">
        <f>SUMIFS('List of Ledgers '!J:J,'List of Ledgers '!$E:$E,Drs_Crs!$A$28,'List of Ledgers '!$B:$B,Drs_Crs!$A68)</f>
        <v>0</v>
      </c>
      <c r="E68" s="228">
        <f>SUMIFS('List of Ledgers '!K:K,'List of Ledgers '!$E:$E,Drs_Crs!$A$28,'List of Ledgers '!$B:$B,Drs_Crs!$A68)</f>
        <v>0</v>
      </c>
      <c r="F68" s="228">
        <f>SUMIFS('List of Ledgers '!L:L,'List of Ledgers '!$E:$E,Drs_Crs!$A$28,'List of Ledgers '!$B:$B,Drs_Crs!$A68)</f>
        <v>6254</v>
      </c>
      <c r="G68" s="197" t="s">
        <v>1416</v>
      </c>
      <c r="H68" s="228">
        <f>SUMIFS('List of Ledgers '!N:N,'List of Ledgers '!$E:$E,Drs_Crs!$A$28,'List of Ledgers '!$B:$B,Drs_Crs!$A68)</f>
        <v>6254</v>
      </c>
      <c r="I68" s="228">
        <f>SUMIFS('List of Ledgers '!O:O,'List of Ledgers '!$E:$E,Drs_Crs!$A$28,'List of Ledgers '!$B:$B,Drs_Crs!$A68)</f>
        <v>0</v>
      </c>
      <c r="J68" s="228">
        <f>SUMIFS('List of Ledgers '!P:P,'List of Ledgers '!$E:$E,Drs_Crs!$A$28,'List of Ledgers '!$B:$B,Drs_Crs!$A68)</f>
        <v>0</v>
      </c>
      <c r="K68" s="228">
        <f>SUMIFS('List of Ledgers '!Q:Q,'List of Ledgers '!$E:$E,Drs_Crs!$A$28,'List of Ledgers '!$B:$B,Drs_Crs!$A68)</f>
        <v>6254</v>
      </c>
    </row>
    <row r="69" spans="1:11" ht="13.9" hidden="1" x14ac:dyDescent="0.25">
      <c r="A69" s="125" t="s">
        <v>594</v>
      </c>
      <c r="B69" s="102" t="str">
        <f>VLOOKUP(A69,'List of Ledgers '!B:G,6,0)</f>
        <v>Bluestreak</v>
      </c>
      <c r="C69" s="76">
        <f>SUMIFS('List of Ledgers '!I:I,'List of Ledgers '!$E:$E,Drs_Crs!$A$28,'List of Ledgers '!$B:$B,Drs_Crs!$A69)</f>
        <v>0</v>
      </c>
      <c r="D69" s="76">
        <f>SUMIFS('List of Ledgers '!J:J,'List of Ledgers '!$E:$E,Drs_Crs!$A$28,'List of Ledgers '!$B:$B,Drs_Crs!$A69)</f>
        <v>0</v>
      </c>
      <c r="E69" s="76">
        <f>SUMIFS('List of Ledgers '!K:K,'List of Ledgers '!$E:$E,Drs_Crs!$A$28,'List of Ledgers '!$B:$B,Drs_Crs!$A69)</f>
        <v>0</v>
      </c>
      <c r="F69" s="76">
        <f>SUMIFS('List of Ledgers '!L:L,'List of Ledgers '!$E:$E,Drs_Crs!$A$28,'List of Ledgers '!$B:$B,Drs_Crs!$A69)</f>
        <v>0</v>
      </c>
      <c r="H69" s="76">
        <f>SUMIFS('List of Ledgers '!N:N,'List of Ledgers '!$E:$E,Drs_Crs!$A$28,'List of Ledgers '!$B:$B,Drs_Crs!$A69)</f>
        <v>0</v>
      </c>
      <c r="I69" s="76">
        <f>SUMIFS('List of Ledgers '!O:O,'List of Ledgers '!$E:$E,Drs_Crs!$A$28,'List of Ledgers '!$B:$B,Drs_Crs!$A69)</f>
        <v>500</v>
      </c>
      <c r="J69" s="76">
        <f>SUMIFS('List of Ledgers '!P:P,'List of Ledgers '!$E:$E,Drs_Crs!$A$28,'List of Ledgers '!$B:$B,Drs_Crs!$A69)</f>
        <v>500</v>
      </c>
      <c r="K69" s="76">
        <f>SUMIFS('List of Ledgers '!Q:Q,'List of Ledgers '!$E:$E,Drs_Crs!$A$28,'List of Ledgers '!$B:$B,Drs_Crs!$A69)</f>
        <v>0</v>
      </c>
    </row>
    <row r="70" spans="1:11" ht="13.9" hidden="1" x14ac:dyDescent="0.25">
      <c r="A70" s="125" t="s">
        <v>595</v>
      </c>
      <c r="B70" s="102" t="str">
        <f>VLOOKUP(A70,'List of Ledgers '!B:G,6,0)</f>
        <v>Clarus</v>
      </c>
      <c r="C70" s="76">
        <f>SUMIFS('List of Ledgers '!I:I,'List of Ledgers '!$E:$E,Drs_Crs!$A$28,'List of Ledgers '!$B:$B,Drs_Crs!$A70)</f>
        <v>0</v>
      </c>
      <c r="D70" s="76">
        <f>SUMIFS('List of Ledgers '!J:J,'List of Ledgers '!$E:$E,Drs_Crs!$A$28,'List of Ledgers '!$B:$B,Drs_Crs!$A70)</f>
        <v>0</v>
      </c>
      <c r="E70" s="76">
        <f>SUMIFS('List of Ledgers '!K:K,'List of Ledgers '!$E:$E,Drs_Crs!$A$28,'List of Ledgers '!$B:$B,Drs_Crs!$A70)</f>
        <v>0</v>
      </c>
      <c r="F70" s="76">
        <f>SUMIFS('List of Ledgers '!L:L,'List of Ledgers '!$E:$E,Drs_Crs!$A$28,'List of Ledgers '!$B:$B,Drs_Crs!$A70)</f>
        <v>0</v>
      </c>
      <c r="H70" s="76">
        <f>SUMIFS('List of Ledgers '!N:N,'List of Ledgers '!$E:$E,Drs_Crs!$A$28,'List of Ledgers '!$B:$B,Drs_Crs!$A70)</f>
        <v>0</v>
      </c>
      <c r="I70" s="76">
        <f>SUMIFS('List of Ledgers '!O:O,'List of Ledgers '!$E:$E,Drs_Crs!$A$28,'List of Ledgers '!$B:$B,Drs_Crs!$A70)</f>
        <v>0</v>
      </c>
      <c r="J70" s="76">
        <f>SUMIFS('List of Ledgers '!P:P,'List of Ledgers '!$E:$E,Drs_Crs!$A$28,'List of Ledgers '!$B:$B,Drs_Crs!$A70)</f>
        <v>0</v>
      </c>
      <c r="K70" s="76">
        <f>SUMIFS('List of Ledgers '!Q:Q,'List of Ledgers '!$E:$E,Drs_Crs!$A$28,'List of Ledgers '!$B:$B,Drs_Crs!$A70)</f>
        <v>0</v>
      </c>
    </row>
    <row r="71" spans="1:11" ht="13.9" hidden="1" x14ac:dyDescent="0.25">
      <c r="A71" s="125" t="s">
        <v>596</v>
      </c>
      <c r="B71" s="102" t="str">
        <f>VLOOKUP(A71,'List of Ledgers '!B:G,6,0)</f>
        <v>Common</v>
      </c>
      <c r="C71" s="76">
        <f>SUMIFS('List of Ledgers '!I:I,'List of Ledgers '!$E:$E,Drs_Crs!$A$28,'List of Ledgers '!$B:$B,Drs_Crs!$A71)</f>
        <v>0</v>
      </c>
      <c r="D71" s="76">
        <f>SUMIFS('List of Ledgers '!J:J,'List of Ledgers '!$E:$E,Drs_Crs!$A$28,'List of Ledgers '!$B:$B,Drs_Crs!$A71)</f>
        <v>0</v>
      </c>
      <c r="E71" s="76">
        <f>SUMIFS('List of Ledgers '!K:K,'List of Ledgers '!$E:$E,Drs_Crs!$A$28,'List of Ledgers '!$B:$B,Drs_Crs!$A71)</f>
        <v>0</v>
      </c>
      <c r="F71" s="76">
        <f>SUMIFS('List of Ledgers '!L:L,'List of Ledgers '!$E:$E,Drs_Crs!$A$28,'List of Ledgers '!$B:$B,Drs_Crs!$A71)</f>
        <v>0</v>
      </c>
      <c r="H71" s="76">
        <f>SUMIFS('List of Ledgers '!N:N,'List of Ledgers '!$E:$E,Drs_Crs!$A$28,'List of Ledgers '!$B:$B,Drs_Crs!$A71)</f>
        <v>0</v>
      </c>
      <c r="I71" s="76">
        <f>SUMIFS('List of Ledgers '!O:O,'List of Ledgers '!$E:$E,Drs_Crs!$A$28,'List of Ledgers '!$B:$B,Drs_Crs!$A71)</f>
        <v>0</v>
      </c>
      <c r="J71" s="76">
        <f>SUMIFS('List of Ledgers '!P:P,'List of Ledgers '!$E:$E,Drs_Crs!$A$28,'List of Ledgers '!$B:$B,Drs_Crs!$A71)</f>
        <v>0</v>
      </c>
      <c r="K71" s="76">
        <f>SUMIFS('List of Ledgers '!Q:Q,'List of Ledgers '!$E:$E,Drs_Crs!$A$28,'List of Ledgers '!$B:$B,Drs_Crs!$A71)</f>
        <v>0</v>
      </c>
    </row>
    <row r="72" spans="1:11" ht="13.9" hidden="1" x14ac:dyDescent="0.25">
      <c r="A72" s="125" t="s">
        <v>598</v>
      </c>
      <c r="B72" s="102" t="str">
        <f>VLOOKUP(A72,'List of Ledgers '!B:G,6,0)</f>
        <v>Bluestreak</v>
      </c>
      <c r="C72" s="76">
        <f>SUMIFS('List of Ledgers '!I:I,'List of Ledgers '!$E:$E,Drs_Crs!$A$28,'List of Ledgers '!$B:$B,Drs_Crs!$A72)</f>
        <v>0</v>
      </c>
      <c r="D72" s="76">
        <f>SUMIFS('List of Ledgers '!J:J,'List of Ledgers '!$E:$E,Drs_Crs!$A$28,'List of Ledgers '!$B:$B,Drs_Crs!$A72)</f>
        <v>0</v>
      </c>
      <c r="E72" s="76">
        <f>SUMIFS('List of Ledgers '!K:K,'List of Ledgers '!$E:$E,Drs_Crs!$A$28,'List of Ledgers '!$B:$B,Drs_Crs!$A72)</f>
        <v>0</v>
      </c>
      <c r="F72" s="76">
        <f>SUMIFS('List of Ledgers '!L:L,'List of Ledgers '!$E:$E,Drs_Crs!$A$28,'List of Ledgers '!$B:$B,Drs_Crs!$A72)</f>
        <v>0</v>
      </c>
      <c r="H72" s="76">
        <f>SUMIFS('List of Ledgers '!N:N,'List of Ledgers '!$E:$E,Drs_Crs!$A$28,'List of Ledgers '!$B:$B,Drs_Crs!$A72)</f>
        <v>0</v>
      </c>
      <c r="I72" s="76">
        <f>SUMIFS('List of Ledgers '!O:O,'List of Ledgers '!$E:$E,Drs_Crs!$A$28,'List of Ledgers '!$B:$B,Drs_Crs!$A72)</f>
        <v>0</v>
      </c>
      <c r="J72" s="76">
        <f>SUMIFS('List of Ledgers '!P:P,'List of Ledgers '!$E:$E,Drs_Crs!$A$28,'List of Ledgers '!$B:$B,Drs_Crs!$A72)</f>
        <v>0</v>
      </c>
      <c r="K72" s="76">
        <f>SUMIFS('List of Ledgers '!Q:Q,'List of Ledgers '!$E:$E,Drs_Crs!$A$28,'List of Ledgers '!$B:$B,Drs_Crs!$A72)</f>
        <v>0</v>
      </c>
    </row>
    <row r="73" spans="1:11" ht="13.9" hidden="1" x14ac:dyDescent="0.25">
      <c r="A73" s="125" t="s">
        <v>602</v>
      </c>
      <c r="B73" s="102" t="str">
        <f>VLOOKUP(A73,'List of Ledgers '!B:G,6,0)</f>
        <v>Bluestreak</v>
      </c>
      <c r="C73" s="76">
        <f>SUMIFS('List of Ledgers '!I:I,'List of Ledgers '!$E:$E,Drs_Crs!$A$28,'List of Ledgers '!$B:$B,Drs_Crs!$A73)</f>
        <v>0</v>
      </c>
      <c r="D73" s="76">
        <f>SUMIFS('List of Ledgers '!J:J,'List of Ledgers '!$E:$E,Drs_Crs!$A$28,'List of Ledgers '!$B:$B,Drs_Crs!$A73)</f>
        <v>0</v>
      </c>
      <c r="E73" s="76">
        <f>SUMIFS('List of Ledgers '!K:K,'List of Ledgers '!$E:$E,Drs_Crs!$A$28,'List of Ledgers '!$B:$B,Drs_Crs!$A73)</f>
        <v>0</v>
      </c>
      <c r="F73" s="76">
        <f>SUMIFS('List of Ledgers '!L:L,'List of Ledgers '!$E:$E,Drs_Crs!$A$28,'List of Ledgers '!$B:$B,Drs_Crs!$A73)</f>
        <v>0</v>
      </c>
      <c r="H73" s="76">
        <f>SUMIFS('List of Ledgers '!N:N,'List of Ledgers '!$E:$E,Drs_Crs!$A$28,'List of Ledgers '!$B:$B,Drs_Crs!$A73)</f>
        <v>0</v>
      </c>
      <c r="I73" s="76">
        <f>SUMIFS('List of Ledgers '!O:O,'List of Ledgers '!$E:$E,Drs_Crs!$A$28,'List of Ledgers '!$B:$B,Drs_Crs!$A73)</f>
        <v>25960</v>
      </c>
      <c r="J73" s="76">
        <f>SUMIFS('List of Ledgers '!P:P,'List of Ledgers '!$E:$E,Drs_Crs!$A$28,'List of Ledgers '!$B:$B,Drs_Crs!$A73)</f>
        <v>25960</v>
      </c>
      <c r="K73" s="76">
        <f>SUMIFS('List of Ledgers '!Q:Q,'List of Ledgers '!$E:$E,Drs_Crs!$A$28,'List of Ledgers '!$B:$B,Drs_Crs!$A73)</f>
        <v>0</v>
      </c>
    </row>
    <row r="74" spans="1:11" ht="13.9" hidden="1" x14ac:dyDescent="0.25">
      <c r="A74" s="125" t="s">
        <v>605</v>
      </c>
      <c r="B74" s="102" t="str">
        <f>VLOOKUP(A74,'List of Ledgers '!B:G,6,0)</f>
        <v>Bluestreak</v>
      </c>
      <c r="C74" s="76">
        <f>SUMIFS('List of Ledgers '!I:I,'List of Ledgers '!$E:$E,Drs_Crs!$A$28,'List of Ledgers '!$B:$B,Drs_Crs!$A74)</f>
        <v>0</v>
      </c>
      <c r="D74" s="76">
        <f>SUMIFS('List of Ledgers '!J:J,'List of Ledgers '!$E:$E,Drs_Crs!$A$28,'List of Ledgers '!$B:$B,Drs_Crs!$A74)</f>
        <v>0</v>
      </c>
      <c r="E74" s="76">
        <f>SUMIFS('List of Ledgers '!K:K,'List of Ledgers '!$E:$E,Drs_Crs!$A$28,'List of Ledgers '!$B:$B,Drs_Crs!$A74)</f>
        <v>0</v>
      </c>
      <c r="F74" s="76">
        <f>SUMIFS('List of Ledgers '!L:L,'List of Ledgers '!$E:$E,Drs_Crs!$A$28,'List of Ledgers '!$B:$B,Drs_Crs!$A74)</f>
        <v>0</v>
      </c>
      <c r="H74" s="76">
        <f>SUMIFS('List of Ledgers '!N:N,'List of Ledgers '!$E:$E,Drs_Crs!$A$28,'List of Ledgers '!$B:$B,Drs_Crs!$A74)</f>
        <v>0</v>
      </c>
      <c r="I74" s="76">
        <f>SUMIFS('List of Ledgers '!O:O,'List of Ledgers '!$E:$E,Drs_Crs!$A$28,'List of Ledgers '!$B:$B,Drs_Crs!$A74)</f>
        <v>0</v>
      </c>
      <c r="J74" s="76">
        <f>SUMIFS('List of Ledgers '!P:P,'List of Ledgers '!$E:$E,Drs_Crs!$A$28,'List of Ledgers '!$B:$B,Drs_Crs!$A74)</f>
        <v>0</v>
      </c>
      <c r="K74" s="76">
        <f>SUMIFS('List of Ledgers '!Q:Q,'List of Ledgers '!$E:$E,Drs_Crs!$A$28,'List of Ledgers '!$B:$B,Drs_Crs!$A74)</f>
        <v>0</v>
      </c>
    </row>
    <row r="75" spans="1:11" ht="13.9" hidden="1" x14ac:dyDescent="0.25">
      <c r="A75" s="125" t="s">
        <v>608</v>
      </c>
      <c r="B75" s="102" t="str">
        <f>VLOOKUP(A75,'List of Ledgers '!B:G,6,0)</f>
        <v>Bluestreak</v>
      </c>
      <c r="C75" s="76">
        <f>SUMIFS('List of Ledgers '!I:I,'List of Ledgers '!$E:$E,Drs_Crs!$A$28,'List of Ledgers '!$B:$B,Drs_Crs!$A75)</f>
        <v>0</v>
      </c>
      <c r="D75" s="76">
        <f>SUMIFS('List of Ledgers '!J:J,'List of Ledgers '!$E:$E,Drs_Crs!$A$28,'List of Ledgers '!$B:$B,Drs_Crs!$A75)</f>
        <v>0</v>
      </c>
      <c r="E75" s="76">
        <f>SUMIFS('List of Ledgers '!K:K,'List of Ledgers '!$E:$E,Drs_Crs!$A$28,'List of Ledgers '!$B:$B,Drs_Crs!$A75)</f>
        <v>0</v>
      </c>
      <c r="F75" s="76">
        <f>SUMIFS('List of Ledgers '!L:L,'List of Ledgers '!$E:$E,Drs_Crs!$A$28,'List of Ledgers '!$B:$B,Drs_Crs!$A75)</f>
        <v>0</v>
      </c>
      <c r="H75" s="76">
        <f>SUMIFS('List of Ledgers '!N:N,'List of Ledgers '!$E:$E,Drs_Crs!$A$28,'List of Ledgers '!$B:$B,Drs_Crs!$A75)</f>
        <v>0</v>
      </c>
      <c r="I75" s="76">
        <f>SUMIFS('List of Ledgers '!O:O,'List of Ledgers '!$E:$E,Drs_Crs!$A$28,'List of Ledgers '!$B:$B,Drs_Crs!$A75)</f>
        <v>0</v>
      </c>
      <c r="J75" s="76">
        <f>SUMIFS('List of Ledgers '!P:P,'List of Ledgers '!$E:$E,Drs_Crs!$A$28,'List of Ledgers '!$B:$B,Drs_Crs!$A75)</f>
        <v>0</v>
      </c>
      <c r="K75" s="76">
        <f>SUMIFS('List of Ledgers '!Q:Q,'List of Ledgers '!$E:$E,Drs_Crs!$A$28,'List of Ledgers '!$B:$B,Drs_Crs!$A75)</f>
        <v>0</v>
      </c>
    </row>
    <row r="76" spans="1:11" s="193" customFormat="1" ht="13.9" hidden="1" x14ac:dyDescent="0.25">
      <c r="A76" s="226" t="s">
        <v>610</v>
      </c>
      <c r="B76" s="227" t="str">
        <f>VLOOKUP(A76,'List of Ledgers '!B:G,6,0)</f>
        <v>Bluestreak</v>
      </c>
      <c r="C76" s="228">
        <f>SUMIFS('List of Ledgers '!I:I,'List of Ledgers '!$E:$E,Drs_Crs!$A$28,'List of Ledgers '!$B:$B,Drs_Crs!$A76)</f>
        <v>39766</v>
      </c>
      <c r="D76" s="228">
        <f>SUMIFS('List of Ledgers '!J:J,'List of Ledgers '!$E:$E,Drs_Crs!$A$28,'List of Ledgers '!$B:$B,Drs_Crs!$A76)</f>
        <v>0</v>
      </c>
      <c r="E76" s="228">
        <f>SUMIFS('List of Ledgers '!K:K,'List of Ledgers '!$E:$E,Drs_Crs!$A$28,'List of Ledgers '!$B:$B,Drs_Crs!$A76)</f>
        <v>0</v>
      </c>
      <c r="F76" s="228">
        <f>SUMIFS('List of Ledgers '!L:L,'List of Ledgers '!$E:$E,Drs_Crs!$A$28,'List of Ledgers '!$B:$B,Drs_Crs!$A76)</f>
        <v>39766</v>
      </c>
      <c r="G76" s="197" t="s">
        <v>1416</v>
      </c>
      <c r="H76" s="228">
        <f>SUMIFS('List of Ledgers '!N:N,'List of Ledgers '!$E:$E,Drs_Crs!$A$28,'List of Ledgers '!$B:$B,Drs_Crs!$A76)</f>
        <v>39766</v>
      </c>
      <c r="I76" s="228">
        <f>SUMIFS('List of Ledgers '!O:O,'List of Ledgers '!$E:$E,Drs_Crs!$A$28,'List of Ledgers '!$B:$B,Drs_Crs!$A76)</f>
        <v>0</v>
      </c>
      <c r="J76" s="228">
        <f>SUMIFS('List of Ledgers '!P:P,'List of Ledgers '!$E:$E,Drs_Crs!$A$28,'List of Ledgers '!$B:$B,Drs_Crs!$A76)</f>
        <v>0</v>
      </c>
      <c r="K76" s="228">
        <f>SUMIFS('List of Ledgers '!Q:Q,'List of Ledgers '!$E:$E,Drs_Crs!$A$28,'List of Ledgers '!$B:$B,Drs_Crs!$A76)</f>
        <v>39766</v>
      </c>
    </row>
    <row r="77" spans="1:11" ht="13.9" hidden="1" x14ac:dyDescent="0.25">
      <c r="A77" s="125" t="s">
        <v>623</v>
      </c>
      <c r="B77" s="102" t="str">
        <f>VLOOKUP(A77,'List of Ledgers '!B:G,6,0)</f>
        <v>Clarus</v>
      </c>
      <c r="C77" s="76">
        <f>SUMIFS('List of Ledgers '!I:I,'List of Ledgers '!$E:$E,Drs_Crs!$A$28,'List of Ledgers '!$B:$B,Drs_Crs!$A77)</f>
        <v>0</v>
      </c>
      <c r="D77" s="76">
        <f>SUMIFS('List of Ledgers '!J:J,'List of Ledgers '!$E:$E,Drs_Crs!$A$28,'List of Ledgers '!$B:$B,Drs_Crs!$A77)</f>
        <v>0</v>
      </c>
      <c r="E77" s="76">
        <f>SUMIFS('List of Ledgers '!K:K,'List of Ledgers '!$E:$E,Drs_Crs!$A$28,'List of Ledgers '!$B:$B,Drs_Crs!$A77)</f>
        <v>0</v>
      </c>
      <c r="F77" s="76">
        <f>SUMIFS('List of Ledgers '!L:L,'List of Ledgers '!$E:$E,Drs_Crs!$A$28,'List of Ledgers '!$B:$B,Drs_Crs!$A77)</f>
        <v>0</v>
      </c>
      <c r="H77" s="76">
        <f>SUMIFS('List of Ledgers '!N:N,'List of Ledgers '!$E:$E,Drs_Crs!$A$28,'List of Ledgers '!$B:$B,Drs_Crs!$A77)</f>
        <v>0</v>
      </c>
      <c r="I77" s="76">
        <f>SUMIFS('List of Ledgers '!O:O,'List of Ledgers '!$E:$E,Drs_Crs!$A$28,'List of Ledgers '!$B:$B,Drs_Crs!$A77)</f>
        <v>0</v>
      </c>
      <c r="J77" s="76">
        <f>SUMIFS('List of Ledgers '!P:P,'List of Ledgers '!$E:$E,Drs_Crs!$A$28,'List of Ledgers '!$B:$B,Drs_Crs!$A77)</f>
        <v>0</v>
      </c>
      <c r="K77" s="76">
        <f>SUMIFS('List of Ledgers '!Q:Q,'List of Ledgers '!$E:$E,Drs_Crs!$A$28,'List of Ledgers '!$B:$B,Drs_Crs!$A77)</f>
        <v>0</v>
      </c>
    </row>
    <row r="78" spans="1:11" ht="13.9" hidden="1" x14ac:dyDescent="0.25">
      <c r="A78" s="125" t="s">
        <v>628</v>
      </c>
      <c r="B78" s="102" t="str">
        <f>VLOOKUP(A78,'List of Ledgers '!B:G,6,0)</f>
        <v>Bluestreak</v>
      </c>
      <c r="C78" s="76">
        <f>SUMIFS('List of Ledgers '!I:I,'List of Ledgers '!$E:$E,Drs_Crs!$A$28,'List of Ledgers '!$B:$B,Drs_Crs!$A78)</f>
        <v>0</v>
      </c>
      <c r="D78" s="76">
        <f>SUMIFS('List of Ledgers '!J:J,'List of Ledgers '!$E:$E,Drs_Crs!$A$28,'List of Ledgers '!$B:$B,Drs_Crs!$A78)</f>
        <v>0</v>
      </c>
      <c r="E78" s="76">
        <f>SUMIFS('List of Ledgers '!K:K,'List of Ledgers '!$E:$E,Drs_Crs!$A$28,'List of Ledgers '!$B:$B,Drs_Crs!$A78)</f>
        <v>0</v>
      </c>
      <c r="F78" s="76">
        <f>SUMIFS('List of Ledgers '!L:L,'List of Ledgers '!$E:$E,Drs_Crs!$A$28,'List of Ledgers '!$B:$B,Drs_Crs!$A78)</f>
        <v>0</v>
      </c>
      <c r="H78" s="76">
        <f>SUMIFS('List of Ledgers '!N:N,'List of Ledgers '!$E:$E,Drs_Crs!$A$28,'List of Ledgers '!$B:$B,Drs_Crs!$A78)</f>
        <v>0</v>
      </c>
      <c r="I78" s="76">
        <f>SUMIFS('List of Ledgers '!O:O,'List of Ledgers '!$E:$E,Drs_Crs!$A$28,'List of Ledgers '!$B:$B,Drs_Crs!$A78)</f>
        <v>0</v>
      </c>
      <c r="J78" s="76">
        <f>SUMIFS('List of Ledgers '!P:P,'List of Ledgers '!$E:$E,Drs_Crs!$A$28,'List of Ledgers '!$B:$B,Drs_Crs!$A78)</f>
        <v>0</v>
      </c>
      <c r="K78" s="76">
        <f>SUMIFS('List of Ledgers '!Q:Q,'List of Ledgers '!$E:$E,Drs_Crs!$A$28,'List of Ledgers '!$B:$B,Drs_Crs!$A78)</f>
        <v>0</v>
      </c>
    </row>
    <row r="79" spans="1:11" ht="13.9" hidden="1" x14ac:dyDescent="0.25">
      <c r="A79" s="125" t="s">
        <v>635</v>
      </c>
      <c r="B79" s="102" t="str">
        <f>VLOOKUP(A79,'List of Ledgers '!B:G,6,0)</f>
        <v>Bluestreak</v>
      </c>
      <c r="C79" s="76">
        <f>SUMIFS('List of Ledgers '!I:I,'List of Ledgers '!$E:$E,Drs_Crs!$A$28,'List of Ledgers '!$B:$B,Drs_Crs!$A79)</f>
        <v>0</v>
      </c>
      <c r="D79" s="76">
        <f>SUMIFS('List of Ledgers '!J:J,'List of Ledgers '!$E:$E,Drs_Crs!$A$28,'List of Ledgers '!$B:$B,Drs_Crs!$A79)</f>
        <v>0</v>
      </c>
      <c r="E79" s="76">
        <f>SUMIFS('List of Ledgers '!K:K,'List of Ledgers '!$E:$E,Drs_Crs!$A$28,'List of Ledgers '!$B:$B,Drs_Crs!$A79)</f>
        <v>0</v>
      </c>
      <c r="F79" s="76">
        <f>SUMIFS('List of Ledgers '!L:L,'List of Ledgers '!$E:$E,Drs_Crs!$A$28,'List of Ledgers '!$B:$B,Drs_Crs!$A79)</f>
        <v>0</v>
      </c>
      <c r="H79" s="76">
        <f>SUMIFS('List of Ledgers '!N:N,'List of Ledgers '!$E:$E,Drs_Crs!$A$28,'List of Ledgers '!$B:$B,Drs_Crs!$A79)</f>
        <v>0</v>
      </c>
      <c r="I79" s="76">
        <f>SUMIFS('List of Ledgers '!O:O,'List of Ledgers '!$E:$E,Drs_Crs!$A$28,'List of Ledgers '!$B:$B,Drs_Crs!$A79)</f>
        <v>6835</v>
      </c>
      <c r="J79" s="76">
        <f>SUMIFS('List of Ledgers '!P:P,'List of Ledgers '!$E:$E,Drs_Crs!$A$28,'List of Ledgers '!$B:$B,Drs_Crs!$A79)</f>
        <v>6835</v>
      </c>
      <c r="K79" s="76">
        <f>SUMIFS('List of Ledgers '!Q:Q,'List of Ledgers '!$E:$E,Drs_Crs!$A$28,'List of Ledgers '!$B:$B,Drs_Crs!$A79)</f>
        <v>0</v>
      </c>
    </row>
    <row r="80" spans="1:11" s="193" customFormat="1" ht="13.9" hidden="1" x14ac:dyDescent="0.25">
      <c r="A80" s="226" t="s">
        <v>636</v>
      </c>
      <c r="B80" s="227" t="str">
        <f>VLOOKUP(A80,'List of Ledgers '!B:G,6,0)</f>
        <v>Bluestreak</v>
      </c>
      <c r="C80" s="228">
        <f>SUMIFS('List of Ledgers '!I:I,'List of Ledgers '!$E:$E,Drs_Crs!$A$28,'List of Ledgers '!$B:$B,Drs_Crs!$A80)</f>
        <v>-474</v>
      </c>
      <c r="D80" s="228">
        <f>SUMIFS('List of Ledgers '!J:J,'List of Ledgers '!$E:$E,Drs_Crs!$A$28,'List of Ledgers '!$B:$B,Drs_Crs!$A80)</f>
        <v>0</v>
      </c>
      <c r="E80" s="228">
        <f>SUMIFS('List of Ledgers '!K:K,'List of Ledgers '!$E:$E,Drs_Crs!$A$28,'List of Ledgers '!$B:$B,Drs_Crs!$A80)</f>
        <v>0</v>
      </c>
      <c r="F80" s="228">
        <f>SUMIFS('List of Ledgers '!L:L,'List of Ledgers '!$E:$E,Drs_Crs!$A$28,'List of Ledgers '!$B:$B,Drs_Crs!$A80)</f>
        <v>-474</v>
      </c>
      <c r="G80" s="197"/>
      <c r="H80" s="228">
        <f>SUMIFS('List of Ledgers '!N:N,'List of Ledgers '!$E:$E,Drs_Crs!$A$28,'List of Ledgers '!$B:$B,Drs_Crs!$A80)</f>
        <v>-474</v>
      </c>
      <c r="I80" s="228">
        <f>SUMIFS('List of Ledgers '!O:O,'List of Ledgers '!$E:$E,Drs_Crs!$A$28,'List of Ledgers '!$B:$B,Drs_Crs!$A80)</f>
        <v>26342</v>
      </c>
      <c r="J80" s="228">
        <f>SUMIFS('List of Ledgers '!P:P,'List of Ledgers '!$E:$E,Drs_Crs!$A$28,'List of Ledgers '!$B:$B,Drs_Crs!$A80)</f>
        <v>26342</v>
      </c>
      <c r="K80" s="228">
        <f>SUMIFS('List of Ledgers '!Q:Q,'List of Ledgers '!$E:$E,Drs_Crs!$A$28,'List of Ledgers '!$B:$B,Drs_Crs!$A80)</f>
        <v>-474</v>
      </c>
    </row>
    <row r="81" spans="1:11" ht="13.9" hidden="1" x14ac:dyDescent="0.25">
      <c r="A81" s="125" t="s">
        <v>638</v>
      </c>
      <c r="B81" s="102" t="str">
        <f>VLOOKUP(A81,'List of Ledgers '!B:G,6,0)</f>
        <v>Clarus</v>
      </c>
      <c r="C81" s="76">
        <f>SUMIFS('List of Ledgers '!I:I,'List of Ledgers '!$E:$E,Drs_Crs!$A$28,'List of Ledgers '!$B:$B,Drs_Crs!$A81)</f>
        <v>0</v>
      </c>
      <c r="D81" s="76">
        <f>SUMIFS('List of Ledgers '!J:J,'List of Ledgers '!$E:$E,Drs_Crs!$A$28,'List of Ledgers '!$B:$B,Drs_Crs!$A81)</f>
        <v>0</v>
      </c>
      <c r="E81" s="76">
        <f>SUMIFS('List of Ledgers '!K:K,'List of Ledgers '!$E:$E,Drs_Crs!$A$28,'List of Ledgers '!$B:$B,Drs_Crs!$A81)</f>
        <v>0</v>
      </c>
      <c r="F81" s="76">
        <f>SUMIFS('List of Ledgers '!L:L,'List of Ledgers '!$E:$E,Drs_Crs!$A$28,'List of Ledgers '!$B:$B,Drs_Crs!$A81)</f>
        <v>0</v>
      </c>
      <c r="H81" s="76">
        <f>SUMIFS('List of Ledgers '!N:N,'List of Ledgers '!$E:$E,Drs_Crs!$A$28,'List of Ledgers '!$B:$B,Drs_Crs!$A81)</f>
        <v>0</v>
      </c>
      <c r="I81" s="76">
        <f>SUMIFS('List of Ledgers '!O:O,'List of Ledgers '!$E:$E,Drs_Crs!$A$28,'List of Ledgers '!$B:$B,Drs_Crs!$A81)</f>
        <v>0</v>
      </c>
      <c r="J81" s="76">
        <f>SUMIFS('List of Ledgers '!P:P,'List of Ledgers '!$E:$E,Drs_Crs!$A$28,'List of Ledgers '!$B:$B,Drs_Crs!$A81)</f>
        <v>0</v>
      </c>
      <c r="K81" s="76">
        <f>SUMIFS('List of Ledgers '!Q:Q,'List of Ledgers '!$E:$E,Drs_Crs!$A$28,'List of Ledgers '!$B:$B,Drs_Crs!$A81)</f>
        <v>0</v>
      </c>
    </row>
    <row r="82" spans="1:11" s="193" customFormat="1" ht="13.9" hidden="1" x14ac:dyDescent="0.25">
      <c r="A82" s="226" t="s">
        <v>655</v>
      </c>
      <c r="B82" s="227" t="str">
        <f>VLOOKUP(A82,'List of Ledgers '!B:G,6,0)</f>
        <v>Clarus</v>
      </c>
      <c r="C82" s="228">
        <f>SUMIFS('List of Ledgers '!I:I,'List of Ledgers '!$E:$E,Drs_Crs!$A$28,'List of Ledgers '!$B:$B,Drs_Crs!$A82)</f>
        <v>300</v>
      </c>
      <c r="D82" s="228">
        <f>SUMIFS('List of Ledgers '!J:J,'List of Ledgers '!$E:$E,Drs_Crs!$A$28,'List of Ledgers '!$B:$B,Drs_Crs!$A82)</f>
        <v>0</v>
      </c>
      <c r="E82" s="228">
        <f>SUMIFS('List of Ledgers '!K:K,'List of Ledgers '!$E:$E,Drs_Crs!$A$28,'List of Ledgers '!$B:$B,Drs_Crs!$A82)</f>
        <v>0</v>
      </c>
      <c r="F82" s="228">
        <f>SUMIFS('List of Ledgers '!L:L,'List of Ledgers '!$E:$E,Drs_Crs!$A$28,'List of Ledgers '!$B:$B,Drs_Crs!$A82)</f>
        <v>300</v>
      </c>
      <c r="G82" s="197" t="s">
        <v>1416</v>
      </c>
      <c r="H82" s="228">
        <f>SUMIFS('List of Ledgers '!N:N,'List of Ledgers '!$E:$E,Drs_Crs!$A$28,'List of Ledgers '!$B:$B,Drs_Crs!$A82)</f>
        <v>300</v>
      </c>
      <c r="I82" s="228">
        <f>SUMIFS('List of Ledgers '!O:O,'List of Ledgers '!$E:$E,Drs_Crs!$A$28,'List of Ledgers '!$B:$B,Drs_Crs!$A82)</f>
        <v>71966</v>
      </c>
      <c r="J82" s="228">
        <f>SUMIFS('List of Ledgers '!P:P,'List of Ledgers '!$E:$E,Drs_Crs!$A$28,'List of Ledgers '!$B:$B,Drs_Crs!$A82)</f>
        <v>71966</v>
      </c>
      <c r="K82" s="228">
        <f>SUMIFS('List of Ledgers '!Q:Q,'List of Ledgers '!$E:$E,Drs_Crs!$A$28,'List of Ledgers '!$B:$B,Drs_Crs!$A82)</f>
        <v>300</v>
      </c>
    </row>
    <row r="83" spans="1:11" ht="13.9" hidden="1" x14ac:dyDescent="0.25">
      <c r="A83" s="125" t="s">
        <v>656</v>
      </c>
      <c r="B83" s="102" t="str">
        <f>VLOOKUP(A83,'List of Ledgers '!B:G,6,0)</f>
        <v>Clarus</v>
      </c>
      <c r="C83" s="76">
        <f>SUMIFS('List of Ledgers '!I:I,'List of Ledgers '!$E:$E,Drs_Crs!$A$28,'List of Ledgers '!$B:$B,Drs_Crs!$A83)</f>
        <v>0</v>
      </c>
      <c r="D83" s="76">
        <f>SUMIFS('List of Ledgers '!J:J,'List of Ledgers '!$E:$E,Drs_Crs!$A$28,'List of Ledgers '!$B:$B,Drs_Crs!$A83)</f>
        <v>0</v>
      </c>
      <c r="E83" s="76">
        <f>SUMIFS('List of Ledgers '!K:K,'List of Ledgers '!$E:$E,Drs_Crs!$A$28,'List of Ledgers '!$B:$B,Drs_Crs!$A83)</f>
        <v>0</v>
      </c>
      <c r="F83" s="76">
        <f>SUMIFS('List of Ledgers '!L:L,'List of Ledgers '!$E:$E,Drs_Crs!$A$28,'List of Ledgers '!$B:$B,Drs_Crs!$A83)</f>
        <v>0</v>
      </c>
      <c r="H83" s="76">
        <f>SUMIFS('List of Ledgers '!N:N,'List of Ledgers '!$E:$E,Drs_Crs!$A$28,'List of Ledgers '!$B:$B,Drs_Crs!$A83)</f>
        <v>0</v>
      </c>
      <c r="I83" s="76">
        <f>SUMIFS('List of Ledgers '!O:O,'List of Ledgers '!$E:$E,Drs_Crs!$A$28,'List of Ledgers '!$B:$B,Drs_Crs!$A83)</f>
        <v>13293</v>
      </c>
      <c r="J83" s="76">
        <f>SUMIFS('List of Ledgers '!P:P,'List of Ledgers '!$E:$E,Drs_Crs!$A$28,'List of Ledgers '!$B:$B,Drs_Crs!$A83)</f>
        <v>13293</v>
      </c>
      <c r="K83" s="76">
        <f>SUMIFS('List of Ledgers '!Q:Q,'List of Ledgers '!$E:$E,Drs_Crs!$A$28,'List of Ledgers '!$B:$B,Drs_Crs!$A83)</f>
        <v>0</v>
      </c>
    </row>
    <row r="84" spans="1:11" ht="13.9" hidden="1" x14ac:dyDescent="0.25">
      <c r="A84" s="125" t="s">
        <v>657</v>
      </c>
      <c r="B84" s="102" t="str">
        <f>VLOOKUP(A84,'List of Ledgers '!B:G,6,0)</f>
        <v>Clarus</v>
      </c>
      <c r="C84" s="76">
        <f>SUMIFS('List of Ledgers '!I:I,'List of Ledgers '!$E:$E,Drs_Crs!$A$28,'List of Ledgers '!$B:$B,Drs_Crs!$A84)</f>
        <v>0</v>
      </c>
      <c r="D84" s="76">
        <f>SUMIFS('List of Ledgers '!J:J,'List of Ledgers '!$E:$E,Drs_Crs!$A$28,'List of Ledgers '!$B:$B,Drs_Crs!$A84)</f>
        <v>0</v>
      </c>
      <c r="E84" s="76">
        <f>SUMIFS('List of Ledgers '!K:K,'List of Ledgers '!$E:$E,Drs_Crs!$A$28,'List of Ledgers '!$B:$B,Drs_Crs!$A84)</f>
        <v>0</v>
      </c>
      <c r="F84" s="76">
        <f>SUMIFS('List of Ledgers '!L:L,'List of Ledgers '!$E:$E,Drs_Crs!$A$28,'List of Ledgers '!$B:$B,Drs_Crs!$A84)</f>
        <v>0</v>
      </c>
      <c r="H84" s="76">
        <f>SUMIFS('List of Ledgers '!N:N,'List of Ledgers '!$E:$E,Drs_Crs!$A$28,'List of Ledgers '!$B:$B,Drs_Crs!$A84)</f>
        <v>0</v>
      </c>
      <c r="I84" s="76">
        <f>SUMIFS('List of Ledgers '!O:O,'List of Ledgers '!$E:$E,Drs_Crs!$A$28,'List of Ledgers '!$B:$B,Drs_Crs!$A84)</f>
        <v>0</v>
      </c>
      <c r="J84" s="76">
        <f>SUMIFS('List of Ledgers '!P:P,'List of Ledgers '!$E:$E,Drs_Crs!$A$28,'List of Ledgers '!$B:$B,Drs_Crs!$A84)</f>
        <v>0</v>
      </c>
      <c r="K84" s="76">
        <f>SUMIFS('List of Ledgers '!Q:Q,'List of Ledgers '!$E:$E,Drs_Crs!$A$28,'List of Ledgers '!$B:$B,Drs_Crs!$A84)</f>
        <v>0</v>
      </c>
    </row>
    <row r="85" spans="1:11" ht="13.9" hidden="1" x14ac:dyDescent="0.25">
      <c r="A85" s="125" t="s">
        <v>658</v>
      </c>
      <c r="B85" s="102" t="str">
        <f>VLOOKUP(A85,'List of Ledgers '!B:G,6,0)</f>
        <v>Bluestreak</v>
      </c>
      <c r="C85" s="76">
        <f>SUMIFS('List of Ledgers '!I:I,'List of Ledgers '!$E:$E,Drs_Crs!$A$28,'List of Ledgers '!$B:$B,Drs_Crs!$A85)</f>
        <v>0</v>
      </c>
      <c r="D85" s="76">
        <f>SUMIFS('List of Ledgers '!J:J,'List of Ledgers '!$E:$E,Drs_Crs!$A$28,'List of Ledgers '!$B:$B,Drs_Crs!$A85)</f>
        <v>0</v>
      </c>
      <c r="E85" s="76">
        <f>SUMIFS('List of Ledgers '!K:K,'List of Ledgers '!$E:$E,Drs_Crs!$A$28,'List of Ledgers '!$B:$B,Drs_Crs!$A85)</f>
        <v>0</v>
      </c>
      <c r="F85" s="76">
        <f>SUMIFS('List of Ledgers '!L:L,'List of Ledgers '!$E:$E,Drs_Crs!$A$28,'List of Ledgers '!$B:$B,Drs_Crs!$A85)</f>
        <v>0</v>
      </c>
      <c r="H85" s="76">
        <f>SUMIFS('List of Ledgers '!N:N,'List of Ledgers '!$E:$E,Drs_Crs!$A$28,'List of Ledgers '!$B:$B,Drs_Crs!$A85)</f>
        <v>0</v>
      </c>
      <c r="I85" s="76">
        <f>SUMIFS('List of Ledgers '!O:O,'List of Ledgers '!$E:$E,Drs_Crs!$A$28,'List of Ledgers '!$B:$B,Drs_Crs!$A85)</f>
        <v>0</v>
      </c>
      <c r="J85" s="76">
        <f>SUMIFS('List of Ledgers '!P:P,'List of Ledgers '!$E:$E,Drs_Crs!$A$28,'List of Ledgers '!$B:$B,Drs_Crs!$A85)</f>
        <v>0</v>
      </c>
      <c r="K85" s="76">
        <f>SUMIFS('List of Ledgers '!Q:Q,'List of Ledgers '!$E:$E,Drs_Crs!$A$28,'List of Ledgers '!$B:$B,Drs_Crs!$A85)</f>
        <v>0</v>
      </c>
    </row>
    <row r="86" spans="1:11" ht="13.9" hidden="1" x14ac:dyDescent="0.25">
      <c r="A86" s="125" t="s">
        <v>665</v>
      </c>
      <c r="B86" s="102" t="str">
        <f>VLOOKUP(A86,'List of Ledgers '!B:G,6,0)</f>
        <v>Bluestreak</v>
      </c>
      <c r="C86" s="76">
        <f>SUMIFS('List of Ledgers '!I:I,'List of Ledgers '!$E:$E,Drs_Crs!$A$28,'List of Ledgers '!$B:$B,Drs_Crs!$A86)</f>
        <v>0</v>
      </c>
      <c r="D86" s="76">
        <f>SUMIFS('List of Ledgers '!J:J,'List of Ledgers '!$E:$E,Drs_Crs!$A$28,'List of Ledgers '!$B:$B,Drs_Crs!$A86)</f>
        <v>0</v>
      </c>
      <c r="E86" s="76">
        <f>SUMIFS('List of Ledgers '!K:K,'List of Ledgers '!$E:$E,Drs_Crs!$A$28,'List of Ledgers '!$B:$B,Drs_Crs!$A86)</f>
        <v>0</v>
      </c>
      <c r="F86" s="76">
        <f>SUMIFS('List of Ledgers '!L:L,'List of Ledgers '!$E:$E,Drs_Crs!$A$28,'List of Ledgers '!$B:$B,Drs_Crs!$A86)</f>
        <v>0</v>
      </c>
      <c r="H86" s="76">
        <f>SUMIFS('List of Ledgers '!N:N,'List of Ledgers '!$E:$E,Drs_Crs!$A$28,'List of Ledgers '!$B:$B,Drs_Crs!$A86)</f>
        <v>0</v>
      </c>
      <c r="I86" s="76">
        <f>SUMIFS('List of Ledgers '!O:O,'List of Ledgers '!$E:$E,Drs_Crs!$A$28,'List of Ledgers '!$B:$B,Drs_Crs!$A86)</f>
        <v>0</v>
      </c>
      <c r="J86" s="76">
        <f>SUMIFS('List of Ledgers '!P:P,'List of Ledgers '!$E:$E,Drs_Crs!$A$28,'List of Ledgers '!$B:$B,Drs_Crs!$A86)</f>
        <v>0</v>
      </c>
      <c r="K86" s="76">
        <f>SUMIFS('List of Ledgers '!Q:Q,'List of Ledgers '!$E:$E,Drs_Crs!$A$28,'List of Ledgers '!$B:$B,Drs_Crs!$A86)</f>
        <v>0</v>
      </c>
    </row>
    <row r="87" spans="1:11" ht="13.9" hidden="1" x14ac:dyDescent="0.25">
      <c r="A87" s="125" t="s">
        <v>669</v>
      </c>
      <c r="B87" s="102" t="str">
        <f>VLOOKUP(A87,'List of Ledgers '!B:G,6,0)</f>
        <v>Bluestreak</v>
      </c>
      <c r="C87" s="76">
        <f>SUMIFS('List of Ledgers '!I:I,'List of Ledgers '!$E:$E,Drs_Crs!$A$28,'List of Ledgers '!$B:$B,Drs_Crs!$A87)</f>
        <v>0</v>
      </c>
      <c r="D87" s="76">
        <f>SUMIFS('List of Ledgers '!J:J,'List of Ledgers '!$E:$E,Drs_Crs!$A$28,'List of Ledgers '!$B:$B,Drs_Crs!$A87)</f>
        <v>0</v>
      </c>
      <c r="E87" s="76">
        <f>SUMIFS('List of Ledgers '!K:K,'List of Ledgers '!$E:$E,Drs_Crs!$A$28,'List of Ledgers '!$B:$B,Drs_Crs!$A87)</f>
        <v>0</v>
      </c>
      <c r="F87" s="76">
        <f>SUMIFS('List of Ledgers '!L:L,'List of Ledgers '!$E:$E,Drs_Crs!$A$28,'List of Ledgers '!$B:$B,Drs_Crs!$A87)</f>
        <v>0</v>
      </c>
      <c r="H87" s="76">
        <f>SUMIFS('List of Ledgers '!N:N,'List of Ledgers '!$E:$E,Drs_Crs!$A$28,'List of Ledgers '!$B:$B,Drs_Crs!$A87)</f>
        <v>0</v>
      </c>
      <c r="I87" s="76">
        <f>SUMIFS('List of Ledgers '!O:O,'List of Ledgers '!$E:$E,Drs_Crs!$A$28,'List of Ledgers '!$B:$B,Drs_Crs!$A87)</f>
        <v>0</v>
      </c>
      <c r="J87" s="76">
        <f>SUMIFS('List of Ledgers '!P:P,'List of Ledgers '!$E:$E,Drs_Crs!$A$28,'List of Ledgers '!$B:$B,Drs_Crs!$A87)</f>
        <v>0</v>
      </c>
      <c r="K87" s="76">
        <f>SUMIFS('List of Ledgers '!Q:Q,'List of Ledgers '!$E:$E,Drs_Crs!$A$28,'List of Ledgers '!$B:$B,Drs_Crs!$A87)</f>
        <v>0</v>
      </c>
    </row>
    <row r="88" spans="1:11" s="193" customFormat="1" ht="13.9" hidden="1" x14ac:dyDescent="0.25">
      <c r="A88" s="226" t="s">
        <v>673</v>
      </c>
      <c r="B88" s="227" t="str">
        <f>VLOOKUP(A88,'List of Ledgers '!B:G,6,0)</f>
        <v>Bluestreak</v>
      </c>
      <c r="C88" s="228">
        <f>SUMIFS('List of Ledgers '!I:I,'List of Ledgers '!$E:$E,Drs_Crs!$A$28,'List of Ledgers '!$B:$B,Drs_Crs!$A88)</f>
        <v>1821</v>
      </c>
      <c r="D88" s="228">
        <f>SUMIFS('List of Ledgers '!J:J,'List of Ledgers '!$E:$E,Drs_Crs!$A$28,'List of Ledgers '!$B:$B,Drs_Crs!$A88)</f>
        <v>0</v>
      </c>
      <c r="E88" s="228">
        <f>SUMIFS('List of Ledgers '!K:K,'List of Ledgers '!$E:$E,Drs_Crs!$A$28,'List of Ledgers '!$B:$B,Drs_Crs!$A88)</f>
        <v>0</v>
      </c>
      <c r="F88" s="228">
        <f>SUMIFS('List of Ledgers '!L:L,'List of Ledgers '!$E:$E,Drs_Crs!$A$28,'List of Ledgers '!$B:$B,Drs_Crs!$A88)</f>
        <v>1821</v>
      </c>
      <c r="G88" s="197" t="s">
        <v>1416</v>
      </c>
      <c r="H88" s="228">
        <f>SUMIFS('List of Ledgers '!N:N,'List of Ledgers '!$E:$E,Drs_Crs!$A$28,'List of Ledgers '!$B:$B,Drs_Crs!$A88)</f>
        <v>1821</v>
      </c>
      <c r="I88" s="228">
        <f>SUMIFS('List of Ledgers '!O:O,'List of Ledgers '!$E:$E,Drs_Crs!$A$28,'List of Ledgers '!$B:$B,Drs_Crs!$A88)</f>
        <v>0</v>
      </c>
      <c r="J88" s="228">
        <f>SUMIFS('List of Ledgers '!P:P,'List of Ledgers '!$E:$E,Drs_Crs!$A$28,'List of Ledgers '!$B:$B,Drs_Crs!$A88)</f>
        <v>0</v>
      </c>
      <c r="K88" s="228">
        <f>SUMIFS('List of Ledgers '!Q:Q,'List of Ledgers '!$E:$E,Drs_Crs!$A$28,'List of Ledgers '!$B:$B,Drs_Crs!$A88)</f>
        <v>1821</v>
      </c>
    </row>
    <row r="89" spans="1:11" ht="13.9" hidden="1" x14ac:dyDescent="0.25">
      <c r="A89" s="125" t="s">
        <v>679</v>
      </c>
      <c r="B89" s="102" t="str">
        <f>VLOOKUP(A89,'List of Ledgers '!B:G,6,0)</f>
        <v>Bluestreak</v>
      </c>
      <c r="C89" s="76">
        <f>SUMIFS('List of Ledgers '!I:I,'List of Ledgers '!$E:$E,Drs_Crs!$A$28,'List of Ledgers '!$B:$B,Drs_Crs!$A89)</f>
        <v>0</v>
      </c>
      <c r="D89" s="76">
        <f>SUMIFS('List of Ledgers '!J:J,'List of Ledgers '!$E:$E,Drs_Crs!$A$28,'List of Ledgers '!$B:$B,Drs_Crs!$A89)</f>
        <v>0</v>
      </c>
      <c r="E89" s="76">
        <f>SUMIFS('List of Ledgers '!K:K,'List of Ledgers '!$E:$E,Drs_Crs!$A$28,'List of Ledgers '!$B:$B,Drs_Crs!$A89)</f>
        <v>0</v>
      </c>
      <c r="F89" s="76">
        <f>SUMIFS('List of Ledgers '!L:L,'List of Ledgers '!$E:$E,Drs_Crs!$A$28,'List of Ledgers '!$B:$B,Drs_Crs!$A89)</f>
        <v>0</v>
      </c>
      <c r="H89" s="76">
        <f>SUMIFS('List of Ledgers '!N:N,'List of Ledgers '!$E:$E,Drs_Crs!$A$28,'List of Ledgers '!$B:$B,Drs_Crs!$A89)</f>
        <v>2503883</v>
      </c>
      <c r="I89" s="76">
        <f>SUMIFS('List of Ledgers '!O:O,'List of Ledgers '!$E:$E,Drs_Crs!$A$28,'List of Ledgers '!$B:$B,Drs_Crs!$A89)</f>
        <v>0</v>
      </c>
      <c r="J89" s="76">
        <f>SUMIFS('List of Ledgers '!P:P,'List of Ledgers '!$E:$E,Drs_Crs!$A$28,'List of Ledgers '!$B:$B,Drs_Crs!$A89)</f>
        <v>2503883</v>
      </c>
      <c r="K89" s="76">
        <f>SUMIFS('List of Ledgers '!Q:Q,'List of Ledgers '!$E:$E,Drs_Crs!$A$28,'List of Ledgers '!$B:$B,Drs_Crs!$A89)</f>
        <v>0</v>
      </c>
    </row>
    <row r="90" spans="1:11" ht="13.9" hidden="1" x14ac:dyDescent="0.25">
      <c r="A90" s="125" t="s">
        <v>681</v>
      </c>
      <c r="B90" s="102" t="str">
        <f>VLOOKUP(A90,'List of Ledgers '!B:G,6,0)</f>
        <v>Bluestreak</v>
      </c>
      <c r="C90" s="76">
        <f>SUMIFS('List of Ledgers '!I:I,'List of Ledgers '!$E:$E,Drs_Crs!$A$28,'List of Ledgers '!$B:$B,Drs_Crs!$A90)</f>
        <v>0</v>
      </c>
      <c r="D90" s="76">
        <f>SUMIFS('List of Ledgers '!J:J,'List of Ledgers '!$E:$E,Drs_Crs!$A$28,'List of Ledgers '!$B:$B,Drs_Crs!$A90)</f>
        <v>0</v>
      </c>
      <c r="E90" s="76">
        <f>SUMIFS('List of Ledgers '!K:K,'List of Ledgers '!$E:$E,Drs_Crs!$A$28,'List of Ledgers '!$B:$B,Drs_Crs!$A90)</f>
        <v>0</v>
      </c>
      <c r="F90" s="76">
        <f>SUMIFS('List of Ledgers '!L:L,'List of Ledgers '!$E:$E,Drs_Crs!$A$28,'List of Ledgers '!$B:$B,Drs_Crs!$A90)</f>
        <v>0</v>
      </c>
      <c r="H90" s="76">
        <f>SUMIFS('List of Ledgers '!N:N,'List of Ledgers '!$E:$E,Drs_Crs!$A$28,'List of Ledgers '!$B:$B,Drs_Crs!$A90)</f>
        <v>0</v>
      </c>
      <c r="I90" s="76">
        <f>SUMIFS('List of Ledgers '!O:O,'List of Ledgers '!$E:$E,Drs_Crs!$A$28,'List of Ledgers '!$B:$B,Drs_Crs!$A90)</f>
        <v>0</v>
      </c>
      <c r="J90" s="76">
        <f>SUMIFS('List of Ledgers '!P:P,'List of Ledgers '!$E:$E,Drs_Crs!$A$28,'List of Ledgers '!$B:$B,Drs_Crs!$A90)</f>
        <v>0</v>
      </c>
      <c r="K90" s="76">
        <f>SUMIFS('List of Ledgers '!Q:Q,'List of Ledgers '!$E:$E,Drs_Crs!$A$28,'List of Ledgers '!$B:$B,Drs_Crs!$A90)</f>
        <v>0</v>
      </c>
    </row>
    <row r="91" spans="1:11" ht="13.9" hidden="1" x14ac:dyDescent="0.25">
      <c r="A91" s="125" t="s">
        <v>690</v>
      </c>
      <c r="B91" s="102" t="str">
        <f>VLOOKUP(A91,'List of Ledgers '!B:G,6,0)</f>
        <v>Clarus</v>
      </c>
      <c r="C91" s="76">
        <f>SUMIFS('List of Ledgers '!I:I,'List of Ledgers '!$E:$E,Drs_Crs!$A$28,'List of Ledgers '!$B:$B,Drs_Crs!$A91)</f>
        <v>0</v>
      </c>
      <c r="D91" s="76">
        <f>SUMIFS('List of Ledgers '!J:J,'List of Ledgers '!$E:$E,Drs_Crs!$A$28,'List of Ledgers '!$B:$B,Drs_Crs!$A91)</f>
        <v>0</v>
      </c>
      <c r="E91" s="76">
        <f>SUMIFS('List of Ledgers '!K:K,'List of Ledgers '!$E:$E,Drs_Crs!$A$28,'List of Ledgers '!$B:$B,Drs_Crs!$A91)</f>
        <v>0</v>
      </c>
      <c r="F91" s="76">
        <f>SUMIFS('List of Ledgers '!L:L,'List of Ledgers '!$E:$E,Drs_Crs!$A$28,'List of Ledgers '!$B:$B,Drs_Crs!$A91)</f>
        <v>0</v>
      </c>
      <c r="H91" s="76">
        <f>SUMIFS('List of Ledgers '!N:N,'List of Ledgers '!$E:$E,Drs_Crs!$A$28,'List of Ledgers '!$B:$B,Drs_Crs!$A91)</f>
        <v>0</v>
      </c>
      <c r="I91" s="76">
        <f>SUMIFS('List of Ledgers '!O:O,'List of Ledgers '!$E:$E,Drs_Crs!$A$28,'List of Ledgers '!$B:$B,Drs_Crs!$A91)</f>
        <v>0</v>
      </c>
      <c r="J91" s="76">
        <f>SUMIFS('List of Ledgers '!P:P,'List of Ledgers '!$E:$E,Drs_Crs!$A$28,'List of Ledgers '!$B:$B,Drs_Crs!$A91)</f>
        <v>0</v>
      </c>
      <c r="K91" s="76">
        <f>SUMIFS('List of Ledgers '!Q:Q,'List of Ledgers '!$E:$E,Drs_Crs!$A$28,'List of Ledgers '!$B:$B,Drs_Crs!$A91)</f>
        <v>0</v>
      </c>
    </row>
    <row r="92" spans="1:11" ht="13.9" hidden="1" x14ac:dyDescent="0.25">
      <c r="A92" s="125" t="s">
        <v>696</v>
      </c>
      <c r="B92" s="102" t="str">
        <f>VLOOKUP(A92,'List of Ledgers '!B:G,6,0)</f>
        <v>Bluestreak</v>
      </c>
      <c r="C92" s="76">
        <f>SUMIFS('List of Ledgers '!I:I,'List of Ledgers '!$E:$E,Drs_Crs!$A$28,'List of Ledgers '!$B:$B,Drs_Crs!$A92)</f>
        <v>0</v>
      </c>
      <c r="D92" s="76">
        <f>SUMIFS('List of Ledgers '!J:J,'List of Ledgers '!$E:$E,Drs_Crs!$A$28,'List of Ledgers '!$B:$B,Drs_Crs!$A92)</f>
        <v>0</v>
      </c>
      <c r="E92" s="76">
        <f>SUMIFS('List of Ledgers '!K:K,'List of Ledgers '!$E:$E,Drs_Crs!$A$28,'List of Ledgers '!$B:$B,Drs_Crs!$A92)</f>
        <v>0</v>
      </c>
      <c r="F92" s="76">
        <f>SUMIFS('List of Ledgers '!L:L,'List of Ledgers '!$E:$E,Drs_Crs!$A$28,'List of Ledgers '!$B:$B,Drs_Crs!$A92)</f>
        <v>0</v>
      </c>
      <c r="H92" s="76">
        <f>SUMIFS('List of Ledgers '!N:N,'List of Ledgers '!$E:$E,Drs_Crs!$A$28,'List of Ledgers '!$B:$B,Drs_Crs!$A92)</f>
        <v>0</v>
      </c>
      <c r="I92" s="76">
        <f>SUMIFS('List of Ledgers '!O:O,'List of Ledgers '!$E:$E,Drs_Crs!$A$28,'List of Ledgers '!$B:$B,Drs_Crs!$A92)</f>
        <v>944</v>
      </c>
      <c r="J92" s="76">
        <f>SUMIFS('List of Ledgers '!P:P,'List of Ledgers '!$E:$E,Drs_Crs!$A$28,'List of Ledgers '!$B:$B,Drs_Crs!$A92)</f>
        <v>944</v>
      </c>
      <c r="K92" s="76">
        <f>SUMIFS('List of Ledgers '!Q:Q,'List of Ledgers '!$E:$E,Drs_Crs!$A$28,'List of Ledgers '!$B:$B,Drs_Crs!$A92)</f>
        <v>0</v>
      </c>
    </row>
    <row r="93" spans="1:11" ht="13.9" hidden="1" x14ac:dyDescent="0.25">
      <c r="A93" s="125" t="s">
        <v>697</v>
      </c>
      <c r="B93" s="102" t="str">
        <f>VLOOKUP(A93,'List of Ledgers '!B:G,6,0)</f>
        <v>Clarus</v>
      </c>
      <c r="C93" s="76">
        <f>SUMIFS('List of Ledgers '!I:I,'List of Ledgers '!$E:$E,Drs_Crs!$A$28,'List of Ledgers '!$B:$B,Drs_Crs!$A93)</f>
        <v>0</v>
      </c>
      <c r="D93" s="76">
        <f>SUMIFS('List of Ledgers '!J:J,'List of Ledgers '!$E:$E,Drs_Crs!$A$28,'List of Ledgers '!$B:$B,Drs_Crs!$A93)</f>
        <v>0</v>
      </c>
      <c r="E93" s="76">
        <f>SUMIFS('List of Ledgers '!K:K,'List of Ledgers '!$E:$E,Drs_Crs!$A$28,'List of Ledgers '!$B:$B,Drs_Crs!$A93)</f>
        <v>0</v>
      </c>
      <c r="F93" s="76">
        <f>SUMIFS('List of Ledgers '!L:L,'List of Ledgers '!$E:$E,Drs_Crs!$A$28,'List of Ledgers '!$B:$B,Drs_Crs!$A93)</f>
        <v>0</v>
      </c>
      <c r="H93" s="76">
        <f>SUMIFS('List of Ledgers '!N:N,'List of Ledgers '!$E:$E,Drs_Crs!$A$28,'List of Ledgers '!$B:$B,Drs_Crs!$A93)</f>
        <v>0</v>
      </c>
      <c r="I93" s="76">
        <f>SUMIFS('List of Ledgers '!O:O,'List of Ledgers '!$E:$E,Drs_Crs!$A$28,'List of Ledgers '!$B:$B,Drs_Crs!$A93)</f>
        <v>41570</v>
      </c>
      <c r="J93" s="76">
        <f>SUMIFS('List of Ledgers '!P:P,'List of Ledgers '!$E:$E,Drs_Crs!$A$28,'List of Ledgers '!$B:$B,Drs_Crs!$A93)</f>
        <v>41570</v>
      </c>
      <c r="K93" s="76">
        <f>SUMIFS('List of Ledgers '!Q:Q,'List of Ledgers '!$E:$E,Drs_Crs!$A$28,'List of Ledgers '!$B:$B,Drs_Crs!$A93)</f>
        <v>0</v>
      </c>
    </row>
    <row r="94" spans="1:11" ht="13.9" hidden="1" x14ac:dyDescent="0.25">
      <c r="A94" s="125" t="s">
        <v>698</v>
      </c>
      <c r="B94" s="102" t="str">
        <f>VLOOKUP(A94,'List of Ledgers '!B:G,6,0)</f>
        <v>Bluestreak</v>
      </c>
      <c r="C94" s="76">
        <f>SUMIFS('List of Ledgers '!I:I,'List of Ledgers '!$E:$E,Drs_Crs!$A$28,'List of Ledgers '!$B:$B,Drs_Crs!$A94)</f>
        <v>0</v>
      </c>
      <c r="D94" s="76">
        <f>SUMIFS('List of Ledgers '!J:J,'List of Ledgers '!$E:$E,Drs_Crs!$A$28,'List of Ledgers '!$B:$B,Drs_Crs!$A94)</f>
        <v>0</v>
      </c>
      <c r="E94" s="76">
        <f>SUMIFS('List of Ledgers '!K:K,'List of Ledgers '!$E:$E,Drs_Crs!$A$28,'List of Ledgers '!$B:$B,Drs_Crs!$A94)</f>
        <v>0</v>
      </c>
      <c r="F94" s="76">
        <f>SUMIFS('List of Ledgers '!L:L,'List of Ledgers '!$E:$E,Drs_Crs!$A$28,'List of Ledgers '!$B:$B,Drs_Crs!$A94)</f>
        <v>0</v>
      </c>
      <c r="H94" s="76">
        <f>SUMIFS('List of Ledgers '!N:N,'List of Ledgers '!$E:$E,Drs_Crs!$A$28,'List of Ledgers '!$B:$B,Drs_Crs!$A94)</f>
        <v>0</v>
      </c>
      <c r="I94" s="76">
        <f>SUMIFS('List of Ledgers '!O:O,'List of Ledgers '!$E:$E,Drs_Crs!$A$28,'List of Ledgers '!$B:$B,Drs_Crs!$A94)</f>
        <v>0</v>
      </c>
      <c r="J94" s="76">
        <f>SUMIFS('List of Ledgers '!P:P,'List of Ledgers '!$E:$E,Drs_Crs!$A$28,'List of Ledgers '!$B:$B,Drs_Crs!$A94)</f>
        <v>0</v>
      </c>
      <c r="K94" s="76">
        <f>SUMIFS('List of Ledgers '!Q:Q,'List of Ledgers '!$E:$E,Drs_Crs!$A$28,'List of Ledgers '!$B:$B,Drs_Crs!$A94)</f>
        <v>0</v>
      </c>
    </row>
    <row r="95" spans="1:11" s="193" customFormat="1" ht="13.9" hidden="1" x14ac:dyDescent="0.25">
      <c r="A95" s="226" t="s">
        <v>701</v>
      </c>
      <c r="B95" s="227" t="str">
        <f>VLOOKUP(A95,'List of Ledgers '!B:G,6,0)</f>
        <v>Bluestreak</v>
      </c>
      <c r="C95" s="228">
        <f>SUMIFS('List of Ledgers '!I:I,'List of Ledgers '!$E:$E,Drs_Crs!$A$28,'List of Ledgers '!$B:$B,Drs_Crs!$A95)</f>
        <v>17420</v>
      </c>
      <c r="D95" s="228">
        <f>SUMIFS('List of Ledgers '!J:J,'List of Ledgers '!$E:$E,Drs_Crs!$A$28,'List of Ledgers '!$B:$B,Drs_Crs!$A95)</f>
        <v>0</v>
      </c>
      <c r="E95" s="228">
        <f>SUMIFS('List of Ledgers '!K:K,'List of Ledgers '!$E:$E,Drs_Crs!$A$28,'List of Ledgers '!$B:$B,Drs_Crs!$A95)</f>
        <v>0</v>
      </c>
      <c r="F95" s="228">
        <f>SUMIFS('List of Ledgers '!L:L,'List of Ledgers '!$E:$E,Drs_Crs!$A$28,'List of Ledgers '!$B:$B,Drs_Crs!$A95)</f>
        <v>17420</v>
      </c>
      <c r="G95" s="197" t="s">
        <v>1416</v>
      </c>
      <c r="H95" s="228">
        <f>SUMIFS('List of Ledgers '!N:N,'List of Ledgers '!$E:$E,Drs_Crs!$A$28,'List of Ledgers '!$B:$B,Drs_Crs!$A95)</f>
        <v>17420</v>
      </c>
      <c r="I95" s="228">
        <f>SUMIFS('List of Ledgers '!O:O,'List of Ledgers '!$E:$E,Drs_Crs!$A$28,'List of Ledgers '!$B:$B,Drs_Crs!$A95)</f>
        <v>0</v>
      </c>
      <c r="J95" s="228">
        <f>SUMIFS('List of Ledgers '!P:P,'List of Ledgers '!$E:$E,Drs_Crs!$A$28,'List of Ledgers '!$B:$B,Drs_Crs!$A95)</f>
        <v>0</v>
      </c>
      <c r="K95" s="228">
        <f>SUMIFS('List of Ledgers '!Q:Q,'List of Ledgers '!$E:$E,Drs_Crs!$A$28,'List of Ledgers '!$B:$B,Drs_Crs!$A95)</f>
        <v>17420</v>
      </c>
    </row>
    <row r="96" spans="1:11" ht="13.9" hidden="1" x14ac:dyDescent="0.25">
      <c r="A96" s="125" t="s">
        <v>703</v>
      </c>
      <c r="B96" s="102" t="str">
        <f>VLOOKUP(A96,'List of Ledgers '!B:G,6,0)</f>
        <v>Bluestreak</v>
      </c>
      <c r="C96" s="76">
        <f>SUMIFS('List of Ledgers '!I:I,'List of Ledgers '!$E:$E,Drs_Crs!$A$28,'List of Ledgers '!$B:$B,Drs_Crs!$A96)</f>
        <v>0</v>
      </c>
      <c r="D96" s="76">
        <f>SUMIFS('List of Ledgers '!J:J,'List of Ledgers '!$E:$E,Drs_Crs!$A$28,'List of Ledgers '!$B:$B,Drs_Crs!$A96)</f>
        <v>0</v>
      </c>
      <c r="E96" s="76">
        <f>SUMIFS('List of Ledgers '!K:K,'List of Ledgers '!$E:$E,Drs_Crs!$A$28,'List of Ledgers '!$B:$B,Drs_Crs!$A96)</f>
        <v>0</v>
      </c>
      <c r="F96" s="76">
        <f>SUMIFS('List of Ledgers '!L:L,'List of Ledgers '!$E:$E,Drs_Crs!$A$28,'List of Ledgers '!$B:$B,Drs_Crs!$A96)</f>
        <v>0</v>
      </c>
      <c r="H96" s="76">
        <f>SUMIFS('List of Ledgers '!N:N,'List of Ledgers '!$E:$E,Drs_Crs!$A$28,'List of Ledgers '!$B:$B,Drs_Crs!$A96)</f>
        <v>2063019</v>
      </c>
      <c r="I96" s="76">
        <f>SUMIFS('List of Ledgers '!O:O,'List of Ledgers '!$E:$E,Drs_Crs!$A$28,'List of Ledgers '!$B:$B,Drs_Crs!$A96)</f>
        <v>1172948</v>
      </c>
      <c r="J96" s="76">
        <f>SUMIFS('List of Ledgers '!P:P,'List of Ledgers '!$E:$E,Drs_Crs!$A$28,'List of Ledgers '!$B:$B,Drs_Crs!$A96)</f>
        <v>3235967</v>
      </c>
      <c r="K96" s="76">
        <f>SUMIFS('List of Ledgers '!Q:Q,'List of Ledgers '!$E:$E,Drs_Crs!$A$28,'List of Ledgers '!$B:$B,Drs_Crs!$A96)</f>
        <v>0</v>
      </c>
    </row>
    <row r="97" spans="1:11" ht="13.9" hidden="1" x14ac:dyDescent="0.25">
      <c r="A97" s="125" t="s">
        <v>709</v>
      </c>
      <c r="B97" s="102" t="str">
        <f>VLOOKUP(A97,'List of Ledgers '!B:G,6,0)</f>
        <v>Bluestreak</v>
      </c>
      <c r="C97" s="76">
        <f>SUMIFS('List of Ledgers '!I:I,'List of Ledgers '!$E:$E,Drs_Crs!$A$28,'List of Ledgers '!$B:$B,Drs_Crs!$A97)</f>
        <v>0</v>
      </c>
      <c r="D97" s="76">
        <f>SUMIFS('List of Ledgers '!J:J,'List of Ledgers '!$E:$E,Drs_Crs!$A$28,'List of Ledgers '!$B:$B,Drs_Crs!$A97)</f>
        <v>0</v>
      </c>
      <c r="E97" s="76">
        <f>SUMIFS('List of Ledgers '!K:K,'List of Ledgers '!$E:$E,Drs_Crs!$A$28,'List of Ledgers '!$B:$B,Drs_Crs!$A97)</f>
        <v>0</v>
      </c>
      <c r="F97" s="76">
        <f>SUMIFS('List of Ledgers '!L:L,'List of Ledgers '!$E:$E,Drs_Crs!$A$28,'List of Ledgers '!$B:$B,Drs_Crs!$A97)</f>
        <v>0</v>
      </c>
      <c r="H97" s="76">
        <f>SUMIFS('List of Ledgers '!N:N,'List of Ledgers '!$E:$E,Drs_Crs!$A$28,'List of Ledgers '!$B:$B,Drs_Crs!$A97)</f>
        <v>0</v>
      </c>
      <c r="I97" s="76">
        <f>SUMIFS('List of Ledgers '!O:O,'List of Ledgers '!$E:$E,Drs_Crs!$A$28,'List of Ledgers '!$B:$B,Drs_Crs!$A97)</f>
        <v>0</v>
      </c>
      <c r="J97" s="76">
        <f>SUMIFS('List of Ledgers '!P:P,'List of Ledgers '!$E:$E,Drs_Crs!$A$28,'List of Ledgers '!$B:$B,Drs_Crs!$A97)</f>
        <v>0</v>
      </c>
      <c r="K97" s="76">
        <f>SUMIFS('List of Ledgers '!Q:Q,'List of Ledgers '!$E:$E,Drs_Crs!$A$28,'List of Ledgers '!$B:$B,Drs_Crs!$A97)</f>
        <v>0</v>
      </c>
    </row>
    <row r="98" spans="1:11" s="193" customFormat="1" ht="13.9" hidden="1" x14ac:dyDescent="0.25">
      <c r="A98" s="226" t="s">
        <v>675</v>
      </c>
      <c r="B98" s="227" t="str">
        <f>VLOOKUP(A98,'List of Ledgers '!B:G,6,0)</f>
        <v>Clarus</v>
      </c>
      <c r="C98" s="228">
        <f>SUMIFS('List of Ledgers '!I:I,'List of Ledgers '!$E:$E,Drs_Crs!$A$28,'List of Ledgers '!$B:$B,Drs_Crs!$A98)</f>
        <v>999.87</v>
      </c>
      <c r="D98" s="228">
        <f>SUMIFS('List of Ledgers '!J:J,'List of Ledgers '!$E:$E,Drs_Crs!$A$28,'List of Ledgers '!$B:$B,Drs_Crs!$A98)</f>
        <v>0</v>
      </c>
      <c r="E98" s="228">
        <f>SUMIFS('List of Ledgers '!K:K,'List of Ledgers '!$E:$E,Drs_Crs!$A$28,'List of Ledgers '!$B:$B,Drs_Crs!$A98)</f>
        <v>0</v>
      </c>
      <c r="F98" s="228">
        <f>SUMIFS('List of Ledgers '!L:L,'List of Ledgers '!$E:$E,Drs_Crs!$A$28,'List of Ledgers '!$B:$B,Drs_Crs!$A98)</f>
        <v>999.87</v>
      </c>
      <c r="G98" s="197" t="s">
        <v>1416</v>
      </c>
      <c r="H98" s="228">
        <f>SUMIFS('List of Ledgers '!N:N,'List of Ledgers '!$E:$E,Drs_Crs!$A$28,'List of Ledgers '!$B:$B,Drs_Crs!$A98)</f>
        <v>999.87</v>
      </c>
      <c r="I98" s="228">
        <f>SUMIFS('List of Ledgers '!O:O,'List of Ledgers '!$E:$E,Drs_Crs!$A$28,'List of Ledgers '!$B:$B,Drs_Crs!$A98)</f>
        <v>49711</v>
      </c>
      <c r="J98" s="228">
        <f>SUMIFS('List of Ledgers '!P:P,'List of Ledgers '!$E:$E,Drs_Crs!$A$28,'List of Ledgers '!$B:$B,Drs_Crs!$A98)</f>
        <v>49711</v>
      </c>
      <c r="K98" s="228">
        <f>SUMIFS('List of Ledgers '!Q:Q,'List of Ledgers '!$E:$E,Drs_Crs!$A$28,'List of Ledgers '!$B:$B,Drs_Crs!$A98)</f>
        <v>999.87</v>
      </c>
    </row>
    <row r="99" spans="1:11" ht="13.9" hidden="1" x14ac:dyDescent="0.25">
      <c r="A99" s="125" t="s">
        <v>742</v>
      </c>
      <c r="B99" s="102" t="str">
        <f>VLOOKUP(A99,'List of Ledgers '!B:G,6,0)</f>
        <v>Bluestreak</v>
      </c>
      <c r="C99" s="76">
        <f>SUMIFS('List of Ledgers '!I:I,'List of Ledgers '!$E:$E,Drs_Crs!$A$28,'List of Ledgers '!$B:$B,Drs_Crs!$A99)</f>
        <v>0</v>
      </c>
      <c r="D99" s="76">
        <f>SUMIFS('List of Ledgers '!J:J,'List of Ledgers '!$E:$E,Drs_Crs!$A$28,'List of Ledgers '!$B:$B,Drs_Crs!$A99)</f>
        <v>0</v>
      </c>
      <c r="E99" s="76">
        <f>SUMIFS('List of Ledgers '!K:K,'List of Ledgers '!$E:$E,Drs_Crs!$A$28,'List of Ledgers '!$B:$B,Drs_Crs!$A99)</f>
        <v>0</v>
      </c>
      <c r="F99" s="76">
        <f>SUMIFS('List of Ledgers '!L:L,'List of Ledgers '!$E:$E,Drs_Crs!$A$28,'List of Ledgers '!$B:$B,Drs_Crs!$A99)</f>
        <v>0</v>
      </c>
      <c r="H99" s="76">
        <f>SUMIFS('List of Ledgers '!N:N,'List of Ledgers '!$E:$E,Drs_Crs!$A$28,'List of Ledgers '!$B:$B,Drs_Crs!$A99)</f>
        <v>0</v>
      </c>
      <c r="I99" s="76">
        <f>SUMIFS('List of Ledgers '!O:O,'List of Ledgers '!$E:$E,Drs_Crs!$A$28,'List of Ledgers '!$B:$B,Drs_Crs!$A99)</f>
        <v>24308</v>
      </c>
      <c r="J99" s="76">
        <f>SUMIFS('List of Ledgers '!P:P,'List of Ledgers '!$E:$E,Drs_Crs!$A$28,'List of Ledgers '!$B:$B,Drs_Crs!$A99)</f>
        <v>24308</v>
      </c>
      <c r="K99" s="76">
        <f>SUMIFS('List of Ledgers '!Q:Q,'List of Ledgers '!$E:$E,Drs_Crs!$A$28,'List of Ledgers '!$B:$B,Drs_Crs!$A99)</f>
        <v>0</v>
      </c>
    </row>
    <row r="100" spans="1:11" ht="13.9" hidden="1" x14ac:dyDescent="0.25">
      <c r="A100" s="125" t="s">
        <v>743</v>
      </c>
      <c r="B100" s="102" t="str">
        <f>VLOOKUP(A100,'List of Ledgers '!B:G,6,0)</f>
        <v>Bluestreak</v>
      </c>
      <c r="C100" s="76">
        <f>SUMIFS('List of Ledgers '!I:I,'List of Ledgers '!$E:$E,Drs_Crs!$A$28,'List of Ledgers '!$B:$B,Drs_Crs!$A100)</f>
        <v>0</v>
      </c>
      <c r="D100" s="76">
        <f>SUMIFS('List of Ledgers '!J:J,'List of Ledgers '!$E:$E,Drs_Crs!$A$28,'List of Ledgers '!$B:$B,Drs_Crs!$A100)</f>
        <v>0</v>
      </c>
      <c r="E100" s="76">
        <f>SUMIFS('List of Ledgers '!K:K,'List of Ledgers '!$E:$E,Drs_Crs!$A$28,'List of Ledgers '!$B:$B,Drs_Crs!$A100)</f>
        <v>0</v>
      </c>
      <c r="F100" s="76">
        <f>SUMIFS('List of Ledgers '!L:L,'List of Ledgers '!$E:$E,Drs_Crs!$A$28,'List of Ledgers '!$B:$B,Drs_Crs!$A100)</f>
        <v>0</v>
      </c>
      <c r="H100" s="76">
        <f>SUMIFS('List of Ledgers '!N:N,'List of Ledgers '!$E:$E,Drs_Crs!$A$28,'List of Ledgers '!$B:$B,Drs_Crs!$A100)</f>
        <v>0</v>
      </c>
      <c r="I100" s="76">
        <f>SUMIFS('List of Ledgers '!O:O,'List of Ledgers '!$E:$E,Drs_Crs!$A$28,'List of Ledgers '!$B:$B,Drs_Crs!$A100)</f>
        <v>0</v>
      </c>
      <c r="J100" s="76">
        <f>SUMIFS('List of Ledgers '!P:P,'List of Ledgers '!$E:$E,Drs_Crs!$A$28,'List of Ledgers '!$B:$B,Drs_Crs!$A100)</f>
        <v>0</v>
      </c>
      <c r="K100" s="76">
        <f>SUMIFS('List of Ledgers '!Q:Q,'List of Ledgers '!$E:$E,Drs_Crs!$A$28,'List of Ledgers '!$B:$B,Drs_Crs!$A100)</f>
        <v>0</v>
      </c>
    </row>
    <row r="101" spans="1:11" ht="13.9" hidden="1" x14ac:dyDescent="0.25">
      <c r="A101" s="125" t="s">
        <v>759</v>
      </c>
      <c r="B101" s="102" t="str">
        <f>VLOOKUP(A101,'List of Ledgers '!B:G,6,0)</f>
        <v>Bluestreak</v>
      </c>
      <c r="C101" s="76">
        <f>SUMIFS('List of Ledgers '!I:I,'List of Ledgers '!$E:$E,Drs_Crs!$A$28,'List of Ledgers '!$B:$B,Drs_Crs!$A101)</f>
        <v>0</v>
      </c>
      <c r="D101" s="76">
        <f>SUMIFS('List of Ledgers '!J:J,'List of Ledgers '!$E:$E,Drs_Crs!$A$28,'List of Ledgers '!$B:$B,Drs_Crs!$A101)</f>
        <v>0</v>
      </c>
      <c r="E101" s="76">
        <f>SUMIFS('List of Ledgers '!K:K,'List of Ledgers '!$E:$E,Drs_Crs!$A$28,'List of Ledgers '!$B:$B,Drs_Crs!$A101)</f>
        <v>0</v>
      </c>
      <c r="F101" s="76">
        <f>SUMIFS('List of Ledgers '!L:L,'List of Ledgers '!$E:$E,Drs_Crs!$A$28,'List of Ledgers '!$B:$B,Drs_Crs!$A101)</f>
        <v>0</v>
      </c>
      <c r="H101" s="76">
        <f>SUMIFS('List of Ledgers '!N:N,'List of Ledgers '!$E:$E,Drs_Crs!$A$28,'List of Ledgers '!$B:$B,Drs_Crs!$A101)</f>
        <v>0</v>
      </c>
      <c r="I101" s="76">
        <f>SUMIFS('List of Ledgers '!O:O,'List of Ledgers '!$E:$E,Drs_Crs!$A$28,'List of Ledgers '!$B:$B,Drs_Crs!$A101)</f>
        <v>5989997</v>
      </c>
      <c r="J101" s="76">
        <f>SUMIFS('List of Ledgers '!P:P,'List of Ledgers '!$E:$E,Drs_Crs!$A$28,'List of Ledgers '!$B:$B,Drs_Crs!$A101)</f>
        <v>5989997</v>
      </c>
      <c r="K101" s="76">
        <f>SUMIFS('List of Ledgers '!Q:Q,'List of Ledgers '!$E:$E,Drs_Crs!$A$28,'List of Ledgers '!$B:$B,Drs_Crs!$A101)</f>
        <v>0</v>
      </c>
    </row>
    <row r="102" spans="1:11" s="193" customFormat="1" ht="13.9" hidden="1" x14ac:dyDescent="0.25">
      <c r="A102" s="226" t="s">
        <v>761</v>
      </c>
      <c r="B102" s="227" t="str">
        <f>VLOOKUP(A102,'List of Ledgers '!B:G,6,0)</f>
        <v>Bluestreak</v>
      </c>
      <c r="C102" s="228">
        <f>SUMIFS('List of Ledgers '!I:I,'List of Ledgers '!$E:$E,Drs_Crs!$A$28,'List of Ledgers '!$B:$B,Drs_Crs!$A102)</f>
        <v>51094</v>
      </c>
      <c r="D102" s="228">
        <f>SUMIFS('List of Ledgers '!J:J,'List of Ledgers '!$E:$E,Drs_Crs!$A$28,'List of Ledgers '!$B:$B,Drs_Crs!$A102)</f>
        <v>0</v>
      </c>
      <c r="E102" s="228">
        <f>SUMIFS('List of Ledgers '!K:K,'List of Ledgers '!$E:$E,Drs_Crs!$A$28,'List of Ledgers '!$B:$B,Drs_Crs!$A102)</f>
        <v>0</v>
      </c>
      <c r="F102" s="228">
        <f>SUMIFS('List of Ledgers '!L:L,'List of Ledgers '!$E:$E,Drs_Crs!$A$28,'List of Ledgers '!$B:$B,Drs_Crs!$A102)</f>
        <v>51094</v>
      </c>
      <c r="G102" s="197" t="s">
        <v>1416</v>
      </c>
      <c r="H102" s="228">
        <f>SUMIFS('List of Ledgers '!N:N,'List of Ledgers '!$E:$E,Drs_Crs!$A$28,'List of Ledgers '!$B:$B,Drs_Crs!$A102)</f>
        <v>51094</v>
      </c>
      <c r="I102" s="228">
        <f>SUMIFS('List of Ledgers '!O:O,'List of Ledgers '!$E:$E,Drs_Crs!$A$28,'List of Ledgers '!$B:$B,Drs_Crs!$A102)</f>
        <v>0</v>
      </c>
      <c r="J102" s="228">
        <f>SUMIFS('List of Ledgers '!P:P,'List of Ledgers '!$E:$E,Drs_Crs!$A$28,'List of Ledgers '!$B:$B,Drs_Crs!$A102)</f>
        <v>0</v>
      </c>
      <c r="K102" s="228">
        <f>SUMIFS('List of Ledgers '!Q:Q,'List of Ledgers '!$E:$E,Drs_Crs!$A$28,'List of Ledgers '!$B:$B,Drs_Crs!$A102)</f>
        <v>51094</v>
      </c>
    </row>
    <row r="103" spans="1:11" ht="13.9" hidden="1" x14ac:dyDescent="0.25">
      <c r="A103" s="125" t="s">
        <v>737</v>
      </c>
      <c r="B103" s="102" t="str">
        <f>VLOOKUP(A103,'List of Ledgers '!B:G,6,0)</f>
        <v>Clarus</v>
      </c>
      <c r="C103" s="76">
        <f>SUMIFS('List of Ledgers '!I:I,'List of Ledgers '!$E:$E,Drs_Crs!$A$28,'List of Ledgers '!$B:$B,Drs_Crs!$A103)</f>
        <v>0</v>
      </c>
      <c r="D103" s="76">
        <f>SUMIFS('List of Ledgers '!J:J,'List of Ledgers '!$E:$E,Drs_Crs!$A$28,'List of Ledgers '!$B:$B,Drs_Crs!$A103)</f>
        <v>0</v>
      </c>
      <c r="E103" s="76">
        <f>SUMIFS('List of Ledgers '!K:K,'List of Ledgers '!$E:$E,Drs_Crs!$A$28,'List of Ledgers '!$B:$B,Drs_Crs!$A103)</f>
        <v>0</v>
      </c>
      <c r="F103" s="76">
        <f>SUMIFS('List of Ledgers '!L:L,'List of Ledgers '!$E:$E,Drs_Crs!$A$28,'List of Ledgers '!$B:$B,Drs_Crs!$A103)</f>
        <v>0</v>
      </c>
      <c r="H103" s="76">
        <f>SUMIFS('List of Ledgers '!N:N,'List of Ledgers '!$E:$E,Drs_Crs!$A$28,'List of Ledgers '!$B:$B,Drs_Crs!$A103)</f>
        <v>0</v>
      </c>
      <c r="I103" s="76">
        <f>SUMIFS('List of Ledgers '!O:O,'List of Ledgers '!$E:$E,Drs_Crs!$A$28,'List of Ledgers '!$B:$B,Drs_Crs!$A103)</f>
        <v>0</v>
      </c>
      <c r="J103" s="76">
        <f>SUMIFS('List of Ledgers '!P:P,'List of Ledgers '!$E:$E,Drs_Crs!$A$28,'List of Ledgers '!$B:$B,Drs_Crs!$A103)</f>
        <v>0</v>
      </c>
      <c r="K103" s="76">
        <f>SUMIFS('List of Ledgers '!Q:Q,'List of Ledgers '!$E:$E,Drs_Crs!$A$28,'List of Ledgers '!$B:$B,Drs_Crs!$A103)</f>
        <v>0</v>
      </c>
    </row>
    <row r="104" spans="1:11" ht="13.9" hidden="1" x14ac:dyDescent="0.25">
      <c r="A104" s="125" t="s">
        <v>772</v>
      </c>
      <c r="B104" s="102" t="str">
        <f>VLOOKUP(A104,'List of Ledgers '!B:G,6,0)</f>
        <v>Bluestreak</v>
      </c>
      <c r="C104" s="76">
        <f>SUMIFS('List of Ledgers '!I:I,'List of Ledgers '!$E:$E,Drs_Crs!$A$28,'List of Ledgers '!$B:$B,Drs_Crs!$A104)</f>
        <v>0</v>
      </c>
      <c r="D104" s="76">
        <f>SUMIFS('List of Ledgers '!J:J,'List of Ledgers '!$E:$E,Drs_Crs!$A$28,'List of Ledgers '!$B:$B,Drs_Crs!$A104)</f>
        <v>0</v>
      </c>
      <c r="E104" s="76">
        <f>SUMIFS('List of Ledgers '!K:K,'List of Ledgers '!$E:$E,Drs_Crs!$A$28,'List of Ledgers '!$B:$B,Drs_Crs!$A104)</f>
        <v>0</v>
      </c>
      <c r="F104" s="76">
        <f>SUMIFS('List of Ledgers '!L:L,'List of Ledgers '!$E:$E,Drs_Crs!$A$28,'List of Ledgers '!$B:$B,Drs_Crs!$A104)</f>
        <v>0</v>
      </c>
      <c r="H104" s="76">
        <f>SUMIFS('List of Ledgers '!N:N,'List of Ledgers '!$E:$E,Drs_Crs!$A$28,'List of Ledgers '!$B:$B,Drs_Crs!$A104)</f>
        <v>-3029.36</v>
      </c>
      <c r="I104" s="76">
        <f>SUMIFS('List of Ledgers '!O:O,'List of Ledgers '!$E:$E,Drs_Crs!$A$28,'List of Ledgers '!$B:$B,Drs_Crs!$A104)</f>
        <v>60133</v>
      </c>
      <c r="J104" s="76">
        <f>SUMIFS('List of Ledgers '!P:P,'List of Ledgers '!$E:$E,Drs_Crs!$A$28,'List of Ledgers '!$B:$B,Drs_Crs!$A104)</f>
        <v>57103.64</v>
      </c>
      <c r="K104" s="76">
        <f>SUMIFS('List of Ledgers '!Q:Q,'List of Ledgers '!$E:$E,Drs_Crs!$A$28,'List of Ledgers '!$B:$B,Drs_Crs!$A104)</f>
        <v>0</v>
      </c>
    </row>
    <row r="105" spans="1:11" ht="13.9" hidden="1" x14ac:dyDescent="0.25">
      <c r="A105" s="125" t="s">
        <v>782</v>
      </c>
      <c r="B105" s="102" t="str">
        <f>VLOOKUP(A105,'List of Ledgers '!B:G,6,0)</f>
        <v>Clarus</v>
      </c>
      <c r="C105" s="76">
        <f>SUMIFS('List of Ledgers '!I:I,'List of Ledgers '!$E:$E,Drs_Crs!$A$28,'List of Ledgers '!$B:$B,Drs_Crs!$A105)</f>
        <v>0</v>
      </c>
      <c r="D105" s="76">
        <f>SUMIFS('List of Ledgers '!J:J,'List of Ledgers '!$E:$E,Drs_Crs!$A$28,'List of Ledgers '!$B:$B,Drs_Crs!$A105)</f>
        <v>0</v>
      </c>
      <c r="E105" s="76">
        <f>SUMIFS('List of Ledgers '!K:K,'List of Ledgers '!$E:$E,Drs_Crs!$A$28,'List of Ledgers '!$B:$B,Drs_Crs!$A105)</f>
        <v>0</v>
      </c>
      <c r="F105" s="76">
        <f>SUMIFS('List of Ledgers '!L:L,'List of Ledgers '!$E:$E,Drs_Crs!$A$28,'List of Ledgers '!$B:$B,Drs_Crs!$A105)</f>
        <v>0</v>
      </c>
      <c r="H105" s="76">
        <f>SUMIFS('List of Ledgers '!N:N,'List of Ledgers '!$E:$E,Drs_Crs!$A$28,'List of Ledgers '!$B:$B,Drs_Crs!$A105)</f>
        <v>0</v>
      </c>
      <c r="I105" s="76">
        <f>SUMIFS('List of Ledgers '!O:O,'List of Ledgers '!$E:$E,Drs_Crs!$A$28,'List of Ledgers '!$B:$B,Drs_Crs!$A105)</f>
        <v>0</v>
      </c>
      <c r="J105" s="76">
        <f>SUMIFS('List of Ledgers '!P:P,'List of Ledgers '!$E:$E,Drs_Crs!$A$28,'List of Ledgers '!$B:$B,Drs_Crs!$A105)</f>
        <v>0</v>
      </c>
      <c r="K105" s="76">
        <f>SUMIFS('List of Ledgers '!Q:Q,'List of Ledgers '!$E:$E,Drs_Crs!$A$28,'List of Ledgers '!$B:$B,Drs_Crs!$A105)</f>
        <v>0</v>
      </c>
    </row>
    <row r="106" spans="1:11" s="193" customFormat="1" ht="13.9" hidden="1" x14ac:dyDescent="0.25">
      <c r="A106" s="226" t="s">
        <v>784</v>
      </c>
      <c r="B106" s="227" t="str">
        <f>VLOOKUP(A106,'List of Ledgers '!B:G,6,0)</f>
        <v>Clarus</v>
      </c>
      <c r="C106" s="228">
        <f>SUMIFS('List of Ledgers '!I:I,'List of Ledgers '!$E:$E,Drs_Crs!$A$28,'List of Ledgers '!$B:$B,Drs_Crs!$A106)</f>
        <v>-2360</v>
      </c>
      <c r="D106" s="228">
        <f>SUMIFS('List of Ledgers '!J:J,'List of Ledgers '!$E:$E,Drs_Crs!$A$28,'List of Ledgers '!$B:$B,Drs_Crs!$A106)</f>
        <v>0</v>
      </c>
      <c r="E106" s="228">
        <f>SUMIFS('List of Ledgers '!K:K,'List of Ledgers '!$E:$E,Drs_Crs!$A$28,'List of Ledgers '!$B:$B,Drs_Crs!$A106)</f>
        <v>0</v>
      </c>
      <c r="F106" s="228">
        <f>SUMIFS('List of Ledgers '!L:L,'List of Ledgers '!$E:$E,Drs_Crs!$A$28,'List of Ledgers '!$B:$B,Drs_Crs!$A106)</f>
        <v>-2360</v>
      </c>
      <c r="G106" s="197"/>
      <c r="H106" s="228">
        <f>SUMIFS('List of Ledgers '!N:N,'List of Ledgers '!$E:$E,Drs_Crs!$A$28,'List of Ledgers '!$B:$B,Drs_Crs!$A106)</f>
        <v>-2360</v>
      </c>
      <c r="I106" s="228">
        <f>SUMIFS('List of Ledgers '!O:O,'List of Ledgers '!$E:$E,Drs_Crs!$A$28,'List of Ledgers '!$B:$B,Drs_Crs!$A106)</f>
        <v>944</v>
      </c>
      <c r="J106" s="228">
        <f>SUMIFS('List of Ledgers '!P:P,'List of Ledgers '!$E:$E,Drs_Crs!$A$28,'List of Ledgers '!$B:$B,Drs_Crs!$A106)</f>
        <v>944</v>
      </c>
      <c r="K106" s="228">
        <f>SUMIFS('List of Ledgers '!Q:Q,'List of Ledgers '!$E:$E,Drs_Crs!$A$28,'List of Ledgers '!$B:$B,Drs_Crs!$A106)</f>
        <v>-2360</v>
      </c>
    </row>
    <row r="107" spans="1:11" s="193" customFormat="1" ht="13.9" hidden="1" x14ac:dyDescent="0.25">
      <c r="A107" s="226" t="s">
        <v>785</v>
      </c>
      <c r="B107" s="227" t="str">
        <f>VLOOKUP(A107,'List of Ledgers '!B:G,6,0)</f>
        <v>Bluestreak</v>
      </c>
      <c r="C107" s="228">
        <f>SUMIFS('List of Ledgers '!I:I,'List of Ledgers '!$E:$E,Drs_Crs!$A$28,'List of Ledgers '!$B:$B,Drs_Crs!$A107)</f>
        <v>31996</v>
      </c>
      <c r="D107" s="228">
        <f>SUMIFS('List of Ledgers '!J:J,'List of Ledgers '!$E:$E,Drs_Crs!$A$28,'List of Ledgers '!$B:$B,Drs_Crs!$A107)</f>
        <v>0</v>
      </c>
      <c r="E107" s="228">
        <f>SUMIFS('List of Ledgers '!K:K,'List of Ledgers '!$E:$E,Drs_Crs!$A$28,'List of Ledgers '!$B:$B,Drs_Crs!$A107)</f>
        <v>0</v>
      </c>
      <c r="F107" s="228">
        <f>SUMIFS('List of Ledgers '!L:L,'List of Ledgers '!$E:$E,Drs_Crs!$A$28,'List of Ledgers '!$B:$B,Drs_Crs!$A107)</f>
        <v>31996</v>
      </c>
      <c r="G107" s="197" t="s">
        <v>1416</v>
      </c>
      <c r="H107" s="228">
        <f>SUMIFS('List of Ledgers '!N:N,'List of Ledgers '!$E:$E,Drs_Crs!$A$28,'List of Ledgers '!$B:$B,Drs_Crs!$A107)</f>
        <v>31996</v>
      </c>
      <c r="I107" s="228">
        <f>SUMIFS('List of Ledgers '!O:O,'List of Ledgers '!$E:$E,Drs_Crs!$A$28,'List of Ledgers '!$B:$B,Drs_Crs!$A107)</f>
        <v>0</v>
      </c>
      <c r="J107" s="228">
        <f>SUMIFS('List of Ledgers '!P:P,'List of Ledgers '!$E:$E,Drs_Crs!$A$28,'List of Ledgers '!$B:$B,Drs_Crs!$A107)</f>
        <v>0</v>
      </c>
      <c r="K107" s="228">
        <f>SUMIFS('List of Ledgers '!Q:Q,'List of Ledgers '!$E:$E,Drs_Crs!$A$28,'List of Ledgers '!$B:$B,Drs_Crs!$A107)</f>
        <v>31996</v>
      </c>
    </row>
    <row r="108" spans="1:11" ht="13.9" hidden="1" x14ac:dyDescent="0.25">
      <c r="A108" s="125" t="s">
        <v>767</v>
      </c>
      <c r="B108" s="102" t="str">
        <f>VLOOKUP(A108,'List of Ledgers '!B:G,6,0)</f>
        <v>Bluestreak</v>
      </c>
      <c r="C108" s="76">
        <f>SUMIFS('List of Ledgers '!I:I,'List of Ledgers '!$E:$E,Drs_Crs!$A$28,'List of Ledgers '!$B:$B,Drs_Crs!$A108)</f>
        <v>0</v>
      </c>
      <c r="D108" s="76">
        <f>SUMIFS('List of Ledgers '!J:J,'List of Ledgers '!$E:$E,Drs_Crs!$A$28,'List of Ledgers '!$B:$B,Drs_Crs!$A108)</f>
        <v>0</v>
      </c>
      <c r="E108" s="76">
        <f>SUMIFS('List of Ledgers '!K:K,'List of Ledgers '!$E:$E,Drs_Crs!$A$28,'List of Ledgers '!$B:$B,Drs_Crs!$A108)</f>
        <v>0</v>
      </c>
      <c r="F108" s="76">
        <f>SUMIFS('List of Ledgers '!L:L,'List of Ledgers '!$E:$E,Drs_Crs!$A$28,'List of Ledgers '!$B:$B,Drs_Crs!$A108)</f>
        <v>0</v>
      </c>
      <c r="H108" s="76">
        <f>SUMIFS('List of Ledgers '!N:N,'List of Ledgers '!$E:$E,Drs_Crs!$A$28,'List of Ledgers '!$B:$B,Drs_Crs!$A108)</f>
        <v>0</v>
      </c>
      <c r="I108" s="76">
        <f>SUMIFS('List of Ledgers '!O:O,'List of Ledgers '!$E:$E,Drs_Crs!$A$28,'List of Ledgers '!$B:$B,Drs_Crs!$A108)</f>
        <v>0</v>
      </c>
      <c r="J108" s="76">
        <f>SUMIFS('List of Ledgers '!P:P,'List of Ledgers '!$E:$E,Drs_Crs!$A$28,'List of Ledgers '!$B:$B,Drs_Crs!$A108)</f>
        <v>0</v>
      </c>
      <c r="K108" s="76">
        <f>SUMIFS('List of Ledgers '!Q:Q,'List of Ledgers '!$E:$E,Drs_Crs!$A$28,'List of Ledgers '!$B:$B,Drs_Crs!$A108)</f>
        <v>0</v>
      </c>
    </row>
    <row r="109" spans="1:11" ht="13.9" hidden="1" x14ac:dyDescent="0.25">
      <c r="A109" s="125" t="s">
        <v>792</v>
      </c>
      <c r="B109" s="102" t="str">
        <f>VLOOKUP(A109,'List of Ledgers '!B:G,6,0)</f>
        <v>Clarus</v>
      </c>
      <c r="C109" s="76">
        <f>SUMIFS('List of Ledgers '!I:I,'List of Ledgers '!$E:$E,Drs_Crs!$A$28,'List of Ledgers '!$B:$B,Drs_Crs!$A109)</f>
        <v>0</v>
      </c>
      <c r="D109" s="76">
        <f>SUMIFS('List of Ledgers '!J:J,'List of Ledgers '!$E:$E,Drs_Crs!$A$28,'List of Ledgers '!$B:$B,Drs_Crs!$A109)</f>
        <v>0</v>
      </c>
      <c r="E109" s="76">
        <f>SUMIFS('List of Ledgers '!K:K,'List of Ledgers '!$E:$E,Drs_Crs!$A$28,'List of Ledgers '!$B:$B,Drs_Crs!$A109)</f>
        <v>0</v>
      </c>
      <c r="F109" s="76">
        <f>SUMIFS('List of Ledgers '!L:L,'List of Ledgers '!$E:$E,Drs_Crs!$A$28,'List of Ledgers '!$B:$B,Drs_Crs!$A109)</f>
        <v>0</v>
      </c>
      <c r="H109" s="76">
        <f>SUMIFS('List of Ledgers '!N:N,'List of Ledgers '!$E:$E,Drs_Crs!$A$28,'List of Ledgers '!$B:$B,Drs_Crs!$A109)</f>
        <v>0</v>
      </c>
      <c r="I109" s="76">
        <f>SUMIFS('List of Ledgers '!O:O,'List of Ledgers '!$E:$E,Drs_Crs!$A$28,'List of Ledgers '!$B:$B,Drs_Crs!$A109)</f>
        <v>0</v>
      </c>
      <c r="J109" s="76">
        <f>SUMIFS('List of Ledgers '!P:P,'List of Ledgers '!$E:$E,Drs_Crs!$A$28,'List of Ledgers '!$B:$B,Drs_Crs!$A109)</f>
        <v>0</v>
      </c>
      <c r="K109" s="76">
        <f>SUMIFS('List of Ledgers '!Q:Q,'List of Ledgers '!$E:$E,Drs_Crs!$A$28,'List of Ledgers '!$B:$B,Drs_Crs!$A109)</f>
        <v>0</v>
      </c>
    </row>
    <row r="110" spans="1:11" ht="13.9" hidden="1" x14ac:dyDescent="0.25">
      <c r="A110" s="125" t="s">
        <v>793</v>
      </c>
      <c r="B110" s="102" t="str">
        <f>VLOOKUP(A110,'List of Ledgers '!B:G,6,0)</f>
        <v>Clarus</v>
      </c>
      <c r="C110" s="76">
        <f>SUMIFS('List of Ledgers '!I:I,'List of Ledgers '!$E:$E,Drs_Crs!$A$28,'List of Ledgers '!$B:$B,Drs_Crs!$A110)</f>
        <v>0</v>
      </c>
      <c r="D110" s="76">
        <f>SUMIFS('List of Ledgers '!J:J,'List of Ledgers '!$E:$E,Drs_Crs!$A$28,'List of Ledgers '!$B:$B,Drs_Crs!$A110)</f>
        <v>0</v>
      </c>
      <c r="E110" s="76">
        <f>SUMIFS('List of Ledgers '!K:K,'List of Ledgers '!$E:$E,Drs_Crs!$A$28,'List of Ledgers '!$B:$B,Drs_Crs!$A110)</f>
        <v>0</v>
      </c>
      <c r="F110" s="76">
        <f>SUMIFS('List of Ledgers '!L:L,'List of Ledgers '!$E:$E,Drs_Crs!$A$28,'List of Ledgers '!$B:$B,Drs_Crs!$A110)</f>
        <v>0</v>
      </c>
      <c r="H110" s="76">
        <f>SUMIFS('List of Ledgers '!N:N,'List of Ledgers '!$E:$E,Drs_Crs!$A$28,'List of Ledgers '!$B:$B,Drs_Crs!$A110)</f>
        <v>0</v>
      </c>
      <c r="I110" s="76">
        <f>SUMIFS('List of Ledgers '!O:O,'List of Ledgers '!$E:$E,Drs_Crs!$A$28,'List of Ledgers '!$B:$B,Drs_Crs!$A110)</f>
        <v>15644</v>
      </c>
      <c r="J110" s="76">
        <f>SUMIFS('List of Ledgers '!P:P,'List of Ledgers '!$E:$E,Drs_Crs!$A$28,'List of Ledgers '!$B:$B,Drs_Crs!$A110)</f>
        <v>15644</v>
      </c>
      <c r="K110" s="76">
        <f>SUMIFS('List of Ledgers '!Q:Q,'List of Ledgers '!$E:$E,Drs_Crs!$A$28,'List of Ledgers '!$B:$B,Drs_Crs!$A110)</f>
        <v>0</v>
      </c>
    </row>
    <row r="111" spans="1:11" ht="13.9" hidden="1" x14ac:dyDescent="0.25">
      <c r="A111" s="125" t="s">
        <v>845</v>
      </c>
      <c r="B111" s="102" t="str">
        <f>VLOOKUP(A111,'List of Ledgers '!B:G,6,0)</f>
        <v>Bluestreak</v>
      </c>
      <c r="C111" s="76">
        <f>SUMIFS('List of Ledgers '!I:I,'List of Ledgers '!$E:$E,Drs_Crs!$A$28,'List of Ledgers '!$B:$B,Drs_Crs!$A111)</f>
        <v>0</v>
      </c>
      <c r="D111" s="76">
        <f>SUMIFS('List of Ledgers '!J:J,'List of Ledgers '!$E:$E,Drs_Crs!$A$28,'List of Ledgers '!$B:$B,Drs_Crs!$A111)</f>
        <v>0</v>
      </c>
      <c r="E111" s="76">
        <f>SUMIFS('List of Ledgers '!K:K,'List of Ledgers '!$E:$E,Drs_Crs!$A$28,'List of Ledgers '!$B:$B,Drs_Crs!$A111)</f>
        <v>0</v>
      </c>
      <c r="F111" s="76">
        <f>SUMIFS('List of Ledgers '!L:L,'List of Ledgers '!$E:$E,Drs_Crs!$A$28,'List of Ledgers '!$B:$B,Drs_Crs!$A111)</f>
        <v>0</v>
      </c>
      <c r="H111" s="76">
        <f>SUMIFS('List of Ledgers '!N:N,'List of Ledgers '!$E:$E,Drs_Crs!$A$28,'List of Ledgers '!$B:$B,Drs_Crs!$A111)</f>
        <v>42952</v>
      </c>
      <c r="I111" s="76">
        <f>SUMIFS('List of Ledgers '!O:O,'List of Ledgers '!$E:$E,Drs_Crs!$A$28,'List of Ledgers '!$B:$B,Drs_Crs!$A111)</f>
        <v>42952</v>
      </c>
      <c r="J111" s="76">
        <f>SUMIFS('List of Ledgers '!P:P,'List of Ledgers '!$E:$E,Drs_Crs!$A$28,'List of Ledgers '!$B:$B,Drs_Crs!$A111)</f>
        <v>85904</v>
      </c>
      <c r="K111" s="76">
        <f>SUMIFS('List of Ledgers '!Q:Q,'List of Ledgers '!$E:$E,Drs_Crs!$A$28,'List of Ledgers '!$B:$B,Drs_Crs!$A111)</f>
        <v>0</v>
      </c>
    </row>
    <row r="112" spans="1:11" ht="13.9" hidden="1" x14ac:dyDescent="0.25">
      <c r="A112" s="125" t="s">
        <v>848</v>
      </c>
      <c r="B112" s="102" t="str">
        <f>VLOOKUP(A112,'List of Ledgers '!B:G,6,0)</f>
        <v>Bluestreak</v>
      </c>
      <c r="C112" s="76">
        <f>SUMIFS('List of Ledgers '!I:I,'List of Ledgers '!$E:$E,Drs_Crs!$A$28,'List of Ledgers '!$B:$B,Drs_Crs!$A112)</f>
        <v>0</v>
      </c>
      <c r="D112" s="76">
        <f>SUMIFS('List of Ledgers '!J:J,'List of Ledgers '!$E:$E,Drs_Crs!$A$28,'List of Ledgers '!$B:$B,Drs_Crs!$A112)</f>
        <v>0</v>
      </c>
      <c r="E112" s="76">
        <f>SUMIFS('List of Ledgers '!K:K,'List of Ledgers '!$E:$E,Drs_Crs!$A$28,'List of Ledgers '!$B:$B,Drs_Crs!$A112)</f>
        <v>0</v>
      </c>
      <c r="F112" s="76">
        <f>SUMIFS('List of Ledgers '!L:L,'List of Ledgers '!$E:$E,Drs_Crs!$A$28,'List of Ledgers '!$B:$B,Drs_Crs!$A112)</f>
        <v>0</v>
      </c>
      <c r="H112" s="76">
        <f>SUMIFS('List of Ledgers '!N:N,'List of Ledgers '!$E:$E,Drs_Crs!$A$28,'List of Ledgers '!$B:$B,Drs_Crs!$A112)</f>
        <v>0</v>
      </c>
      <c r="I112" s="76">
        <f>SUMIFS('List of Ledgers '!O:O,'List of Ledgers '!$E:$E,Drs_Crs!$A$28,'List of Ledgers '!$B:$B,Drs_Crs!$A112)</f>
        <v>0</v>
      </c>
      <c r="J112" s="76">
        <f>SUMIFS('List of Ledgers '!P:P,'List of Ledgers '!$E:$E,Drs_Crs!$A$28,'List of Ledgers '!$B:$B,Drs_Crs!$A112)</f>
        <v>0</v>
      </c>
      <c r="K112" s="76">
        <f>SUMIFS('List of Ledgers '!Q:Q,'List of Ledgers '!$E:$E,Drs_Crs!$A$28,'List of Ledgers '!$B:$B,Drs_Crs!$A112)</f>
        <v>0</v>
      </c>
    </row>
    <row r="113" spans="1:11" ht="13.9" hidden="1" x14ac:dyDescent="0.25">
      <c r="A113" s="125" t="s">
        <v>850</v>
      </c>
      <c r="B113" s="102" t="str">
        <f>VLOOKUP(A113,'List of Ledgers '!B:G,6,0)</f>
        <v>Bluestreak</v>
      </c>
      <c r="C113" s="76">
        <f>SUMIFS('List of Ledgers '!I:I,'List of Ledgers '!$E:$E,Drs_Crs!$A$28,'List of Ledgers '!$B:$B,Drs_Crs!$A113)</f>
        <v>0</v>
      </c>
      <c r="D113" s="76">
        <f>SUMIFS('List of Ledgers '!J:J,'List of Ledgers '!$E:$E,Drs_Crs!$A$28,'List of Ledgers '!$B:$B,Drs_Crs!$A113)</f>
        <v>0</v>
      </c>
      <c r="E113" s="76">
        <f>SUMIFS('List of Ledgers '!K:K,'List of Ledgers '!$E:$E,Drs_Crs!$A$28,'List of Ledgers '!$B:$B,Drs_Crs!$A113)</f>
        <v>0</v>
      </c>
      <c r="F113" s="76">
        <f>SUMIFS('List of Ledgers '!L:L,'List of Ledgers '!$E:$E,Drs_Crs!$A$28,'List of Ledgers '!$B:$B,Drs_Crs!$A113)</f>
        <v>0</v>
      </c>
      <c r="H113" s="76">
        <f>SUMIFS('List of Ledgers '!N:N,'List of Ledgers '!$E:$E,Drs_Crs!$A$28,'List of Ledgers '!$B:$B,Drs_Crs!$A113)</f>
        <v>0</v>
      </c>
      <c r="I113" s="76">
        <f>SUMIFS('List of Ledgers '!O:O,'List of Ledgers '!$E:$E,Drs_Crs!$A$28,'List of Ledgers '!$B:$B,Drs_Crs!$A113)</f>
        <v>0</v>
      </c>
      <c r="J113" s="76">
        <f>SUMIFS('List of Ledgers '!P:P,'List of Ledgers '!$E:$E,Drs_Crs!$A$28,'List of Ledgers '!$B:$B,Drs_Crs!$A113)</f>
        <v>0</v>
      </c>
      <c r="K113" s="76">
        <f>SUMIFS('List of Ledgers '!Q:Q,'List of Ledgers '!$E:$E,Drs_Crs!$A$28,'List of Ledgers '!$B:$B,Drs_Crs!$A113)</f>
        <v>0</v>
      </c>
    </row>
    <row r="114" spans="1:11" ht="13.9" hidden="1" x14ac:dyDescent="0.25">
      <c r="A114" s="125" t="s">
        <v>851</v>
      </c>
      <c r="B114" s="102" t="str">
        <f>VLOOKUP(A114,'List of Ledgers '!B:G,6,0)</f>
        <v>Bluestreak</v>
      </c>
      <c r="C114" s="76">
        <f>SUMIFS('List of Ledgers '!I:I,'List of Ledgers '!$E:$E,Drs_Crs!$A$28,'List of Ledgers '!$B:$B,Drs_Crs!$A114)</f>
        <v>0</v>
      </c>
      <c r="D114" s="76">
        <f>SUMIFS('List of Ledgers '!J:J,'List of Ledgers '!$E:$E,Drs_Crs!$A$28,'List of Ledgers '!$B:$B,Drs_Crs!$A114)</f>
        <v>0</v>
      </c>
      <c r="E114" s="76">
        <f>SUMIFS('List of Ledgers '!K:K,'List of Ledgers '!$E:$E,Drs_Crs!$A$28,'List of Ledgers '!$B:$B,Drs_Crs!$A114)</f>
        <v>0</v>
      </c>
      <c r="F114" s="76">
        <f>SUMIFS('List of Ledgers '!L:L,'List of Ledgers '!$E:$E,Drs_Crs!$A$28,'List of Ledgers '!$B:$B,Drs_Crs!$A114)</f>
        <v>0</v>
      </c>
      <c r="H114" s="76">
        <f>SUMIFS('List of Ledgers '!N:N,'List of Ledgers '!$E:$E,Drs_Crs!$A$28,'List of Ledgers '!$B:$B,Drs_Crs!$A114)</f>
        <v>0</v>
      </c>
      <c r="I114" s="76">
        <f>SUMIFS('List of Ledgers '!O:O,'List of Ledgers '!$E:$E,Drs_Crs!$A$28,'List of Ledgers '!$B:$B,Drs_Crs!$A114)</f>
        <v>2755000</v>
      </c>
      <c r="J114" s="76">
        <f>SUMIFS('List of Ledgers '!P:P,'List of Ledgers '!$E:$E,Drs_Crs!$A$28,'List of Ledgers '!$B:$B,Drs_Crs!$A114)</f>
        <v>2755000</v>
      </c>
      <c r="K114" s="76">
        <f>SUMIFS('List of Ledgers '!Q:Q,'List of Ledgers '!$E:$E,Drs_Crs!$A$28,'List of Ledgers '!$B:$B,Drs_Crs!$A114)</f>
        <v>0</v>
      </c>
    </row>
    <row r="115" spans="1:11" ht="13.9" hidden="1" x14ac:dyDescent="0.25">
      <c r="A115" s="125" t="s">
        <v>852</v>
      </c>
      <c r="B115" s="102" t="str">
        <f>VLOOKUP(A115,'List of Ledgers '!B:G,6,0)</f>
        <v>Bluestreak</v>
      </c>
      <c r="C115" s="76">
        <f>SUMIFS('List of Ledgers '!I:I,'List of Ledgers '!$E:$E,Drs_Crs!$A$28,'List of Ledgers '!$B:$B,Drs_Crs!$A115)</f>
        <v>0</v>
      </c>
      <c r="D115" s="76">
        <f>SUMIFS('List of Ledgers '!J:J,'List of Ledgers '!$E:$E,Drs_Crs!$A$28,'List of Ledgers '!$B:$B,Drs_Crs!$A115)</f>
        <v>0</v>
      </c>
      <c r="E115" s="76">
        <f>SUMIFS('List of Ledgers '!K:K,'List of Ledgers '!$E:$E,Drs_Crs!$A$28,'List of Ledgers '!$B:$B,Drs_Crs!$A115)</f>
        <v>0</v>
      </c>
      <c r="F115" s="76">
        <f>SUMIFS('List of Ledgers '!L:L,'List of Ledgers '!$E:$E,Drs_Crs!$A$28,'List of Ledgers '!$B:$B,Drs_Crs!$A115)</f>
        <v>0</v>
      </c>
      <c r="H115" s="76">
        <f>SUMIFS('List of Ledgers '!N:N,'List of Ledgers '!$E:$E,Drs_Crs!$A$28,'List of Ledgers '!$B:$B,Drs_Crs!$A115)</f>
        <v>0</v>
      </c>
      <c r="I115" s="76">
        <f>SUMIFS('List of Ledgers '!O:O,'List of Ledgers '!$E:$E,Drs_Crs!$A$28,'List of Ledgers '!$B:$B,Drs_Crs!$A115)</f>
        <v>0</v>
      </c>
      <c r="J115" s="76">
        <f>SUMIFS('List of Ledgers '!P:P,'List of Ledgers '!$E:$E,Drs_Crs!$A$28,'List of Ledgers '!$B:$B,Drs_Crs!$A115)</f>
        <v>0</v>
      </c>
      <c r="K115" s="76">
        <f>SUMIFS('List of Ledgers '!Q:Q,'List of Ledgers '!$E:$E,Drs_Crs!$A$28,'List of Ledgers '!$B:$B,Drs_Crs!$A115)</f>
        <v>0</v>
      </c>
    </row>
    <row r="116" spans="1:11" ht="13.9" hidden="1" x14ac:dyDescent="0.25">
      <c r="A116" s="125" t="s">
        <v>853</v>
      </c>
      <c r="B116" s="102" t="str">
        <f>VLOOKUP(A116,'List of Ledgers '!B:G,6,0)</f>
        <v>Clarus</v>
      </c>
      <c r="C116" s="76">
        <f>SUMIFS('List of Ledgers '!I:I,'List of Ledgers '!$E:$E,Drs_Crs!$A$28,'List of Ledgers '!$B:$B,Drs_Crs!$A116)</f>
        <v>0</v>
      </c>
      <c r="D116" s="76">
        <f>SUMIFS('List of Ledgers '!J:J,'List of Ledgers '!$E:$E,Drs_Crs!$A$28,'List of Ledgers '!$B:$B,Drs_Crs!$A116)</f>
        <v>0</v>
      </c>
      <c r="E116" s="76">
        <f>SUMIFS('List of Ledgers '!K:K,'List of Ledgers '!$E:$E,Drs_Crs!$A$28,'List of Ledgers '!$B:$B,Drs_Crs!$A116)</f>
        <v>0</v>
      </c>
      <c r="F116" s="76">
        <f>SUMIFS('List of Ledgers '!L:L,'List of Ledgers '!$E:$E,Drs_Crs!$A$28,'List of Ledgers '!$B:$B,Drs_Crs!$A116)</f>
        <v>0</v>
      </c>
      <c r="H116" s="76">
        <f>SUMIFS('List of Ledgers '!N:N,'List of Ledgers '!$E:$E,Drs_Crs!$A$28,'List of Ledgers '!$B:$B,Drs_Crs!$A116)</f>
        <v>0</v>
      </c>
      <c r="I116" s="76">
        <f>SUMIFS('List of Ledgers '!O:O,'List of Ledgers '!$E:$E,Drs_Crs!$A$28,'List of Ledgers '!$B:$B,Drs_Crs!$A116)</f>
        <v>0</v>
      </c>
      <c r="J116" s="76">
        <f>SUMIFS('List of Ledgers '!P:P,'List of Ledgers '!$E:$E,Drs_Crs!$A$28,'List of Ledgers '!$B:$B,Drs_Crs!$A116)</f>
        <v>0</v>
      </c>
      <c r="K116" s="76">
        <f>SUMIFS('List of Ledgers '!Q:Q,'List of Ledgers '!$E:$E,Drs_Crs!$A$28,'List of Ledgers '!$B:$B,Drs_Crs!$A116)</f>
        <v>0</v>
      </c>
    </row>
    <row r="117" spans="1:11" s="193" customFormat="1" ht="13.9" hidden="1" x14ac:dyDescent="0.25">
      <c r="A117" s="226" t="s">
        <v>854</v>
      </c>
      <c r="B117" s="227" t="str">
        <f>VLOOKUP(A117,'List of Ledgers '!B:G,6,0)</f>
        <v>Clarus</v>
      </c>
      <c r="C117" s="228">
        <f>SUMIFS('List of Ledgers '!I:I,'List of Ledgers '!$E:$E,Drs_Crs!$A$28,'List of Ledgers '!$B:$B,Drs_Crs!$A117)</f>
        <v>-464</v>
      </c>
      <c r="D117" s="228">
        <f>SUMIFS('List of Ledgers '!J:J,'List of Ledgers '!$E:$E,Drs_Crs!$A$28,'List of Ledgers '!$B:$B,Drs_Crs!$A117)</f>
        <v>0</v>
      </c>
      <c r="E117" s="228">
        <f>SUMIFS('List of Ledgers '!K:K,'List of Ledgers '!$E:$E,Drs_Crs!$A$28,'List of Ledgers '!$B:$B,Drs_Crs!$A117)</f>
        <v>0</v>
      </c>
      <c r="F117" s="228">
        <f>SUMIFS('List of Ledgers '!L:L,'List of Ledgers '!$E:$E,Drs_Crs!$A$28,'List of Ledgers '!$B:$B,Drs_Crs!$A117)</f>
        <v>-464</v>
      </c>
      <c r="G117" s="197"/>
      <c r="H117" s="228">
        <f>SUMIFS('List of Ledgers '!N:N,'List of Ledgers '!$E:$E,Drs_Crs!$A$28,'List of Ledgers '!$B:$B,Drs_Crs!$A117)</f>
        <v>-464</v>
      </c>
      <c r="I117" s="228">
        <f>SUMIFS('List of Ledgers '!O:O,'List of Ledgers '!$E:$E,Drs_Crs!$A$28,'List of Ledgers '!$B:$B,Drs_Crs!$A117)</f>
        <v>46933</v>
      </c>
      <c r="J117" s="228">
        <f>SUMIFS('List of Ledgers '!P:P,'List of Ledgers '!$E:$E,Drs_Crs!$A$28,'List of Ledgers '!$B:$B,Drs_Crs!$A117)</f>
        <v>46933</v>
      </c>
      <c r="K117" s="228">
        <f>SUMIFS('List of Ledgers '!Q:Q,'List of Ledgers '!$E:$E,Drs_Crs!$A$28,'List of Ledgers '!$B:$B,Drs_Crs!$A117)</f>
        <v>-464</v>
      </c>
    </row>
    <row r="118" spans="1:11" ht="13.9" hidden="1" x14ac:dyDescent="0.25">
      <c r="A118" s="125" t="s">
        <v>857</v>
      </c>
      <c r="B118" s="102" t="str">
        <f>VLOOKUP(A118,'List of Ledgers '!B:G,6,0)</f>
        <v>Clarus</v>
      </c>
      <c r="C118" s="76">
        <f>SUMIFS('List of Ledgers '!I:I,'List of Ledgers '!$E:$E,Drs_Crs!$A$28,'List of Ledgers '!$B:$B,Drs_Crs!$A118)</f>
        <v>0</v>
      </c>
      <c r="D118" s="76">
        <f>SUMIFS('List of Ledgers '!J:J,'List of Ledgers '!$E:$E,Drs_Crs!$A$28,'List of Ledgers '!$B:$B,Drs_Crs!$A118)</f>
        <v>0</v>
      </c>
      <c r="E118" s="76">
        <f>SUMIFS('List of Ledgers '!K:K,'List of Ledgers '!$E:$E,Drs_Crs!$A$28,'List of Ledgers '!$B:$B,Drs_Crs!$A118)</f>
        <v>0</v>
      </c>
      <c r="F118" s="76">
        <f>SUMIFS('List of Ledgers '!L:L,'List of Ledgers '!$E:$E,Drs_Crs!$A$28,'List of Ledgers '!$B:$B,Drs_Crs!$A118)</f>
        <v>0</v>
      </c>
      <c r="H118" s="76">
        <f>SUMIFS('List of Ledgers '!N:N,'List of Ledgers '!$E:$E,Drs_Crs!$A$28,'List of Ledgers '!$B:$B,Drs_Crs!$A118)</f>
        <v>0</v>
      </c>
      <c r="I118" s="76">
        <f>SUMIFS('List of Ledgers '!O:O,'List of Ledgers '!$E:$E,Drs_Crs!$A$28,'List of Ledgers '!$B:$B,Drs_Crs!$A118)</f>
        <v>13767</v>
      </c>
      <c r="J118" s="76">
        <f>SUMIFS('List of Ledgers '!P:P,'List of Ledgers '!$E:$E,Drs_Crs!$A$28,'List of Ledgers '!$B:$B,Drs_Crs!$A118)</f>
        <v>13767</v>
      </c>
      <c r="K118" s="76">
        <f>SUMIFS('List of Ledgers '!Q:Q,'List of Ledgers '!$E:$E,Drs_Crs!$A$28,'List of Ledgers '!$B:$B,Drs_Crs!$A118)</f>
        <v>0</v>
      </c>
    </row>
    <row r="119" spans="1:11" s="193" customFormat="1" ht="13.9" hidden="1" x14ac:dyDescent="0.25">
      <c r="A119" s="226" t="s">
        <v>861</v>
      </c>
      <c r="B119" s="227" t="str">
        <f>VLOOKUP(A119,'List of Ledgers '!B:G,6,0)</f>
        <v>Bluestreak</v>
      </c>
      <c r="C119" s="228">
        <f>SUMIFS('List of Ledgers '!I:I,'List of Ledgers '!$E:$E,Drs_Crs!$A$28,'List of Ledgers '!$B:$B,Drs_Crs!$A119)</f>
        <v>78824</v>
      </c>
      <c r="D119" s="228">
        <f>SUMIFS('List of Ledgers '!J:J,'List of Ledgers '!$E:$E,Drs_Crs!$A$28,'List of Ledgers '!$B:$B,Drs_Crs!$A119)</f>
        <v>0</v>
      </c>
      <c r="E119" s="228">
        <f>SUMIFS('List of Ledgers '!K:K,'List of Ledgers '!$E:$E,Drs_Crs!$A$28,'List of Ledgers '!$B:$B,Drs_Crs!$A119)</f>
        <v>0</v>
      </c>
      <c r="F119" s="228">
        <f>SUMIFS('List of Ledgers '!L:L,'List of Ledgers '!$E:$E,Drs_Crs!$A$28,'List of Ledgers '!$B:$B,Drs_Crs!$A119)</f>
        <v>78824</v>
      </c>
      <c r="G119" s="197" t="s">
        <v>1416</v>
      </c>
      <c r="H119" s="228">
        <f>SUMIFS('List of Ledgers '!N:N,'List of Ledgers '!$E:$E,Drs_Crs!$A$28,'List of Ledgers '!$B:$B,Drs_Crs!$A119)</f>
        <v>78824</v>
      </c>
      <c r="I119" s="228">
        <f>SUMIFS('List of Ledgers '!O:O,'List of Ledgers '!$E:$E,Drs_Crs!$A$28,'List of Ledgers '!$B:$B,Drs_Crs!$A119)</f>
        <v>0</v>
      </c>
      <c r="J119" s="228">
        <f>SUMIFS('List of Ledgers '!P:P,'List of Ledgers '!$E:$E,Drs_Crs!$A$28,'List of Ledgers '!$B:$B,Drs_Crs!$A119)</f>
        <v>0</v>
      </c>
      <c r="K119" s="228">
        <f>SUMIFS('List of Ledgers '!Q:Q,'List of Ledgers '!$E:$E,Drs_Crs!$A$28,'List of Ledgers '!$B:$B,Drs_Crs!$A119)</f>
        <v>78824</v>
      </c>
    </row>
    <row r="120" spans="1:11" ht="13.9" hidden="1" x14ac:dyDescent="0.25">
      <c r="A120" s="125" t="s">
        <v>768</v>
      </c>
      <c r="B120" s="102" t="str">
        <f>VLOOKUP(A120,'List of Ledgers '!B:G,6,0)</f>
        <v>Bluestreak</v>
      </c>
      <c r="C120" s="76">
        <f>SUMIFS('List of Ledgers '!I:I,'List of Ledgers '!$E:$E,Drs_Crs!$A$28,'List of Ledgers '!$B:$B,Drs_Crs!$A120)</f>
        <v>0</v>
      </c>
      <c r="D120" s="76">
        <f>SUMIFS('List of Ledgers '!J:J,'List of Ledgers '!$E:$E,Drs_Crs!$A$28,'List of Ledgers '!$B:$B,Drs_Crs!$A120)</f>
        <v>0</v>
      </c>
      <c r="E120" s="76">
        <f>SUMIFS('List of Ledgers '!K:K,'List of Ledgers '!$E:$E,Drs_Crs!$A$28,'List of Ledgers '!$B:$B,Drs_Crs!$A120)</f>
        <v>0</v>
      </c>
      <c r="F120" s="76">
        <f>SUMIFS('List of Ledgers '!L:L,'List of Ledgers '!$E:$E,Drs_Crs!$A$28,'List of Ledgers '!$B:$B,Drs_Crs!$A120)</f>
        <v>0</v>
      </c>
      <c r="H120" s="76">
        <f>SUMIFS('List of Ledgers '!N:N,'List of Ledgers '!$E:$E,Drs_Crs!$A$28,'List of Ledgers '!$B:$B,Drs_Crs!$A120)</f>
        <v>0</v>
      </c>
      <c r="I120" s="76">
        <f>SUMIFS('List of Ledgers '!O:O,'List of Ledgers '!$E:$E,Drs_Crs!$A$28,'List of Ledgers '!$B:$B,Drs_Crs!$A120)</f>
        <v>0</v>
      </c>
      <c r="J120" s="76">
        <f>SUMIFS('List of Ledgers '!P:P,'List of Ledgers '!$E:$E,Drs_Crs!$A$28,'List of Ledgers '!$B:$B,Drs_Crs!$A120)</f>
        <v>0</v>
      </c>
      <c r="K120" s="76">
        <f>SUMIFS('List of Ledgers '!Q:Q,'List of Ledgers '!$E:$E,Drs_Crs!$A$28,'List of Ledgers '!$B:$B,Drs_Crs!$A120)</f>
        <v>0</v>
      </c>
    </row>
    <row r="121" spans="1:11" ht="13.9" hidden="1" x14ac:dyDescent="0.25">
      <c r="A121" s="125" t="s">
        <v>866</v>
      </c>
      <c r="B121" s="102" t="str">
        <f>VLOOKUP(A121,'List of Ledgers '!B:G,6,0)</f>
        <v>Bluestreak</v>
      </c>
      <c r="C121" s="76">
        <f>SUMIFS('List of Ledgers '!I:I,'List of Ledgers '!$E:$E,Drs_Crs!$A$28,'List of Ledgers '!$B:$B,Drs_Crs!$A121)</f>
        <v>0</v>
      </c>
      <c r="D121" s="76">
        <f>SUMIFS('List of Ledgers '!J:J,'List of Ledgers '!$E:$E,Drs_Crs!$A$28,'List of Ledgers '!$B:$B,Drs_Crs!$A121)</f>
        <v>0</v>
      </c>
      <c r="E121" s="76">
        <f>SUMIFS('List of Ledgers '!K:K,'List of Ledgers '!$E:$E,Drs_Crs!$A$28,'List of Ledgers '!$B:$B,Drs_Crs!$A121)</f>
        <v>0</v>
      </c>
      <c r="F121" s="76">
        <f>SUMIFS('List of Ledgers '!L:L,'List of Ledgers '!$E:$E,Drs_Crs!$A$28,'List of Ledgers '!$B:$B,Drs_Crs!$A121)</f>
        <v>0</v>
      </c>
      <c r="H121" s="76">
        <f>SUMIFS('List of Ledgers '!N:N,'List of Ledgers '!$E:$E,Drs_Crs!$A$28,'List of Ledgers '!$B:$B,Drs_Crs!$A121)</f>
        <v>0</v>
      </c>
      <c r="I121" s="76">
        <f>SUMIFS('List of Ledgers '!O:O,'List of Ledgers '!$E:$E,Drs_Crs!$A$28,'List of Ledgers '!$B:$B,Drs_Crs!$A121)</f>
        <v>0</v>
      </c>
      <c r="J121" s="76">
        <f>SUMIFS('List of Ledgers '!P:P,'List of Ledgers '!$E:$E,Drs_Crs!$A$28,'List of Ledgers '!$B:$B,Drs_Crs!$A121)</f>
        <v>0</v>
      </c>
      <c r="K121" s="76">
        <f>SUMIFS('List of Ledgers '!Q:Q,'List of Ledgers '!$E:$E,Drs_Crs!$A$28,'List of Ledgers '!$B:$B,Drs_Crs!$A121)</f>
        <v>0</v>
      </c>
    </row>
    <row r="122" spans="1:11" s="193" customFormat="1" ht="13.9" hidden="1" x14ac:dyDescent="0.25">
      <c r="A122" s="226" t="s">
        <v>763</v>
      </c>
      <c r="B122" s="227" t="str">
        <f>VLOOKUP(A122,'List of Ledgers '!B:G,6,0)</f>
        <v>Bluestreak</v>
      </c>
      <c r="C122" s="228">
        <f>SUMIFS('List of Ledgers '!I:I,'List of Ledgers '!$E:$E,Drs_Crs!$A$28,'List of Ledgers '!$B:$B,Drs_Crs!$A122)</f>
        <v>-1180</v>
      </c>
      <c r="D122" s="228">
        <f>SUMIFS('List of Ledgers '!J:J,'List of Ledgers '!$E:$E,Drs_Crs!$A$28,'List of Ledgers '!$B:$B,Drs_Crs!$A122)</f>
        <v>0</v>
      </c>
      <c r="E122" s="228">
        <f>SUMIFS('List of Ledgers '!K:K,'List of Ledgers '!$E:$E,Drs_Crs!$A$28,'List of Ledgers '!$B:$B,Drs_Crs!$A122)</f>
        <v>0</v>
      </c>
      <c r="F122" s="228">
        <f>SUMIFS('List of Ledgers '!L:L,'List of Ledgers '!$E:$E,Drs_Crs!$A$28,'List of Ledgers '!$B:$B,Drs_Crs!$A122)</f>
        <v>-1180</v>
      </c>
      <c r="G122" s="197"/>
      <c r="H122" s="228">
        <f>SUMIFS('List of Ledgers '!N:N,'List of Ledgers '!$E:$E,Drs_Crs!$A$28,'List of Ledgers '!$B:$B,Drs_Crs!$A122)</f>
        <v>47790</v>
      </c>
      <c r="I122" s="228">
        <f>SUMIFS('List of Ledgers '!O:O,'List of Ledgers '!$E:$E,Drs_Crs!$A$28,'List of Ledgers '!$B:$B,Drs_Crs!$A122)</f>
        <v>112100</v>
      </c>
      <c r="J122" s="228">
        <f>SUMIFS('List of Ledgers '!P:P,'List of Ledgers '!$E:$E,Drs_Crs!$A$28,'List of Ledgers '!$B:$B,Drs_Crs!$A122)</f>
        <v>161070</v>
      </c>
      <c r="K122" s="228">
        <f>SUMIFS('List of Ledgers '!Q:Q,'List of Ledgers '!$E:$E,Drs_Crs!$A$28,'List of Ledgers '!$B:$B,Drs_Crs!$A122)</f>
        <v>-1180</v>
      </c>
    </row>
    <row r="123" spans="1:11" s="193" customFormat="1" ht="13.9" hidden="1" x14ac:dyDescent="0.25">
      <c r="A123" s="226" t="s">
        <v>880</v>
      </c>
      <c r="B123" s="227" t="str">
        <f>VLOOKUP(A123,'List of Ledgers '!B:G,6,0)</f>
        <v>Bluestreak</v>
      </c>
      <c r="C123" s="228">
        <f>SUMIFS('List of Ledgers '!I:I,'List of Ledgers '!$E:$E,Drs_Crs!$A$28,'List of Ledgers '!$B:$B,Drs_Crs!$A123)</f>
        <v>-1387</v>
      </c>
      <c r="D123" s="228">
        <f>SUMIFS('List of Ledgers '!J:J,'List of Ledgers '!$E:$E,Drs_Crs!$A$28,'List of Ledgers '!$B:$B,Drs_Crs!$A123)</f>
        <v>0</v>
      </c>
      <c r="E123" s="228">
        <f>SUMIFS('List of Ledgers '!K:K,'List of Ledgers '!$E:$E,Drs_Crs!$A$28,'List of Ledgers '!$B:$B,Drs_Crs!$A123)</f>
        <v>0</v>
      </c>
      <c r="F123" s="228">
        <f>SUMIFS('List of Ledgers '!L:L,'List of Ledgers '!$E:$E,Drs_Crs!$A$28,'List of Ledgers '!$B:$B,Drs_Crs!$A123)</f>
        <v>-1387</v>
      </c>
      <c r="G123" s="197"/>
      <c r="H123" s="228">
        <f>SUMIFS('List of Ledgers '!N:N,'List of Ledgers '!$E:$E,Drs_Crs!$A$28,'List of Ledgers '!$B:$B,Drs_Crs!$A123)</f>
        <v>-1387</v>
      </c>
      <c r="I123" s="228">
        <f>SUMIFS('List of Ledgers '!O:O,'List of Ledgers '!$E:$E,Drs_Crs!$A$28,'List of Ledgers '!$B:$B,Drs_Crs!$A123)</f>
        <v>0</v>
      </c>
      <c r="J123" s="228">
        <f>SUMIFS('List of Ledgers '!P:P,'List of Ledgers '!$E:$E,Drs_Crs!$A$28,'List of Ledgers '!$B:$B,Drs_Crs!$A123)</f>
        <v>0</v>
      </c>
      <c r="K123" s="228">
        <f>SUMIFS('List of Ledgers '!Q:Q,'List of Ledgers '!$E:$E,Drs_Crs!$A$28,'List of Ledgers '!$B:$B,Drs_Crs!$A123)</f>
        <v>-1387</v>
      </c>
    </row>
    <row r="124" spans="1:11" ht="13.9" hidden="1" x14ac:dyDescent="0.25">
      <c r="A124" s="125" t="s">
        <v>881</v>
      </c>
      <c r="B124" s="102" t="str">
        <f>VLOOKUP(A124,'List of Ledgers '!B:G,6,0)</f>
        <v>Bluestreak</v>
      </c>
      <c r="C124" s="76">
        <f>SUMIFS('List of Ledgers '!I:I,'List of Ledgers '!$E:$E,Drs_Crs!$A$28,'List of Ledgers '!$B:$B,Drs_Crs!$A124)</f>
        <v>0</v>
      </c>
      <c r="D124" s="76">
        <f>SUMIFS('List of Ledgers '!J:J,'List of Ledgers '!$E:$E,Drs_Crs!$A$28,'List of Ledgers '!$B:$B,Drs_Crs!$A124)</f>
        <v>0</v>
      </c>
      <c r="E124" s="76">
        <f>SUMIFS('List of Ledgers '!K:K,'List of Ledgers '!$E:$E,Drs_Crs!$A$28,'List of Ledgers '!$B:$B,Drs_Crs!$A124)</f>
        <v>0</v>
      </c>
      <c r="F124" s="76">
        <f>SUMIFS('List of Ledgers '!L:L,'List of Ledgers '!$E:$E,Drs_Crs!$A$28,'List of Ledgers '!$B:$B,Drs_Crs!$A124)</f>
        <v>0</v>
      </c>
      <c r="H124" s="76">
        <f>SUMIFS('List of Ledgers '!N:N,'List of Ledgers '!$E:$E,Drs_Crs!$A$28,'List of Ledgers '!$B:$B,Drs_Crs!$A124)</f>
        <v>0</v>
      </c>
      <c r="I124" s="76">
        <f>SUMIFS('List of Ledgers '!O:O,'List of Ledgers '!$E:$E,Drs_Crs!$A$28,'List of Ledgers '!$B:$B,Drs_Crs!$A124)</f>
        <v>0</v>
      </c>
      <c r="J124" s="76">
        <f>SUMIFS('List of Ledgers '!P:P,'List of Ledgers '!$E:$E,Drs_Crs!$A$28,'List of Ledgers '!$B:$B,Drs_Crs!$A124)</f>
        <v>0</v>
      </c>
      <c r="K124" s="76">
        <f>SUMIFS('List of Ledgers '!Q:Q,'List of Ledgers '!$E:$E,Drs_Crs!$A$28,'List of Ledgers '!$B:$B,Drs_Crs!$A124)</f>
        <v>0</v>
      </c>
    </row>
    <row r="125" spans="1:11" ht="13.9" hidden="1" x14ac:dyDescent="0.25">
      <c r="A125" s="125" t="s">
        <v>885</v>
      </c>
      <c r="B125" s="102" t="str">
        <f>VLOOKUP(A125,'List of Ledgers '!B:G,6,0)</f>
        <v>Bluestreak</v>
      </c>
      <c r="C125" s="76">
        <f>SUMIFS('List of Ledgers '!I:I,'List of Ledgers '!$E:$E,Drs_Crs!$A$28,'List of Ledgers '!$B:$B,Drs_Crs!$A125)</f>
        <v>0</v>
      </c>
      <c r="D125" s="76">
        <f>SUMIFS('List of Ledgers '!J:J,'List of Ledgers '!$E:$E,Drs_Crs!$A$28,'List of Ledgers '!$B:$B,Drs_Crs!$A125)</f>
        <v>0</v>
      </c>
      <c r="E125" s="76">
        <f>SUMIFS('List of Ledgers '!K:K,'List of Ledgers '!$E:$E,Drs_Crs!$A$28,'List of Ledgers '!$B:$B,Drs_Crs!$A125)</f>
        <v>0</v>
      </c>
      <c r="F125" s="76">
        <f>SUMIFS('List of Ledgers '!L:L,'List of Ledgers '!$E:$E,Drs_Crs!$A$28,'List of Ledgers '!$B:$B,Drs_Crs!$A125)</f>
        <v>0</v>
      </c>
      <c r="H125" s="76">
        <f>SUMIFS('List of Ledgers '!N:N,'List of Ledgers '!$E:$E,Drs_Crs!$A$28,'List of Ledgers '!$B:$B,Drs_Crs!$A125)</f>
        <v>0</v>
      </c>
      <c r="I125" s="76">
        <f>SUMIFS('List of Ledgers '!O:O,'List of Ledgers '!$E:$E,Drs_Crs!$A$28,'List of Ledgers '!$B:$B,Drs_Crs!$A125)</f>
        <v>0</v>
      </c>
      <c r="J125" s="76">
        <f>SUMIFS('List of Ledgers '!P:P,'List of Ledgers '!$E:$E,Drs_Crs!$A$28,'List of Ledgers '!$B:$B,Drs_Crs!$A125)</f>
        <v>0</v>
      </c>
      <c r="K125" s="76">
        <f>SUMIFS('List of Ledgers '!Q:Q,'List of Ledgers '!$E:$E,Drs_Crs!$A$28,'List of Ledgers '!$B:$B,Drs_Crs!$A125)</f>
        <v>0</v>
      </c>
    </row>
    <row r="126" spans="1:11" ht="13.9" hidden="1" x14ac:dyDescent="0.25">
      <c r="A126" s="125" t="s">
        <v>891</v>
      </c>
      <c r="B126" s="102" t="str">
        <f>VLOOKUP(A126,'List of Ledgers '!B:G,6,0)</f>
        <v>Bluestreak</v>
      </c>
      <c r="C126" s="76">
        <f>SUMIFS('List of Ledgers '!I:I,'List of Ledgers '!$E:$E,Drs_Crs!$A$28,'List of Ledgers '!$B:$B,Drs_Crs!$A126)</f>
        <v>0</v>
      </c>
      <c r="D126" s="76">
        <f>SUMIFS('List of Ledgers '!J:J,'List of Ledgers '!$E:$E,Drs_Crs!$A$28,'List of Ledgers '!$B:$B,Drs_Crs!$A126)</f>
        <v>0</v>
      </c>
      <c r="E126" s="76">
        <f>SUMIFS('List of Ledgers '!K:K,'List of Ledgers '!$E:$E,Drs_Crs!$A$28,'List of Ledgers '!$B:$B,Drs_Crs!$A126)</f>
        <v>0</v>
      </c>
      <c r="F126" s="76">
        <f>SUMIFS('List of Ledgers '!L:L,'List of Ledgers '!$E:$E,Drs_Crs!$A$28,'List of Ledgers '!$B:$B,Drs_Crs!$A126)</f>
        <v>0</v>
      </c>
      <c r="H126" s="76">
        <f>SUMIFS('List of Ledgers '!N:N,'List of Ledgers '!$E:$E,Drs_Crs!$A$28,'List of Ledgers '!$B:$B,Drs_Crs!$A126)</f>
        <v>0</v>
      </c>
      <c r="I126" s="76">
        <f>SUMIFS('List of Ledgers '!O:O,'List of Ledgers '!$E:$E,Drs_Crs!$A$28,'List of Ledgers '!$B:$B,Drs_Crs!$A126)</f>
        <v>0</v>
      </c>
      <c r="J126" s="76">
        <f>SUMIFS('List of Ledgers '!P:P,'List of Ledgers '!$E:$E,Drs_Crs!$A$28,'List of Ledgers '!$B:$B,Drs_Crs!$A126)</f>
        <v>0</v>
      </c>
      <c r="K126" s="76">
        <f>SUMIFS('List of Ledgers '!Q:Q,'List of Ledgers '!$E:$E,Drs_Crs!$A$28,'List of Ledgers '!$B:$B,Drs_Crs!$A126)</f>
        <v>0</v>
      </c>
    </row>
    <row r="127" spans="1:11" s="193" customFormat="1" ht="13.9" hidden="1" x14ac:dyDescent="0.25">
      <c r="A127" s="226" t="s">
        <v>963</v>
      </c>
      <c r="B127" s="227" t="str">
        <f>VLOOKUP(A127,'List of Ledgers '!B:G,6,0)</f>
        <v>Bluestreak</v>
      </c>
      <c r="C127" s="228">
        <f>SUMIFS('List of Ledgers '!I:I,'List of Ledgers '!$E:$E,Drs_Crs!$A$28,'List of Ledgers '!$B:$B,Drs_Crs!$A127)</f>
        <v>-50000</v>
      </c>
      <c r="D127" s="228">
        <f>SUMIFS('List of Ledgers '!J:J,'List of Ledgers '!$E:$E,Drs_Crs!$A$28,'List of Ledgers '!$B:$B,Drs_Crs!$A127)</f>
        <v>0</v>
      </c>
      <c r="E127" s="228">
        <f>SUMIFS('List of Ledgers '!K:K,'List of Ledgers '!$E:$E,Drs_Crs!$A$28,'List of Ledgers '!$B:$B,Drs_Crs!$A127)</f>
        <v>0</v>
      </c>
      <c r="F127" s="228">
        <f>SUMIFS('List of Ledgers '!L:L,'List of Ledgers '!$E:$E,Drs_Crs!$A$28,'List of Ledgers '!$B:$B,Drs_Crs!$A127)</f>
        <v>-50000</v>
      </c>
      <c r="G127" s="197"/>
      <c r="H127" s="228">
        <f>SUMIFS('List of Ledgers '!N:N,'List of Ledgers '!$E:$E,Drs_Crs!$A$28,'List of Ledgers '!$B:$B,Drs_Crs!$A127)</f>
        <v>-50000</v>
      </c>
      <c r="I127" s="228">
        <f>SUMIFS('List of Ledgers '!O:O,'List of Ledgers '!$E:$E,Drs_Crs!$A$28,'List of Ledgers '!$B:$B,Drs_Crs!$A127)</f>
        <v>0</v>
      </c>
      <c r="J127" s="228">
        <f>SUMIFS('List of Ledgers '!P:P,'List of Ledgers '!$E:$E,Drs_Crs!$A$28,'List of Ledgers '!$B:$B,Drs_Crs!$A127)</f>
        <v>0</v>
      </c>
      <c r="K127" s="228">
        <f>SUMIFS('List of Ledgers '!Q:Q,'List of Ledgers '!$E:$E,Drs_Crs!$A$28,'List of Ledgers '!$B:$B,Drs_Crs!$A127)</f>
        <v>-50000</v>
      </c>
    </row>
    <row r="128" spans="1:11" ht="13.9" hidden="1" x14ac:dyDescent="0.25">
      <c r="A128" s="125" t="s">
        <v>980</v>
      </c>
      <c r="B128" s="102" t="str">
        <f>VLOOKUP(A128,'List of Ledgers '!B:G,6,0)</f>
        <v>Bluestreak</v>
      </c>
      <c r="C128" s="76">
        <f>SUMIFS('List of Ledgers '!I:I,'List of Ledgers '!$E:$E,Drs_Crs!$A$28,'List of Ledgers '!$B:$B,Drs_Crs!$A128)</f>
        <v>0</v>
      </c>
      <c r="D128" s="76">
        <f>SUMIFS('List of Ledgers '!J:J,'List of Ledgers '!$E:$E,Drs_Crs!$A$28,'List of Ledgers '!$B:$B,Drs_Crs!$A128)</f>
        <v>0</v>
      </c>
      <c r="E128" s="76">
        <f>SUMIFS('List of Ledgers '!K:K,'List of Ledgers '!$E:$E,Drs_Crs!$A$28,'List of Ledgers '!$B:$B,Drs_Crs!$A128)</f>
        <v>0</v>
      </c>
      <c r="F128" s="76">
        <f>SUMIFS('List of Ledgers '!L:L,'List of Ledgers '!$E:$E,Drs_Crs!$A$28,'List of Ledgers '!$B:$B,Drs_Crs!$A128)</f>
        <v>0</v>
      </c>
      <c r="H128" s="76">
        <f>SUMIFS('List of Ledgers '!N:N,'List of Ledgers '!$E:$E,Drs_Crs!$A$28,'List of Ledgers '!$B:$B,Drs_Crs!$A128)</f>
        <v>0</v>
      </c>
      <c r="I128" s="76">
        <f>SUMIFS('List of Ledgers '!O:O,'List of Ledgers '!$E:$E,Drs_Crs!$A$28,'List of Ledgers '!$B:$B,Drs_Crs!$A128)</f>
        <v>0</v>
      </c>
      <c r="J128" s="76">
        <f>SUMIFS('List of Ledgers '!P:P,'List of Ledgers '!$E:$E,Drs_Crs!$A$28,'List of Ledgers '!$B:$B,Drs_Crs!$A128)</f>
        <v>0</v>
      </c>
      <c r="K128" s="76">
        <f>SUMIFS('List of Ledgers '!Q:Q,'List of Ledgers '!$E:$E,Drs_Crs!$A$28,'List of Ledgers '!$B:$B,Drs_Crs!$A128)</f>
        <v>0</v>
      </c>
    </row>
    <row r="129" spans="1:11" ht="13.9" hidden="1" x14ac:dyDescent="0.25">
      <c r="A129" s="125" t="s">
        <v>983</v>
      </c>
      <c r="B129" s="102" t="str">
        <f>VLOOKUP(A129,'List of Ledgers '!B:G,6,0)</f>
        <v>Clarus</v>
      </c>
      <c r="C129" s="76">
        <f>SUMIFS('List of Ledgers '!I:I,'List of Ledgers '!$E:$E,Drs_Crs!$A$28,'List of Ledgers '!$B:$B,Drs_Crs!$A129)</f>
        <v>0</v>
      </c>
      <c r="D129" s="76">
        <f>SUMIFS('List of Ledgers '!J:J,'List of Ledgers '!$E:$E,Drs_Crs!$A$28,'List of Ledgers '!$B:$B,Drs_Crs!$A129)</f>
        <v>0</v>
      </c>
      <c r="E129" s="76">
        <f>SUMIFS('List of Ledgers '!K:K,'List of Ledgers '!$E:$E,Drs_Crs!$A$28,'List of Ledgers '!$B:$B,Drs_Crs!$A129)</f>
        <v>0</v>
      </c>
      <c r="F129" s="76">
        <f>SUMIFS('List of Ledgers '!L:L,'List of Ledgers '!$E:$E,Drs_Crs!$A$28,'List of Ledgers '!$B:$B,Drs_Crs!$A129)</f>
        <v>0</v>
      </c>
      <c r="H129" s="76">
        <f>SUMIFS('List of Ledgers '!N:N,'List of Ledgers '!$E:$E,Drs_Crs!$A$28,'List of Ledgers '!$B:$B,Drs_Crs!$A129)</f>
        <v>200</v>
      </c>
      <c r="I129" s="76">
        <f>SUMIFS('List of Ledgers '!O:O,'List of Ledgers '!$E:$E,Drs_Crs!$A$28,'List of Ledgers '!$B:$B,Drs_Crs!$A129)</f>
        <v>133084</v>
      </c>
      <c r="J129" s="76">
        <f>SUMIFS('List of Ledgers '!P:P,'List of Ledgers '!$E:$E,Drs_Crs!$A$28,'List of Ledgers '!$B:$B,Drs_Crs!$A129)</f>
        <v>133284</v>
      </c>
      <c r="K129" s="76">
        <f>SUMIFS('List of Ledgers '!Q:Q,'List of Ledgers '!$E:$E,Drs_Crs!$A$28,'List of Ledgers '!$B:$B,Drs_Crs!$A129)</f>
        <v>0</v>
      </c>
    </row>
    <row r="130" spans="1:11" ht="13.9" hidden="1" x14ac:dyDescent="0.25">
      <c r="A130" s="125" t="s">
        <v>987</v>
      </c>
      <c r="B130" s="102" t="str">
        <f>VLOOKUP(A130,'List of Ledgers '!B:G,6,0)</f>
        <v>Bluestreak</v>
      </c>
      <c r="C130" s="76">
        <f>SUMIFS('List of Ledgers '!I:I,'List of Ledgers '!$E:$E,Drs_Crs!$A$28,'List of Ledgers '!$B:$B,Drs_Crs!$A130)</f>
        <v>0</v>
      </c>
      <c r="D130" s="76">
        <f>SUMIFS('List of Ledgers '!J:J,'List of Ledgers '!$E:$E,Drs_Crs!$A$28,'List of Ledgers '!$B:$B,Drs_Crs!$A130)</f>
        <v>0</v>
      </c>
      <c r="E130" s="76">
        <f>SUMIFS('List of Ledgers '!K:K,'List of Ledgers '!$E:$E,Drs_Crs!$A$28,'List of Ledgers '!$B:$B,Drs_Crs!$A130)</f>
        <v>0</v>
      </c>
      <c r="F130" s="76">
        <f>SUMIFS('List of Ledgers '!L:L,'List of Ledgers '!$E:$E,Drs_Crs!$A$28,'List of Ledgers '!$B:$B,Drs_Crs!$A130)</f>
        <v>0</v>
      </c>
      <c r="H130" s="76">
        <f>SUMIFS('List of Ledgers '!N:N,'List of Ledgers '!$E:$E,Drs_Crs!$A$28,'List of Ledgers '!$B:$B,Drs_Crs!$A130)</f>
        <v>0</v>
      </c>
      <c r="I130" s="76">
        <f>SUMIFS('List of Ledgers '!O:O,'List of Ledgers '!$E:$E,Drs_Crs!$A$28,'List of Ledgers '!$B:$B,Drs_Crs!$A130)</f>
        <v>0</v>
      </c>
      <c r="J130" s="76">
        <f>SUMIFS('List of Ledgers '!P:P,'List of Ledgers '!$E:$E,Drs_Crs!$A$28,'List of Ledgers '!$B:$B,Drs_Crs!$A130)</f>
        <v>0</v>
      </c>
      <c r="K130" s="76">
        <f>SUMIFS('List of Ledgers '!Q:Q,'List of Ledgers '!$E:$E,Drs_Crs!$A$28,'List of Ledgers '!$B:$B,Drs_Crs!$A130)</f>
        <v>0</v>
      </c>
    </row>
    <row r="131" spans="1:11" ht="13.9" hidden="1" x14ac:dyDescent="0.25">
      <c r="A131" s="125" t="s">
        <v>988</v>
      </c>
      <c r="B131" s="102" t="str">
        <f>VLOOKUP(A131,'List of Ledgers '!B:G,6,0)</f>
        <v>Clarus</v>
      </c>
      <c r="C131" s="76">
        <f>SUMIFS('List of Ledgers '!I:I,'List of Ledgers '!$E:$E,Drs_Crs!$A$28,'List of Ledgers '!$B:$B,Drs_Crs!$A131)</f>
        <v>0</v>
      </c>
      <c r="D131" s="76">
        <f>SUMIFS('List of Ledgers '!J:J,'List of Ledgers '!$E:$E,Drs_Crs!$A$28,'List of Ledgers '!$B:$B,Drs_Crs!$A131)</f>
        <v>0</v>
      </c>
      <c r="E131" s="76">
        <f>SUMIFS('List of Ledgers '!K:K,'List of Ledgers '!$E:$E,Drs_Crs!$A$28,'List of Ledgers '!$B:$B,Drs_Crs!$A131)</f>
        <v>0</v>
      </c>
      <c r="F131" s="76">
        <f>SUMIFS('List of Ledgers '!L:L,'List of Ledgers '!$E:$E,Drs_Crs!$A$28,'List of Ledgers '!$B:$B,Drs_Crs!$A131)</f>
        <v>0</v>
      </c>
      <c r="H131" s="76">
        <f>SUMIFS('List of Ledgers '!N:N,'List of Ledgers '!$E:$E,Drs_Crs!$A$28,'List of Ledgers '!$B:$B,Drs_Crs!$A131)</f>
        <v>0</v>
      </c>
      <c r="I131" s="76">
        <f>SUMIFS('List of Ledgers '!O:O,'List of Ledgers '!$E:$E,Drs_Crs!$A$28,'List of Ledgers '!$B:$B,Drs_Crs!$A131)</f>
        <v>0</v>
      </c>
      <c r="J131" s="76">
        <f>SUMIFS('List of Ledgers '!P:P,'List of Ledgers '!$E:$E,Drs_Crs!$A$28,'List of Ledgers '!$B:$B,Drs_Crs!$A131)</f>
        <v>0</v>
      </c>
      <c r="K131" s="76">
        <f>SUMIFS('List of Ledgers '!Q:Q,'List of Ledgers '!$E:$E,Drs_Crs!$A$28,'List of Ledgers '!$B:$B,Drs_Crs!$A131)</f>
        <v>0</v>
      </c>
    </row>
    <row r="132" spans="1:11" ht="13.9" hidden="1" x14ac:dyDescent="0.25">
      <c r="A132" s="125" t="s">
        <v>991</v>
      </c>
      <c r="B132" s="102" t="str">
        <f>VLOOKUP(A132,'List of Ledgers '!B:G,6,0)</f>
        <v>Clarus</v>
      </c>
      <c r="C132" s="76">
        <f>SUMIFS('List of Ledgers '!I:I,'List of Ledgers '!$E:$E,Drs_Crs!$A$28,'List of Ledgers '!$B:$B,Drs_Crs!$A132)</f>
        <v>0</v>
      </c>
      <c r="D132" s="76">
        <f>SUMIFS('List of Ledgers '!J:J,'List of Ledgers '!$E:$E,Drs_Crs!$A$28,'List of Ledgers '!$B:$B,Drs_Crs!$A132)</f>
        <v>0</v>
      </c>
      <c r="E132" s="76">
        <f>SUMIFS('List of Ledgers '!K:K,'List of Ledgers '!$E:$E,Drs_Crs!$A$28,'List of Ledgers '!$B:$B,Drs_Crs!$A132)</f>
        <v>0</v>
      </c>
      <c r="F132" s="76">
        <f>SUMIFS('List of Ledgers '!L:L,'List of Ledgers '!$E:$E,Drs_Crs!$A$28,'List of Ledgers '!$B:$B,Drs_Crs!$A132)</f>
        <v>0</v>
      </c>
      <c r="H132" s="76">
        <f>SUMIFS('List of Ledgers '!N:N,'List of Ledgers '!$E:$E,Drs_Crs!$A$28,'List of Ledgers '!$B:$B,Drs_Crs!$A132)</f>
        <v>0</v>
      </c>
      <c r="I132" s="76">
        <f>SUMIFS('List of Ledgers '!O:O,'List of Ledgers '!$E:$E,Drs_Crs!$A$28,'List of Ledgers '!$B:$B,Drs_Crs!$A132)</f>
        <v>43804</v>
      </c>
      <c r="J132" s="76">
        <f>SUMIFS('List of Ledgers '!P:P,'List of Ledgers '!$E:$E,Drs_Crs!$A$28,'List of Ledgers '!$B:$B,Drs_Crs!$A132)</f>
        <v>43804</v>
      </c>
      <c r="K132" s="76">
        <f>SUMIFS('List of Ledgers '!Q:Q,'List of Ledgers '!$E:$E,Drs_Crs!$A$28,'List of Ledgers '!$B:$B,Drs_Crs!$A132)</f>
        <v>0</v>
      </c>
    </row>
    <row r="133" spans="1:11" ht="13.9" hidden="1" x14ac:dyDescent="0.25">
      <c r="A133" s="125" t="s">
        <v>997</v>
      </c>
      <c r="B133" s="102" t="str">
        <f>VLOOKUP(A133,'List of Ledgers '!B:G,6,0)</f>
        <v>Bluestreak</v>
      </c>
      <c r="C133" s="76">
        <f>SUMIFS('List of Ledgers '!I:I,'List of Ledgers '!$E:$E,Drs_Crs!$A$28,'List of Ledgers '!$B:$B,Drs_Crs!$A133)</f>
        <v>0</v>
      </c>
      <c r="D133" s="76">
        <f>SUMIFS('List of Ledgers '!J:J,'List of Ledgers '!$E:$E,Drs_Crs!$A$28,'List of Ledgers '!$B:$B,Drs_Crs!$A133)</f>
        <v>0</v>
      </c>
      <c r="E133" s="76">
        <f>SUMIFS('List of Ledgers '!K:K,'List of Ledgers '!$E:$E,Drs_Crs!$A$28,'List of Ledgers '!$B:$B,Drs_Crs!$A133)</f>
        <v>0</v>
      </c>
      <c r="F133" s="76">
        <f>SUMIFS('List of Ledgers '!L:L,'List of Ledgers '!$E:$E,Drs_Crs!$A$28,'List of Ledgers '!$B:$B,Drs_Crs!$A133)</f>
        <v>0</v>
      </c>
      <c r="H133" s="76">
        <f>SUMIFS('List of Ledgers '!N:N,'List of Ledgers '!$E:$E,Drs_Crs!$A$28,'List of Ledgers '!$B:$B,Drs_Crs!$A133)</f>
        <v>0</v>
      </c>
      <c r="I133" s="76">
        <f>SUMIFS('List of Ledgers '!O:O,'List of Ledgers '!$E:$E,Drs_Crs!$A$28,'List of Ledgers '!$B:$B,Drs_Crs!$A133)</f>
        <v>0</v>
      </c>
      <c r="J133" s="76">
        <f>SUMIFS('List of Ledgers '!P:P,'List of Ledgers '!$E:$E,Drs_Crs!$A$28,'List of Ledgers '!$B:$B,Drs_Crs!$A133)</f>
        <v>0</v>
      </c>
      <c r="K133" s="76">
        <f>SUMIFS('List of Ledgers '!Q:Q,'List of Ledgers '!$E:$E,Drs_Crs!$A$28,'List of Ledgers '!$B:$B,Drs_Crs!$A133)</f>
        <v>0</v>
      </c>
    </row>
    <row r="134" spans="1:11" s="193" customFormat="1" ht="13.9" hidden="1" x14ac:dyDescent="0.25">
      <c r="A134" s="226" t="s">
        <v>998</v>
      </c>
      <c r="B134" s="227" t="str">
        <f>VLOOKUP(A134,'List of Ledgers '!B:G,6,0)</f>
        <v>Bluestreak</v>
      </c>
      <c r="C134" s="228">
        <f>SUMIFS('List of Ledgers '!I:I,'List of Ledgers '!$E:$E,Drs_Crs!$A$28,'List of Ledgers '!$B:$B,Drs_Crs!$A134)</f>
        <v>-507408</v>
      </c>
      <c r="D134" s="228">
        <f>SUMIFS('List of Ledgers '!J:J,'List of Ledgers '!$E:$E,Drs_Crs!$A$28,'List of Ledgers '!$B:$B,Drs_Crs!$A134)</f>
        <v>0</v>
      </c>
      <c r="E134" s="228">
        <f>SUMIFS('List of Ledgers '!K:K,'List of Ledgers '!$E:$E,Drs_Crs!$A$28,'List of Ledgers '!$B:$B,Drs_Crs!$A134)</f>
        <v>0</v>
      </c>
      <c r="F134" s="228">
        <f>SUMIFS('List of Ledgers '!L:L,'List of Ledgers '!$E:$E,Drs_Crs!$A$28,'List of Ledgers '!$B:$B,Drs_Crs!$A134)</f>
        <v>-507408</v>
      </c>
      <c r="G134" s="197"/>
      <c r="H134" s="228">
        <f>SUMIFS('List of Ledgers '!N:N,'List of Ledgers '!$E:$E,Drs_Crs!$A$28,'List of Ledgers '!$B:$B,Drs_Crs!$A134)</f>
        <v>-30000</v>
      </c>
      <c r="I134" s="228">
        <f>SUMIFS('List of Ledgers '!O:O,'List of Ledgers '!$E:$E,Drs_Crs!$A$28,'List of Ledgers '!$B:$B,Drs_Crs!$A134)</f>
        <v>0</v>
      </c>
      <c r="J134" s="228">
        <f>SUMIFS('List of Ledgers '!P:P,'List of Ledgers '!$E:$E,Drs_Crs!$A$28,'List of Ledgers '!$B:$B,Drs_Crs!$A134)</f>
        <v>477408</v>
      </c>
      <c r="K134" s="228">
        <f>SUMIFS('List of Ledgers '!Q:Q,'List of Ledgers '!$E:$E,Drs_Crs!$A$28,'List of Ledgers '!$B:$B,Drs_Crs!$A134)</f>
        <v>-507408</v>
      </c>
    </row>
    <row r="135" spans="1:11" s="193" customFormat="1" ht="13.9" hidden="1" x14ac:dyDescent="0.25">
      <c r="A135" s="226" t="s">
        <v>1003</v>
      </c>
      <c r="B135" s="227" t="str">
        <f>VLOOKUP(A135,'List of Ledgers '!B:G,6,0)</f>
        <v>Bluestreak</v>
      </c>
      <c r="C135" s="228">
        <f>SUMIFS('List of Ledgers '!I:I,'List of Ledgers '!$E:$E,Drs_Crs!$A$28,'List of Ledgers '!$B:$B,Drs_Crs!$A135)</f>
        <v>64900</v>
      </c>
      <c r="D135" s="228">
        <f>SUMIFS('List of Ledgers '!J:J,'List of Ledgers '!$E:$E,Drs_Crs!$A$28,'List of Ledgers '!$B:$B,Drs_Crs!$A135)</f>
        <v>0</v>
      </c>
      <c r="E135" s="228">
        <f>SUMIFS('List of Ledgers '!K:K,'List of Ledgers '!$E:$E,Drs_Crs!$A$28,'List of Ledgers '!$B:$B,Drs_Crs!$A135)</f>
        <v>0</v>
      </c>
      <c r="F135" s="228">
        <f>SUMIFS('List of Ledgers '!L:L,'List of Ledgers '!$E:$E,Drs_Crs!$A$28,'List of Ledgers '!$B:$B,Drs_Crs!$A135)</f>
        <v>64900</v>
      </c>
      <c r="G135" s="197" t="s">
        <v>1416</v>
      </c>
      <c r="H135" s="228">
        <f>SUMIFS('List of Ledgers '!N:N,'List of Ledgers '!$E:$E,Drs_Crs!$A$28,'List of Ledgers '!$B:$B,Drs_Crs!$A135)</f>
        <v>64900</v>
      </c>
      <c r="I135" s="228">
        <f>SUMIFS('List of Ledgers '!O:O,'List of Ledgers '!$E:$E,Drs_Crs!$A$28,'List of Ledgers '!$B:$B,Drs_Crs!$A135)</f>
        <v>0</v>
      </c>
      <c r="J135" s="228">
        <f>SUMIFS('List of Ledgers '!P:P,'List of Ledgers '!$E:$E,Drs_Crs!$A$28,'List of Ledgers '!$B:$B,Drs_Crs!$A135)</f>
        <v>0</v>
      </c>
      <c r="K135" s="228">
        <f>SUMIFS('List of Ledgers '!Q:Q,'List of Ledgers '!$E:$E,Drs_Crs!$A$28,'List of Ledgers '!$B:$B,Drs_Crs!$A135)</f>
        <v>64900</v>
      </c>
    </row>
    <row r="136" spans="1:11" ht="13.9" hidden="1" x14ac:dyDescent="0.25">
      <c r="A136" s="125" t="s">
        <v>1002</v>
      </c>
      <c r="B136" s="102" t="str">
        <f>VLOOKUP(A136,'List of Ledgers '!B:G,6,0)</f>
        <v>Bluestreak</v>
      </c>
      <c r="C136" s="76">
        <f>SUMIFS('List of Ledgers '!I:I,'List of Ledgers '!$E:$E,Drs_Crs!$A$28,'List of Ledgers '!$B:$B,Drs_Crs!$A136)</f>
        <v>0</v>
      </c>
      <c r="D136" s="76">
        <f>SUMIFS('List of Ledgers '!J:J,'List of Ledgers '!$E:$E,Drs_Crs!$A$28,'List of Ledgers '!$B:$B,Drs_Crs!$A136)</f>
        <v>0</v>
      </c>
      <c r="E136" s="76">
        <f>SUMIFS('List of Ledgers '!K:K,'List of Ledgers '!$E:$E,Drs_Crs!$A$28,'List of Ledgers '!$B:$B,Drs_Crs!$A136)</f>
        <v>0</v>
      </c>
      <c r="F136" s="76">
        <f>SUMIFS('List of Ledgers '!L:L,'List of Ledgers '!$E:$E,Drs_Crs!$A$28,'List of Ledgers '!$B:$B,Drs_Crs!$A136)</f>
        <v>0</v>
      </c>
      <c r="H136" s="76">
        <f>SUMIFS('List of Ledgers '!N:N,'List of Ledgers '!$E:$E,Drs_Crs!$A$28,'List of Ledgers '!$B:$B,Drs_Crs!$A136)</f>
        <v>0</v>
      </c>
      <c r="I136" s="76">
        <f>SUMIFS('List of Ledgers '!O:O,'List of Ledgers '!$E:$E,Drs_Crs!$A$28,'List of Ledgers '!$B:$B,Drs_Crs!$A136)</f>
        <v>0</v>
      </c>
      <c r="J136" s="76">
        <f>SUMIFS('List of Ledgers '!P:P,'List of Ledgers '!$E:$E,Drs_Crs!$A$28,'List of Ledgers '!$B:$B,Drs_Crs!$A136)</f>
        <v>0</v>
      </c>
      <c r="K136" s="76">
        <f>SUMIFS('List of Ledgers '!Q:Q,'List of Ledgers '!$E:$E,Drs_Crs!$A$28,'List of Ledgers '!$B:$B,Drs_Crs!$A136)</f>
        <v>0</v>
      </c>
    </row>
    <row r="137" spans="1:11" ht="13.9" hidden="1" x14ac:dyDescent="0.25">
      <c r="A137" s="125" t="s">
        <v>999</v>
      </c>
      <c r="B137" s="102" t="str">
        <f>VLOOKUP(A137,'List of Ledgers '!B:G,6,0)</f>
        <v>Bluestreak</v>
      </c>
      <c r="C137" s="76">
        <f>SUMIFS('List of Ledgers '!I:I,'List of Ledgers '!$E:$E,Drs_Crs!$A$28,'List of Ledgers '!$B:$B,Drs_Crs!$A137)</f>
        <v>0</v>
      </c>
      <c r="D137" s="76">
        <f>SUMIFS('List of Ledgers '!J:J,'List of Ledgers '!$E:$E,Drs_Crs!$A$28,'List of Ledgers '!$B:$B,Drs_Crs!$A137)</f>
        <v>0</v>
      </c>
      <c r="E137" s="76">
        <f>SUMIFS('List of Ledgers '!K:K,'List of Ledgers '!$E:$E,Drs_Crs!$A$28,'List of Ledgers '!$B:$B,Drs_Crs!$A137)</f>
        <v>0</v>
      </c>
      <c r="F137" s="76">
        <f>SUMIFS('List of Ledgers '!L:L,'List of Ledgers '!$E:$E,Drs_Crs!$A$28,'List of Ledgers '!$B:$B,Drs_Crs!$A137)</f>
        <v>0</v>
      </c>
      <c r="H137" s="76">
        <f>SUMIFS('List of Ledgers '!N:N,'List of Ledgers '!$E:$E,Drs_Crs!$A$28,'List of Ledgers '!$B:$B,Drs_Crs!$A137)</f>
        <v>5192</v>
      </c>
      <c r="I137" s="76">
        <f>SUMIFS('List of Ledgers '!O:O,'List of Ledgers '!$E:$E,Drs_Crs!$A$28,'List of Ledgers '!$B:$B,Drs_Crs!$A137)</f>
        <v>5192</v>
      </c>
      <c r="J137" s="76">
        <f>SUMIFS('List of Ledgers '!P:P,'List of Ledgers '!$E:$E,Drs_Crs!$A$28,'List of Ledgers '!$B:$B,Drs_Crs!$A137)</f>
        <v>10384</v>
      </c>
      <c r="K137" s="76">
        <f>SUMIFS('List of Ledgers '!Q:Q,'List of Ledgers '!$E:$E,Drs_Crs!$A$28,'List of Ledgers '!$B:$B,Drs_Crs!$A137)</f>
        <v>0</v>
      </c>
    </row>
    <row r="138" spans="1:11" ht="13.9" hidden="1" x14ac:dyDescent="0.25">
      <c r="A138" s="125" t="s">
        <v>1004</v>
      </c>
      <c r="B138" s="102" t="str">
        <f>VLOOKUP(A138,'List of Ledgers '!B:G,6,0)</f>
        <v>Bluestreak</v>
      </c>
      <c r="C138" s="76">
        <f>SUMIFS('List of Ledgers '!I:I,'List of Ledgers '!$E:$E,Drs_Crs!$A$28,'List of Ledgers '!$B:$B,Drs_Crs!$A138)</f>
        <v>0</v>
      </c>
      <c r="D138" s="76">
        <f>SUMIFS('List of Ledgers '!J:J,'List of Ledgers '!$E:$E,Drs_Crs!$A$28,'List of Ledgers '!$B:$B,Drs_Crs!$A138)</f>
        <v>0</v>
      </c>
      <c r="E138" s="76">
        <f>SUMIFS('List of Ledgers '!K:K,'List of Ledgers '!$E:$E,Drs_Crs!$A$28,'List of Ledgers '!$B:$B,Drs_Crs!$A138)</f>
        <v>0</v>
      </c>
      <c r="F138" s="76">
        <f>SUMIFS('List of Ledgers '!L:L,'List of Ledgers '!$E:$E,Drs_Crs!$A$28,'List of Ledgers '!$B:$B,Drs_Crs!$A138)</f>
        <v>0</v>
      </c>
      <c r="H138" s="76">
        <f>SUMIFS('List of Ledgers '!N:N,'List of Ledgers '!$E:$E,Drs_Crs!$A$28,'List of Ledgers '!$B:$B,Drs_Crs!$A138)</f>
        <v>0</v>
      </c>
      <c r="I138" s="76">
        <f>SUMIFS('List of Ledgers '!O:O,'List of Ledgers '!$E:$E,Drs_Crs!$A$28,'List of Ledgers '!$B:$B,Drs_Crs!$A138)</f>
        <v>0</v>
      </c>
      <c r="J138" s="76">
        <f>SUMIFS('List of Ledgers '!P:P,'List of Ledgers '!$E:$E,Drs_Crs!$A$28,'List of Ledgers '!$B:$B,Drs_Crs!$A138)</f>
        <v>0</v>
      </c>
      <c r="K138" s="76">
        <f>SUMIFS('List of Ledgers '!Q:Q,'List of Ledgers '!$E:$E,Drs_Crs!$A$28,'List of Ledgers '!$B:$B,Drs_Crs!$A138)</f>
        <v>0</v>
      </c>
    </row>
    <row r="139" spans="1:11" s="193" customFormat="1" ht="13.9" hidden="1" x14ac:dyDescent="0.25">
      <c r="A139" s="226" t="s">
        <v>1014</v>
      </c>
      <c r="B139" s="227" t="str">
        <f>VLOOKUP(A139,'List of Ledgers '!B:G,6,0)</f>
        <v>Clarus</v>
      </c>
      <c r="C139" s="228">
        <f>SUMIFS('List of Ledgers '!I:I,'List of Ledgers '!$E:$E,Drs_Crs!$A$28,'List of Ledgers '!$B:$B,Drs_Crs!$A139)</f>
        <v>566</v>
      </c>
      <c r="D139" s="228">
        <f>SUMIFS('List of Ledgers '!J:J,'List of Ledgers '!$E:$E,Drs_Crs!$A$28,'List of Ledgers '!$B:$B,Drs_Crs!$A139)</f>
        <v>0</v>
      </c>
      <c r="E139" s="228">
        <f>SUMIFS('List of Ledgers '!K:K,'List of Ledgers '!$E:$E,Drs_Crs!$A$28,'List of Ledgers '!$B:$B,Drs_Crs!$A139)</f>
        <v>0</v>
      </c>
      <c r="F139" s="228">
        <f>SUMIFS('List of Ledgers '!L:L,'List of Ledgers '!$E:$E,Drs_Crs!$A$28,'List of Ledgers '!$B:$B,Drs_Crs!$A139)</f>
        <v>566</v>
      </c>
      <c r="G139" s="197" t="s">
        <v>1416</v>
      </c>
      <c r="H139" s="228">
        <f>SUMIFS('List of Ledgers '!N:N,'List of Ledgers '!$E:$E,Drs_Crs!$A$28,'List of Ledgers '!$B:$B,Drs_Crs!$A139)</f>
        <v>566</v>
      </c>
      <c r="I139" s="228">
        <f>SUMIFS('List of Ledgers '!O:O,'List of Ledgers '!$E:$E,Drs_Crs!$A$28,'List of Ledgers '!$B:$B,Drs_Crs!$A139)</f>
        <v>75096</v>
      </c>
      <c r="J139" s="228">
        <f>SUMIFS('List of Ledgers '!P:P,'List of Ledgers '!$E:$E,Drs_Crs!$A$28,'List of Ledgers '!$B:$B,Drs_Crs!$A139)</f>
        <v>75096</v>
      </c>
      <c r="K139" s="228">
        <f>SUMIFS('List of Ledgers '!Q:Q,'List of Ledgers '!$E:$E,Drs_Crs!$A$28,'List of Ledgers '!$B:$B,Drs_Crs!$A139)</f>
        <v>566</v>
      </c>
    </row>
    <row r="140" spans="1:11" s="193" customFormat="1" ht="13.9" x14ac:dyDescent="0.25">
      <c r="A140" s="226" t="s">
        <v>1015</v>
      </c>
      <c r="B140" s="227" t="str">
        <f>VLOOKUP(A140,'List of Ledgers '!B:G,6,0)</f>
        <v>Clarus</v>
      </c>
      <c r="C140" s="228">
        <f>SUMIFS('List of Ledgers '!I:I,'List of Ledgers '!$E:$E,Drs_Crs!$A$28,'List of Ledgers '!$B:$B,Drs_Crs!$A140)</f>
        <v>107429.98</v>
      </c>
      <c r="D140" s="228">
        <f>SUMIFS('List of Ledgers '!J:J,'List of Ledgers '!$E:$E,Drs_Crs!$A$28,'List of Ledgers '!$B:$B,Drs_Crs!$A140)</f>
        <v>33553</v>
      </c>
      <c r="E140" s="228">
        <f>SUMIFS('List of Ledgers '!K:K,'List of Ledgers '!$E:$E,Drs_Crs!$A$28,'List of Ledgers '!$B:$B,Drs_Crs!$A140)</f>
        <v>26235</v>
      </c>
      <c r="F140" s="228">
        <f>SUMIFS('List of Ledgers '!L:L,'List of Ledgers '!$E:$E,Drs_Crs!$A$28,'List of Ledgers '!$B:$B,Drs_Crs!$A140)</f>
        <v>114747.98</v>
      </c>
      <c r="G140" s="197"/>
      <c r="H140" s="228">
        <f>SUMIFS('List of Ledgers '!N:N,'List of Ledgers '!$E:$E,Drs_Crs!$A$28,'List of Ledgers '!$B:$B,Drs_Crs!$A140)</f>
        <v>133679</v>
      </c>
      <c r="I140" s="228">
        <f>SUMIFS('List of Ledgers '!O:O,'List of Ledgers '!$E:$E,Drs_Crs!$A$28,'List of Ledgers '!$B:$B,Drs_Crs!$A140)</f>
        <v>333013</v>
      </c>
      <c r="J140" s="228">
        <f>SUMIFS('List of Ledgers '!P:P,'List of Ledgers '!$E:$E,Drs_Crs!$A$28,'List of Ledgers '!$B:$B,Drs_Crs!$A140)</f>
        <v>351944.02</v>
      </c>
      <c r="K140" s="228">
        <f>SUMIFS('List of Ledgers '!Q:Q,'List of Ledgers '!$E:$E,Drs_Crs!$A$28,'List of Ledgers '!$B:$B,Drs_Crs!$A140)</f>
        <v>114747.98</v>
      </c>
    </row>
    <row r="141" spans="1:11" ht="13.9" hidden="1" x14ac:dyDescent="0.25">
      <c r="A141" s="2" t="s">
        <v>315</v>
      </c>
      <c r="B141" s="102" t="str">
        <f>VLOOKUP(A141,'List of Ledgers '!B:G,6,0)</f>
        <v>IT</v>
      </c>
      <c r="C141" s="76">
        <f>SUMIFS('List of Ledgers '!I:I,'List of Ledgers '!$E:$E,Drs_Crs!$A$28,'List of Ledgers '!$B:$B,Drs_Crs!$A141)</f>
        <v>0</v>
      </c>
      <c r="D141" s="76">
        <f>SUMIFS('List of Ledgers '!J:J,'List of Ledgers '!$E:$E,Drs_Crs!$A$28,'List of Ledgers '!$B:$B,Drs_Crs!$A141)</f>
        <v>0</v>
      </c>
      <c r="E141" s="76">
        <f>SUMIFS('List of Ledgers '!K:K,'List of Ledgers '!$E:$E,Drs_Crs!$A$28,'List of Ledgers '!$B:$B,Drs_Crs!$A141)</f>
        <v>0</v>
      </c>
      <c r="F141" s="76">
        <f>SUMIFS('List of Ledgers '!L:L,'List of Ledgers '!$E:$E,Drs_Crs!$A$28,'List of Ledgers '!$B:$B,Drs_Crs!$A141)</f>
        <v>0</v>
      </c>
      <c r="H141" s="76">
        <f>SUMIFS('List of Ledgers '!N:N,'List of Ledgers '!$E:$E,Drs_Crs!$A$28,'List of Ledgers '!$B:$B,Drs_Crs!$A141)</f>
        <v>0</v>
      </c>
      <c r="I141" s="76">
        <f>SUMIFS('List of Ledgers '!O:O,'List of Ledgers '!$E:$E,Drs_Crs!$A$28,'List of Ledgers '!$B:$B,Drs_Crs!$A141)</f>
        <v>35385851.270000003</v>
      </c>
      <c r="J141" s="76">
        <f>SUMIFS('List of Ledgers '!P:P,'List of Ledgers '!$E:$E,Drs_Crs!$A$28,'List of Ledgers '!$B:$B,Drs_Crs!$A141)</f>
        <v>35385851.270000003</v>
      </c>
      <c r="K141" s="76">
        <f>SUMIFS('List of Ledgers '!Q:Q,'List of Ledgers '!$E:$E,Drs_Crs!$A$28,'List of Ledgers '!$B:$B,Drs_Crs!$A141)</f>
        <v>0</v>
      </c>
    </row>
    <row r="142" spans="1:11" ht="13.9" hidden="1" x14ac:dyDescent="0.25">
      <c r="A142" s="125" t="s">
        <v>545</v>
      </c>
      <c r="B142" s="102" t="str">
        <f>VLOOKUP(A142,'List of Ledgers '!B:G,6,0)</f>
        <v>Common</v>
      </c>
      <c r="C142" s="76">
        <f>SUMIFS('List of Ledgers '!I:I,'List of Ledgers '!$E:$E,Drs_Crs!$A$28,'List of Ledgers '!$B:$B,Drs_Crs!$A142)</f>
        <v>0</v>
      </c>
      <c r="D142" s="76">
        <f>SUMIFS('List of Ledgers '!J:J,'List of Ledgers '!$E:$E,Drs_Crs!$A$28,'List of Ledgers '!$B:$B,Drs_Crs!$A142)</f>
        <v>0</v>
      </c>
      <c r="E142" s="76">
        <f>SUMIFS('List of Ledgers '!K:K,'List of Ledgers '!$E:$E,Drs_Crs!$A$28,'List of Ledgers '!$B:$B,Drs_Crs!$A142)</f>
        <v>0</v>
      </c>
      <c r="F142" s="76">
        <f>SUMIFS('List of Ledgers '!L:L,'List of Ledgers '!$E:$E,Drs_Crs!$A$28,'List of Ledgers '!$B:$B,Drs_Crs!$A142)</f>
        <v>0</v>
      </c>
      <c r="H142" s="76">
        <f>SUMIFS('List of Ledgers '!N:N,'List of Ledgers '!$E:$E,Drs_Crs!$A$28,'List of Ledgers '!$B:$B,Drs_Crs!$A142)</f>
        <v>0</v>
      </c>
      <c r="I142" s="76">
        <f>SUMIFS('List of Ledgers '!O:O,'List of Ledgers '!$E:$E,Drs_Crs!$A$28,'List of Ledgers '!$B:$B,Drs_Crs!$A142)</f>
        <v>0</v>
      </c>
      <c r="J142" s="76">
        <f>SUMIFS('List of Ledgers '!P:P,'List of Ledgers '!$E:$E,Drs_Crs!$A$28,'List of Ledgers '!$B:$B,Drs_Crs!$A142)</f>
        <v>0</v>
      </c>
      <c r="K142" s="76">
        <f>SUMIFS('List of Ledgers '!Q:Q,'List of Ledgers '!$E:$E,Drs_Crs!$A$28,'List of Ledgers '!$B:$B,Drs_Crs!$A142)</f>
        <v>0</v>
      </c>
    </row>
    <row r="143" spans="1:11" ht="13.9" hidden="1" x14ac:dyDescent="0.25">
      <c r="A143" s="125" t="s">
        <v>592</v>
      </c>
      <c r="B143" s="102" t="str">
        <f>VLOOKUP(A143,'List of Ledgers '!B:G,6,0)</f>
        <v>Bluestreak</v>
      </c>
      <c r="C143" s="76">
        <f>SUMIFS('List of Ledgers '!I:I,'List of Ledgers '!$E:$E,Drs_Crs!$A$28,'List of Ledgers '!$B:$B,Drs_Crs!$A143)</f>
        <v>0</v>
      </c>
      <c r="D143" s="76">
        <f>SUMIFS('List of Ledgers '!J:J,'List of Ledgers '!$E:$E,Drs_Crs!$A$28,'List of Ledgers '!$B:$B,Drs_Crs!$A143)</f>
        <v>0</v>
      </c>
      <c r="E143" s="76">
        <f>SUMIFS('List of Ledgers '!K:K,'List of Ledgers '!$E:$E,Drs_Crs!$A$28,'List of Ledgers '!$B:$B,Drs_Crs!$A143)</f>
        <v>0</v>
      </c>
      <c r="F143" s="76">
        <f>SUMIFS('List of Ledgers '!L:L,'List of Ledgers '!$E:$E,Drs_Crs!$A$28,'List of Ledgers '!$B:$B,Drs_Crs!$A143)</f>
        <v>0</v>
      </c>
      <c r="H143" s="76">
        <f>SUMIFS('List of Ledgers '!N:N,'List of Ledgers '!$E:$E,Drs_Crs!$A$28,'List of Ledgers '!$B:$B,Drs_Crs!$A143)</f>
        <v>0</v>
      </c>
      <c r="I143" s="76">
        <f>SUMIFS('List of Ledgers '!O:O,'List of Ledgers '!$E:$E,Drs_Crs!$A$28,'List of Ledgers '!$B:$B,Drs_Crs!$A143)</f>
        <v>0</v>
      </c>
      <c r="J143" s="76">
        <f>SUMIFS('List of Ledgers '!P:P,'List of Ledgers '!$E:$E,Drs_Crs!$A$28,'List of Ledgers '!$B:$B,Drs_Crs!$A143)</f>
        <v>0</v>
      </c>
      <c r="K143" s="76">
        <f>SUMIFS('List of Ledgers '!Q:Q,'List of Ledgers '!$E:$E,Drs_Crs!$A$28,'List of Ledgers '!$B:$B,Drs_Crs!$A143)</f>
        <v>0</v>
      </c>
    </row>
    <row r="144" spans="1:11" ht="13.9" hidden="1" x14ac:dyDescent="0.25">
      <c r="A144" s="125" t="s">
        <v>619</v>
      </c>
      <c r="B144" s="102" t="str">
        <f>VLOOKUP(A144,'List of Ledgers '!B:G,6,0)</f>
        <v>Common</v>
      </c>
      <c r="C144" s="76">
        <f>SUMIFS('List of Ledgers '!I:I,'List of Ledgers '!$E:$E,Drs_Crs!$A$28,'List of Ledgers '!$B:$B,Drs_Crs!$A144)</f>
        <v>0</v>
      </c>
      <c r="D144" s="76">
        <f>SUMIFS('List of Ledgers '!J:J,'List of Ledgers '!$E:$E,Drs_Crs!$A$28,'List of Ledgers '!$B:$B,Drs_Crs!$A144)</f>
        <v>0</v>
      </c>
      <c r="E144" s="76">
        <f>SUMIFS('List of Ledgers '!K:K,'List of Ledgers '!$E:$E,Drs_Crs!$A$28,'List of Ledgers '!$B:$B,Drs_Crs!$A144)</f>
        <v>0</v>
      </c>
      <c r="F144" s="76">
        <f>SUMIFS('List of Ledgers '!L:L,'List of Ledgers '!$E:$E,Drs_Crs!$A$28,'List of Ledgers '!$B:$B,Drs_Crs!$A144)</f>
        <v>0</v>
      </c>
      <c r="H144" s="76">
        <f>SUMIFS('List of Ledgers '!N:N,'List of Ledgers '!$E:$E,Drs_Crs!$A$28,'List of Ledgers '!$B:$B,Drs_Crs!$A144)</f>
        <v>0</v>
      </c>
      <c r="I144" s="76">
        <f>SUMIFS('List of Ledgers '!O:O,'List of Ledgers '!$E:$E,Drs_Crs!$A$28,'List of Ledgers '!$B:$B,Drs_Crs!$A144)</f>
        <v>0</v>
      </c>
      <c r="J144" s="76">
        <f>SUMIFS('List of Ledgers '!P:P,'List of Ledgers '!$E:$E,Drs_Crs!$A$28,'List of Ledgers '!$B:$B,Drs_Crs!$A144)</f>
        <v>0</v>
      </c>
      <c r="K144" s="76">
        <f>SUMIFS('List of Ledgers '!Q:Q,'List of Ledgers '!$E:$E,Drs_Crs!$A$28,'List of Ledgers '!$B:$B,Drs_Crs!$A144)</f>
        <v>0</v>
      </c>
    </row>
    <row r="145" spans="1:11" ht="13.9" hidden="1" x14ac:dyDescent="0.25">
      <c r="A145" s="125" t="s">
        <v>708</v>
      </c>
      <c r="B145" s="102" t="str">
        <f>VLOOKUP(A145,'List of Ledgers '!B:G,6,0)</f>
        <v>Common</v>
      </c>
      <c r="C145" s="76">
        <f>SUMIFS('List of Ledgers '!I:I,'List of Ledgers '!$E:$E,Drs_Crs!$A$28,'List of Ledgers '!$B:$B,Drs_Crs!$A145)</f>
        <v>0</v>
      </c>
      <c r="D145" s="76">
        <f>SUMIFS('List of Ledgers '!J:J,'List of Ledgers '!$E:$E,Drs_Crs!$A$28,'List of Ledgers '!$B:$B,Drs_Crs!$A145)</f>
        <v>0</v>
      </c>
      <c r="E145" s="76">
        <f>SUMIFS('List of Ledgers '!K:K,'List of Ledgers '!$E:$E,Drs_Crs!$A$28,'List of Ledgers '!$B:$B,Drs_Crs!$A145)</f>
        <v>0</v>
      </c>
      <c r="F145" s="76">
        <f>SUMIFS('List of Ledgers '!L:L,'List of Ledgers '!$E:$E,Drs_Crs!$A$28,'List of Ledgers '!$B:$B,Drs_Crs!$A145)</f>
        <v>0</v>
      </c>
      <c r="H145" s="76">
        <f>SUMIFS('List of Ledgers '!N:N,'List of Ledgers '!$E:$E,Drs_Crs!$A$28,'List of Ledgers '!$B:$B,Drs_Crs!$A145)</f>
        <v>0</v>
      </c>
      <c r="I145" s="76">
        <f>SUMIFS('List of Ledgers '!O:O,'List of Ledgers '!$E:$E,Drs_Crs!$A$28,'List of Ledgers '!$B:$B,Drs_Crs!$A145)</f>
        <v>0</v>
      </c>
      <c r="J145" s="76">
        <f>SUMIFS('List of Ledgers '!P:P,'List of Ledgers '!$E:$E,Drs_Crs!$A$28,'List of Ledgers '!$B:$B,Drs_Crs!$A145)</f>
        <v>0</v>
      </c>
      <c r="K145" s="76">
        <f>SUMIFS('List of Ledgers '!Q:Q,'List of Ledgers '!$E:$E,Drs_Crs!$A$28,'List of Ledgers '!$B:$B,Drs_Crs!$A145)</f>
        <v>0</v>
      </c>
    </row>
    <row r="146" spans="1:11" ht="13.9" hidden="1" x14ac:dyDescent="0.25">
      <c r="A146" s="125" t="s">
        <v>707</v>
      </c>
      <c r="B146" s="102" t="str">
        <f>VLOOKUP(A146,'List of Ledgers '!B:G,6,0)</f>
        <v>Common</v>
      </c>
      <c r="C146" s="76">
        <f>SUMIFS('List of Ledgers '!I:I,'List of Ledgers '!$E:$E,Drs_Crs!$A$28,'List of Ledgers '!$B:$B,Drs_Crs!$A146)</f>
        <v>0</v>
      </c>
      <c r="D146" s="76">
        <f>SUMIFS('List of Ledgers '!J:J,'List of Ledgers '!$E:$E,Drs_Crs!$A$28,'List of Ledgers '!$B:$B,Drs_Crs!$A146)</f>
        <v>0</v>
      </c>
      <c r="E146" s="76">
        <f>SUMIFS('List of Ledgers '!K:K,'List of Ledgers '!$E:$E,Drs_Crs!$A$28,'List of Ledgers '!$B:$B,Drs_Crs!$A146)</f>
        <v>0</v>
      </c>
      <c r="F146" s="76">
        <f>SUMIFS('List of Ledgers '!L:L,'List of Ledgers '!$E:$E,Drs_Crs!$A$28,'List of Ledgers '!$B:$B,Drs_Crs!$A146)</f>
        <v>0</v>
      </c>
      <c r="H146" s="76">
        <f>SUMIFS('List of Ledgers '!N:N,'List of Ledgers '!$E:$E,Drs_Crs!$A$28,'List of Ledgers '!$B:$B,Drs_Crs!$A146)</f>
        <v>0</v>
      </c>
      <c r="I146" s="76">
        <f>SUMIFS('List of Ledgers '!O:O,'List of Ledgers '!$E:$E,Drs_Crs!$A$28,'List of Ledgers '!$B:$B,Drs_Crs!$A146)</f>
        <v>0</v>
      </c>
      <c r="J146" s="76">
        <f>SUMIFS('List of Ledgers '!P:P,'List of Ledgers '!$E:$E,Drs_Crs!$A$28,'List of Ledgers '!$B:$B,Drs_Crs!$A146)</f>
        <v>0</v>
      </c>
      <c r="K146" s="76">
        <f>SUMIFS('List of Ledgers '!Q:Q,'List of Ledgers '!$E:$E,Drs_Crs!$A$28,'List of Ledgers '!$B:$B,Drs_Crs!$A146)</f>
        <v>0</v>
      </c>
    </row>
    <row r="147" spans="1:11" ht="13.9" hidden="1" x14ac:dyDescent="0.25">
      <c r="A147" s="125" t="s">
        <v>739</v>
      </c>
      <c r="B147" s="102" t="str">
        <f>VLOOKUP(A147,'List of Ledgers '!B:G,6,0)</f>
        <v>Bluestreak</v>
      </c>
      <c r="C147" s="76">
        <f>SUMIFS('List of Ledgers '!I:I,'List of Ledgers '!$E:$E,Drs_Crs!$A$28,'List of Ledgers '!$B:$B,Drs_Crs!$A147)</f>
        <v>0</v>
      </c>
      <c r="D147" s="76">
        <f>SUMIFS('List of Ledgers '!J:J,'List of Ledgers '!$E:$E,Drs_Crs!$A$28,'List of Ledgers '!$B:$B,Drs_Crs!$A147)</f>
        <v>0</v>
      </c>
      <c r="E147" s="76">
        <f>SUMIFS('List of Ledgers '!K:K,'List of Ledgers '!$E:$E,Drs_Crs!$A$28,'List of Ledgers '!$B:$B,Drs_Crs!$A147)</f>
        <v>0</v>
      </c>
      <c r="F147" s="76">
        <f>SUMIFS('List of Ledgers '!L:L,'List of Ledgers '!$E:$E,Drs_Crs!$A$28,'List of Ledgers '!$B:$B,Drs_Crs!$A147)</f>
        <v>0</v>
      </c>
      <c r="H147" s="76">
        <f>SUMIFS('List of Ledgers '!N:N,'List of Ledgers '!$E:$E,Drs_Crs!$A$28,'List of Ledgers '!$B:$B,Drs_Crs!$A147)</f>
        <v>0</v>
      </c>
      <c r="I147" s="76">
        <f>SUMIFS('List of Ledgers '!O:O,'List of Ledgers '!$E:$E,Drs_Crs!$A$28,'List of Ledgers '!$B:$B,Drs_Crs!$A147)</f>
        <v>0</v>
      </c>
      <c r="J147" s="76">
        <f>SUMIFS('List of Ledgers '!P:P,'List of Ledgers '!$E:$E,Drs_Crs!$A$28,'List of Ledgers '!$B:$B,Drs_Crs!$A147)</f>
        <v>0</v>
      </c>
      <c r="K147" s="76">
        <f>SUMIFS('List of Ledgers '!Q:Q,'List of Ledgers '!$E:$E,Drs_Crs!$A$28,'List of Ledgers '!$B:$B,Drs_Crs!$A147)</f>
        <v>0</v>
      </c>
    </row>
    <row r="148" spans="1:11" ht="13.9" hidden="1" x14ac:dyDescent="0.25">
      <c r="A148" s="125" t="s">
        <v>862</v>
      </c>
      <c r="B148" s="102" t="s">
        <v>82</v>
      </c>
      <c r="C148" s="76">
        <f>SUMIFS('List of Ledgers '!I:I,'List of Ledgers '!$E:$E,Drs_Crs!$A$28,'List of Ledgers '!$B:$B,Drs_Crs!$A148)</f>
        <v>0</v>
      </c>
      <c r="D148" s="76">
        <f>SUMIFS('List of Ledgers '!J:J,'List of Ledgers '!$E:$E,Drs_Crs!$A$28,'List of Ledgers '!$B:$B,Drs_Crs!$A148)</f>
        <v>0</v>
      </c>
      <c r="E148" s="76">
        <f>SUMIFS('List of Ledgers '!K:K,'List of Ledgers '!$E:$E,Drs_Crs!$A$28,'List of Ledgers '!$B:$B,Drs_Crs!$A148)</f>
        <v>0</v>
      </c>
      <c r="F148" s="76">
        <f>SUMIFS('List of Ledgers '!L:L,'List of Ledgers '!$E:$E,Drs_Crs!$A$28,'List of Ledgers '!$B:$B,Drs_Crs!$A148)</f>
        <v>0</v>
      </c>
      <c r="H148" s="76">
        <f>SUMIFS('List of Ledgers '!N:N,'List of Ledgers '!$E:$E,Drs_Crs!$A$28,'List of Ledgers '!$B:$B,Drs_Crs!$A148)</f>
        <v>0</v>
      </c>
      <c r="I148" s="76">
        <f>SUMIFS('List of Ledgers '!O:O,'List of Ledgers '!$E:$E,Drs_Crs!$A$28,'List of Ledgers '!$B:$B,Drs_Crs!$A148)</f>
        <v>147986.76</v>
      </c>
      <c r="J148" s="76">
        <f>SUMIFS('List of Ledgers '!P:P,'List of Ledgers '!$E:$E,Drs_Crs!$A$28,'List of Ledgers '!$B:$B,Drs_Crs!$A148)</f>
        <v>147986.76</v>
      </c>
      <c r="K148" s="76">
        <f>SUMIFS('List of Ledgers '!Q:Q,'List of Ledgers '!$E:$E,Drs_Crs!$A$28,'List of Ledgers '!$B:$B,Drs_Crs!$A148)</f>
        <v>0</v>
      </c>
    </row>
    <row r="149" spans="1:11" ht="13.9" x14ac:dyDescent="0.25">
      <c r="A149" s="125" t="s">
        <v>1077</v>
      </c>
      <c r="B149" s="102" t="s">
        <v>9</v>
      </c>
      <c r="C149" s="76">
        <f>SUMIFS('List of Ledgers '!I:I,'List of Ledgers '!$E:$E,Drs_Crs!$A$28,'List of Ledgers '!$B:$B,Drs_Crs!$A149)</f>
        <v>2489532</v>
      </c>
      <c r="D149" s="76">
        <f>SUMIFS('List of Ledgers '!J:J,'List of Ledgers '!$E:$E,Drs_Crs!$A$28,'List of Ledgers '!$B:$B,Drs_Crs!$A149)</f>
        <v>2631747</v>
      </c>
      <c r="E149" s="76">
        <f>SUMIFS('List of Ledgers '!K:K,'List of Ledgers '!$E:$E,Drs_Crs!$A$28,'List of Ledgers '!$B:$B,Drs_Crs!$A149)</f>
        <v>2556565.9700000002</v>
      </c>
      <c r="F149" s="76">
        <f>SUMIFS('List of Ledgers '!L:L,'List of Ledgers '!$E:$E,Drs_Crs!$A$28,'List of Ledgers '!$B:$B,Drs_Crs!$A149)</f>
        <v>2564713.0299999998</v>
      </c>
      <c r="H149" s="76">
        <f>SUMIFS('List of Ledgers '!N:N,'List of Ledgers '!$E:$E,Drs_Crs!$A$28,'List of Ledgers '!$B:$B,Drs_Crs!$A149)</f>
        <v>0</v>
      </c>
      <c r="I149" s="76">
        <f>SUMIFS('List of Ledgers '!O:O,'List of Ledgers '!$E:$E,Drs_Crs!$A$28,'List of Ledgers '!$B:$B,Drs_Crs!$A149)</f>
        <v>7596098.04</v>
      </c>
      <c r="J149" s="76">
        <f>SUMIFS('List of Ledgers '!P:P,'List of Ledgers '!$E:$E,Drs_Crs!$A$28,'List of Ledgers '!$B:$B,Drs_Crs!$A149)</f>
        <v>5031385.01</v>
      </c>
      <c r="K149" s="76">
        <f>SUMIFS('List of Ledgers '!Q:Q,'List of Ledgers '!$E:$E,Drs_Crs!$A$28,'List of Ledgers '!$B:$B,Drs_Crs!$A149)</f>
        <v>2564713.0299999998</v>
      </c>
    </row>
    <row r="150" spans="1:11" ht="13.9" x14ac:dyDescent="0.25">
      <c r="A150" s="125" t="s">
        <v>1078</v>
      </c>
      <c r="B150" s="102" t="s">
        <v>9</v>
      </c>
      <c r="C150" s="76">
        <f>SUMIFS('List of Ledgers '!I:I,'List of Ledgers '!$E:$E,Drs_Crs!$A$28,'List of Ledgers '!$B:$B,Drs_Crs!$A150)</f>
        <v>5226962.4400000004</v>
      </c>
      <c r="D150" s="76">
        <f>SUMIFS('List of Ledgers '!J:J,'List of Ledgers '!$E:$E,Drs_Crs!$A$28,'List of Ledgers '!$B:$B,Drs_Crs!$A150)</f>
        <v>6743803</v>
      </c>
      <c r="E150" s="76">
        <f>SUMIFS('List of Ledgers '!K:K,'List of Ledgers '!$E:$E,Drs_Crs!$A$28,'List of Ledgers '!$B:$B,Drs_Crs!$A150)</f>
        <v>3599664.85</v>
      </c>
      <c r="F150" s="76">
        <f>SUMIFS('List of Ledgers '!L:L,'List of Ledgers '!$E:$E,Drs_Crs!$A$28,'List of Ledgers '!$B:$B,Drs_Crs!$A150)</f>
        <v>8371100.5899999999</v>
      </c>
      <c r="H150" s="76">
        <f>SUMIFS('List of Ledgers '!N:N,'List of Ledgers '!$E:$E,Drs_Crs!$A$28,'List of Ledgers '!$B:$B,Drs_Crs!$A150)</f>
        <v>0</v>
      </c>
      <c r="I150" s="76">
        <f>SUMIFS('List of Ledgers '!O:O,'List of Ledgers '!$E:$E,Drs_Crs!$A$28,'List of Ledgers '!$B:$B,Drs_Crs!$A150)</f>
        <v>14662803.029999999</v>
      </c>
      <c r="J150" s="76">
        <f>SUMIFS('List of Ledgers '!P:P,'List of Ledgers '!$E:$E,Drs_Crs!$A$28,'List of Ledgers '!$B:$B,Drs_Crs!$A150)</f>
        <v>6291702.4400000004</v>
      </c>
      <c r="K150" s="76">
        <f>SUMIFS('List of Ledgers '!Q:Q,'List of Ledgers '!$E:$E,Drs_Crs!$A$28,'List of Ledgers '!$B:$B,Drs_Crs!$A150)</f>
        <v>8371100.5899999999</v>
      </c>
    </row>
    <row r="151" spans="1:11" s="193" customFormat="1" ht="13.9" hidden="1" x14ac:dyDescent="0.25">
      <c r="A151" s="226" t="s">
        <v>1226</v>
      </c>
      <c r="B151" s="227" t="s">
        <v>9</v>
      </c>
      <c r="C151" s="228">
        <f>SUMIFS('List of Ledgers '!I:I,'List of Ledgers '!$E:$E,Drs_Crs!$A$28,'List of Ledgers '!$B:$B,Drs_Crs!$A151)</f>
        <v>116549.81</v>
      </c>
      <c r="D151" s="228">
        <f>SUMIFS('List of Ledgers '!J:J,'List of Ledgers '!$E:$E,Drs_Crs!$A$28,'List of Ledgers '!$B:$B,Drs_Crs!$A151)</f>
        <v>0</v>
      </c>
      <c r="E151" s="228">
        <f>SUMIFS('List of Ledgers '!K:K,'List of Ledgers '!$E:$E,Drs_Crs!$A$28,'List of Ledgers '!$B:$B,Drs_Crs!$A151)</f>
        <v>0</v>
      </c>
      <c r="F151" s="228">
        <f>SUMIFS('List of Ledgers '!L:L,'List of Ledgers '!$E:$E,Drs_Crs!$A$28,'List of Ledgers '!$B:$B,Drs_Crs!$A151)</f>
        <v>116549.81</v>
      </c>
      <c r="G151" s="197" t="s">
        <v>1416</v>
      </c>
      <c r="H151" s="228">
        <f>SUMIFS('List of Ledgers '!N:N,'List of Ledgers '!$E:$E,Drs_Crs!$A$28,'List of Ledgers '!$B:$B,Drs_Crs!$A151)</f>
        <v>0</v>
      </c>
      <c r="I151" s="228">
        <f>SUMIFS('List of Ledgers '!O:O,'List of Ledgers '!$E:$E,Drs_Crs!$A$28,'List of Ledgers '!$B:$B,Drs_Crs!$A151)</f>
        <v>2476377.42</v>
      </c>
      <c r="J151" s="228">
        <f>SUMIFS('List of Ledgers '!P:P,'List of Ledgers '!$E:$E,Drs_Crs!$A$28,'List of Ledgers '!$B:$B,Drs_Crs!$A151)</f>
        <v>2359827.61</v>
      </c>
      <c r="K151" s="228">
        <f>SUMIFS('List of Ledgers '!Q:Q,'List of Ledgers '!$E:$E,Drs_Crs!$A$28,'List of Ledgers '!$B:$B,Drs_Crs!$A151)</f>
        <v>116549.81</v>
      </c>
    </row>
    <row r="152" spans="1:11" ht="13.9" x14ac:dyDescent="0.25">
      <c r="A152" s="125" t="s">
        <v>1236</v>
      </c>
      <c r="B152" s="102" t="s">
        <v>9</v>
      </c>
      <c r="C152" s="76">
        <f>SUMIFS('List of Ledgers '!I:I,'List of Ledgers '!$E:$E,Drs_Crs!$A$28,'List of Ledgers '!$B:$B,Drs_Crs!$A152)</f>
        <v>5781725.4299999997</v>
      </c>
      <c r="D152" s="76">
        <f>SUMIFS('List of Ledgers '!J:J,'List of Ledgers '!$E:$E,Drs_Crs!$A$28,'List of Ledgers '!$B:$B,Drs_Crs!$A152)</f>
        <v>11053138</v>
      </c>
      <c r="E152" s="76">
        <f>SUMIFS('List of Ledgers '!K:K,'List of Ledgers '!$E:$E,Drs_Crs!$A$28,'List of Ledgers '!$B:$B,Drs_Crs!$A152)</f>
        <v>10672477.939999999</v>
      </c>
      <c r="F152" s="76">
        <f>SUMIFS('List of Ledgers '!L:L,'List of Ledgers '!$E:$E,Drs_Crs!$A$28,'List of Ledgers '!$B:$B,Drs_Crs!$A152)</f>
        <v>6162385.4900000002</v>
      </c>
      <c r="H152" s="76">
        <f>SUMIFS('List of Ledgers '!N:N,'List of Ledgers '!$E:$E,Drs_Crs!$A$28,'List of Ledgers '!$B:$B,Drs_Crs!$A152)</f>
        <v>0</v>
      </c>
      <c r="I152" s="76">
        <f>SUMIFS('List of Ledgers '!O:O,'List of Ledgers '!$E:$E,Drs_Crs!$A$28,'List of Ledgers '!$B:$B,Drs_Crs!$A152)</f>
        <v>20793538.84</v>
      </c>
      <c r="J152" s="76">
        <f>SUMIFS('List of Ledgers '!P:P,'List of Ledgers '!$E:$E,Drs_Crs!$A$28,'List of Ledgers '!$B:$B,Drs_Crs!$A152)</f>
        <v>14631153.35</v>
      </c>
      <c r="K152" s="76">
        <f>SUMIFS('List of Ledgers '!Q:Q,'List of Ledgers '!$E:$E,Drs_Crs!$A$28,'List of Ledgers '!$B:$B,Drs_Crs!$A152)</f>
        <v>6162385.4900000002</v>
      </c>
    </row>
    <row r="153" spans="1:11" ht="13.9" x14ac:dyDescent="0.25">
      <c r="A153" s="125" t="s">
        <v>1257</v>
      </c>
      <c r="B153" s="102" t="s">
        <v>9</v>
      </c>
      <c r="C153" s="76">
        <f>SUMIFS('List of Ledgers '!I:I,'List of Ledgers '!$E:$E,Drs_Crs!$A$28,'List of Ledgers '!$B:$B,Drs_Crs!$A153)</f>
        <v>818194</v>
      </c>
      <c r="D153" s="76">
        <f>SUMIFS('List of Ledgers '!J:J,'List of Ledgers '!$E:$E,Drs_Crs!$A$28,'List of Ledgers '!$B:$B,Drs_Crs!$A153)</f>
        <v>10949086</v>
      </c>
      <c r="E153" s="76">
        <f>SUMIFS('List of Ledgers '!K:K,'List of Ledgers '!$E:$E,Drs_Crs!$A$28,'List of Ledgers '!$B:$B,Drs_Crs!$A153)</f>
        <v>0</v>
      </c>
      <c r="F153" s="76">
        <f>SUMIFS('List of Ledgers '!L:L,'List of Ledgers '!$E:$E,Drs_Crs!$A$28,'List of Ledgers '!$B:$B,Drs_Crs!$A153)</f>
        <v>11767280</v>
      </c>
      <c r="H153" s="76">
        <f>SUMIFS('List of Ledgers '!N:N,'List of Ledgers '!$E:$E,Drs_Crs!$A$28,'List of Ledgers '!$B:$B,Drs_Crs!$A153)</f>
        <v>0</v>
      </c>
      <c r="I153" s="76">
        <f>SUMIFS('List of Ledgers '!O:O,'List of Ledgers '!$E:$E,Drs_Crs!$A$28,'List of Ledgers '!$B:$B,Drs_Crs!$A153)</f>
        <v>28373141.050000001</v>
      </c>
      <c r="J153" s="76">
        <f>SUMIFS('List of Ledgers '!P:P,'List of Ledgers '!$E:$E,Drs_Crs!$A$28,'List of Ledgers '!$B:$B,Drs_Crs!$A153)</f>
        <v>16605861.050000001</v>
      </c>
      <c r="K153" s="76">
        <f>SUMIFS('List of Ledgers '!Q:Q,'List of Ledgers '!$E:$E,Drs_Crs!$A$28,'List of Ledgers '!$B:$B,Drs_Crs!$A153)</f>
        <v>11767280</v>
      </c>
    </row>
    <row r="154" spans="1:11" ht="13.9" x14ac:dyDescent="0.25">
      <c r="A154" s="125" t="s">
        <v>1260</v>
      </c>
      <c r="B154" s="102" t="s">
        <v>9</v>
      </c>
      <c r="C154" s="76">
        <f>SUMIFS('List of Ledgers '!I:I,'List of Ledgers '!$E:$E,Drs_Crs!$A$28,'List of Ledgers '!$B:$B,Drs_Crs!$A154)</f>
        <v>-53418.33</v>
      </c>
      <c r="D154" s="76">
        <f>SUMIFS('List of Ledgers '!J:J,'List of Ledgers '!$E:$E,Drs_Crs!$A$28,'List of Ledgers '!$B:$B,Drs_Crs!$A154)</f>
        <v>4670837</v>
      </c>
      <c r="E154" s="76">
        <f>SUMIFS('List of Ledgers '!K:K,'List of Ledgers '!$E:$E,Drs_Crs!$A$28,'List of Ledgers '!$B:$B,Drs_Crs!$A154)</f>
        <v>0</v>
      </c>
      <c r="F154" s="76">
        <f>SUMIFS('List of Ledgers '!L:L,'List of Ledgers '!$E:$E,Drs_Crs!$A$28,'List of Ledgers '!$B:$B,Drs_Crs!$A154)</f>
        <v>4617418.67</v>
      </c>
      <c r="H154" s="76">
        <f>SUMIFS('List of Ledgers '!N:N,'List of Ledgers '!$E:$E,Drs_Crs!$A$28,'List of Ledgers '!$B:$B,Drs_Crs!$A154)</f>
        <v>0</v>
      </c>
      <c r="I154" s="76">
        <f>SUMIFS('List of Ledgers '!O:O,'List of Ledgers '!$E:$E,Drs_Crs!$A$28,'List of Ledgers '!$B:$B,Drs_Crs!$A154)</f>
        <v>7503678</v>
      </c>
      <c r="J154" s="76">
        <f>SUMIFS('List of Ledgers '!P:P,'List of Ledgers '!$E:$E,Drs_Crs!$A$28,'List of Ledgers '!$B:$B,Drs_Crs!$A154)</f>
        <v>2886259.33</v>
      </c>
      <c r="K154" s="76">
        <f>SUMIFS('List of Ledgers '!Q:Q,'List of Ledgers '!$E:$E,Drs_Crs!$A$28,'List of Ledgers '!$B:$B,Drs_Crs!$A154)</f>
        <v>4617418.67</v>
      </c>
    </row>
    <row r="155" spans="1:11" ht="13.9" hidden="1" x14ac:dyDescent="0.25">
      <c r="A155" s="125" t="s">
        <v>494</v>
      </c>
      <c r="B155" s="102" t="s">
        <v>7</v>
      </c>
      <c r="C155" s="76">
        <f>SUMIFS('List of Ledgers '!I:I,'List of Ledgers '!$E:$E,Drs_Crs!$A$28,'List of Ledgers '!$B:$B,Drs_Crs!$A155)</f>
        <v>0</v>
      </c>
      <c r="D155" s="76">
        <f>SUMIFS('List of Ledgers '!J:J,'List of Ledgers '!$E:$E,Drs_Crs!$A$28,'List of Ledgers '!$B:$B,Drs_Crs!$A155)</f>
        <v>0</v>
      </c>
      <c r="E155" s="76">
        <f>SUMIFS('List of Ledgers '!K:K,'List of Ledgers '!$E:$E,Drs_Crs!$A$28,'List of Ledgers '!$B:$B,Drs_Crs!$A155)</f>
        <v>0</v>
      </c>
      <c r="F155" s="76">
        <f>SUMIFS('List of Ledgers '!L:L,'List of Ledgers '!$E:$E,Drs_Crs!$A$28,'List of Ledgers '!$B:$B,Drs_Crs!$A155)</f>
        <v>0</v>
      </c>
      <c r="H155" s="76">
        <f>SUMIFS('List of Ledgers '!N:N,'List of Ledgers '!$E:$E,Drs_Crs!$A$28,'List of Ledgers '!$B:$B,Drs_Crs!$A155)</f>
        <v>0</v>
      </c>
      <c r="I155" s="76">
        <f>SUMIFS('List of Ledgers '!O:O,'List of Ledgers '!$E:$E,Drs_Crs!$A$28,'List of Ledgers '!$B:$B,Drs_Crs!$A155)</f>
        <v>0</v>
      </c>
      <c r="J155" s="76">
        <f>SUMIFS('List of Ledgers '!P:P,'List of Ledgers '!$E:$E,Drs_Crs!$A$28,'List of Ledgers '!$B:$B,Drs_Crs!$A155)</f>
        <v>0</v>
      </c>
      <c r="K155" s="76">
        <f>SUMIFS('List of Ledgers '!Q:Q,'List of Ledgers '!$E:$E,Drs_Crs!$A$28,'List of Ledgers '!$B:$B,Drs_Crs!$A155)</f>
        <v>0</v>
      </c>
    </row>
    <row r="156" spans="1:11" ht="13.9" x14ac:dyDescent="0.25">
      <c r="A156" s="125" t="s">
        <v>1306</v>
      </c>
      <c r="B156" s="102" t="s">
        <v>9</v>
      </c>
      <c r="C156" s="76">
        <f>SUMIFS('List of Ledgers '!I:I,'List of Ledgers '!$E:$E,Drs_Crs!$A$28,'List of Ledgers '!$B:$B,Drs_Crs!$A156)</f>
        <v>-286263.23</v>
      </c>
      <c r="D156" s="76">
        <f>SUMIFS('List of Ledgers '!J:J,'List of Ledgers '!$E:$E,Drs_Crs!$A$28,'List of Ledgers '!$B:$B,Drs_Crs!$A156)</f>
        <v>3939936</v>
      </c>
      <c r="E156" s="76">
        <f>SUMIFS('List of Ledgers '!K:K,'List of Ledgers '!$E:$E,Drs_Crs!$A$28,'List of Ledgers '!$B:$B,Drs_Crs!$A156)</f>
        <v>0</v>
      </c>
      <c r="F156" s="76">
        <f>SUMIFS('List of Ledgers '!L:L,'List of Ledgers '!$E:$E,Drs_Crs!$A$28,'List of Ledgers '!$B:$B,Drs_Crs!$A156)</f>
        <v>3653672.77</v>
      </c>
      <c r="H156" s="76">
        <f>SUMIFS('List of Ledgers '!N:N,'List of Ledgers '!$E:$E,Drs_Crs!$A$28,'List of Ledgers '!$B:$B,Drs_Crs!$A156)</f>
        <v>0</v>
      </c>
      <c r="I156" s="76">
        <f>SUMIFS('List of Ledgers '!O:O,'List of Ledgers '!$E:$E,Drs_Crs!$A$28,'List of Ledgers '!$B:$B,Drs_Crs!$A156)</f>
        <v>3939936</v>
      </c>
      <c r="J156" s="76">
        <f>SUMIFS('List of Ledgers '!P:P,'List of Ledgers '!$E:$E,Drs_Crs!$A$28,'List of Ledgers '!$B:$B,Drs_Crs!$A156)</f>
        <v>286263.23</v>
      </c>
      <c r="K156" s="76">
        <f>SUMIFS('List of Ledgers '!Q:Q,'List of Ledgers '!$E:$E,Drs_Crs!$A$28,'List of Ledgers '!$B:$B,Drs_Crs!$A156)</f>
        <v>3653672.77</v>
      </c>
    </row>
    <row r="157" spans="1:11" ht="13.9" hidden="1" x14ac:dyDescent="0.25">
      <c r="A157" s="125" t="s">
        <v>1315</v>
      </c>
      <c r="B157" s="102" t="s">
        <v>7</v>
      </c>
      <c r="C157" s="76">
        <f>SUMIFS('List of Ledgers '!I:I,'List of Ledgers '!$E:$E,Drs_Crs!$A$28,'List of Ledgers '!$B:$B,Drs_Crs!$A157)</f>
        <v>0</v>
      </c>
      <c r="D157" s="76">
        <f>SUMIFS('List of Ledgers '!J:J,'List of Ledgers '!$E:$E,Drs_Crs!$A$28,'List of Ledgers '!$B:$B,Drs_Crs!$A157)</f>
        <v>0</v>
      </c>
      <c r="E157" s="76">
        <f>SUMIFS('List of Ledgers '!K:K,'List of Ledgers '!$E:$E,Drs_Crs!$A$28,'List of Ledgers '!$B:$B,Drs_Crs!$A157)</f>
        <v>0</v>
      </c>
      <c r="F157" s="76">
        <f>SUMIFS('List of Ledgers '!L:L,'List of Ledgers '!$E:$E,Drs_Crs!$A$28,'List of Ledgers '!$B:$B,Drs_Crs!$A157)</f>
        <v>0</v>
      </c>
      <c r="H157" s="76">
        <f>SUMIFS('List of Ledgers '!N:N,'List of Ledgers '!$E:$E,Drs_Crs!$A$28,'List of Ledgers '!$B:$B,Drs_Crs!$A157)</f>
        <v>0</v>
      </c>
      <c r="I157" s="76">
        <f>SUMIFS('List of Ledgers '!O:O,'List of Ledgers '!$E:$E,Drs_Crs!$A$28,'List of Ledgers '!$B:$B,Drs_Crs!$A157)</f>
        <v>0</v>
      </c>
      <c r="J157" s="76">
        <f>SUMIFS('List of Ledgers '!P:P,'List of Ledgers '!$E:$E,Drs_Crs!$A$28,'List of Ledgers '!$B:$B,Drs_Crs!$A157)</f>
        <v>0</v>
      </c>
      <c r="K157" s="76">
        <f>SUMIFS('List of Ledgers '!Q:Q,'List of Ledgers '!$E:$E,Drs_Crs!$A$28,'List of Ledgers '!$B:$B,Drs_Crs!$A157)</f>
        <v>0</v>
      </c>
    </row>
    <row r="158" spans="1:11" s="193" customFormat="1" ht="13.9" x14ac:dyDescent="0.25">
      <c r="A158" s="226" t="s">
        <v>1326</v>
      </c>
      <c r="B158" s="227" t="s">
        <v>9</v>
      </c>
      <c r="C158" s="228">
        <f>SUMIFS('List of Ledgers '!I:I,'List of Ledgers '!$E:$E,Drs_Crs!$A$28,'List of Ledgers '!$B:$B,Drs_Crs!$A158)</f>
        <v>3132635</v>
      </c>
      <c r="D158" s="228">
        <f>SUMIFS('List of Ledgers '!J:J,'List of Ledgers '!$E:$E,Drs_Crs!$A$28,'List of Ledgers '!$B:$B,Drs_Crs!$A158)</f>
        <v>0</v>
      </c>
      <c r="E158" s="228">
        <f>SUMIFS('List of Ledgers '!K:K,'List of Ledgers '!$E:$E,Drs_Crs!$A$28,'List of Ledgers '!$B:$B,Drs_Crs!$A158)</f>
        <v>3073698.36</v>
      </c>
      <c r="F158" s="228">
        <f>SUMIFS('List of Ledgers '!L:L,'List of Ledgers '!$E:$E,Drs_Crs!$A$28,'List of Ledgers '!$B:$B,Drs_Crs!$A158)</f>
        <v>58936.639999999999</v>
      </c>
      <c r="G158" s="197" t="s">
        <v>1417</v>
      </c>
      <c r="H158" s="228">
        <f>SUMIFS('List of Ledgers '!N:N,'List of Ledgers '!$E:$E,Drs_Crs!$A$28,'List of Ledgers '!$B:$B,Drs_Crs!$A158)</f>
        <v>0</v>
      </c>
      <c r="I158" s="228">
        <f>SUMIFS('List of Ledgers '!O:O,'List of Ledgers '!$E:$E,Drs_Crs!$A$28,'List of Ledgers '!$B:$B,Drs_Crs!$A158)</f>
        <v>3132635</v>
      </c>
      <c r="J158" s="228">
        <f>SUMIFS('List of Ledgers '!P:P,'List of Ledgers '!$E:$E,Drs_Crs!$A$28,'List of Ledgers '!$B:$B,Drs_Crs!$A158)</f>
        <v>3073698.36</v>
      </c>
      <c r="K158" s="228">
        <f>SUMIFS('List of Ledgers '!Q:Q,'List of Ledgers '!$E:$E,Drs_Crs!$A$28,'List of Ledgers '!$B:$B,Drs_Crs!$A158)</f>
        <v>58936.639999999999</v>
      </c>
    </row>
    <row r="159" spans="1:11" ht="13.9" hidden="1" x14ac:dyDescent="0.25">
      <c r="A159" s="125" t="s">
        <v>1367</v>
      </c>
      <c r="B159" s="102" t="s">
        <v>7</v>
      </c>
      <c r="C159" s="76">
        <f>SUMIFS('List of Ledgers '!I:I,'List of Ledgers '!$E:$E,Drs_Crs!$A$28,'List of Ledgers '!$B:$B,Drs_Crs!$A159)</f>
        <v>0</v>
      </c>
      <c r="D159" s="76">
        <f>SUMIFS('List of Ledgers '!J:J,'List of Ledgers '!$E:$E,Drs_Crs!$A$28,'List of Ledgers '!$B:$B,Drs_Crs!$A159)</f>
        <v>4130000</v>
      </c>
      <c r="E159" s="76">
        <f>SUMIFS('List of Ledgers '!K:K,'List of Ledgers '!$E:$E,Drs_Crs!$A$28,'List of Ledgers '!$B:$B,Drs_Crs!$A159)</f>
        <v>4130000</v>
      </c>
      <c r="F159" s="76">
        <f>SUMIFS('List of Ledgers '!L:L,'List of Ledgers '!$E:$E,Drs_Crs!$A$28,'List of Ledgers '!$B:$B,Drs_Crs!$A159)</f>
        <v>0</v>
      </c>
      <c r="H159" s="76">
        <f>SUMIFS('List of Ledgers '!N:N,'List of Ledgers '!$E:$E,Drs_Crs!$A$28,'List of Ledgers '!$B:$B,Drs_Crs!$A159)</f>
        <v>0</v>
      </c>
      <c r="I159" s="76">
        <f>SUMIFS('List of Ledgers '!O:O,'List of Ledgers '!$E:$E,Drs_Crs!$A$28,'List of Ledgers '!$B:$B,Drs_Crs!$A159)</f>
        <v>4130000</v>
      </c>
      <c r="J159" s="76">
        <f>SUMIFS('List of Ledgers '!P:P,'List of Ledgers '!$E:$E,Drs_Crs!$A$28,'List of Ledgers '!$B:$B,Drs_Crs!$A159)</f>
        <v>4130000</v>
      </c>
      <c r="K159" s="76">
        <f>SUMIFS('List of Ledgers '!Q:Q,'List of Ledgers '!$E:$E,Drs_Crs!$A$28,'List of Ledgers '!$B:$B,Drs_Crs!$A159)</f>
        <v>0</v>
      </c>
    </row>
    <row r="160" spans="1:11" ht="13.9" hidden="1" x14ac:dyDescent="0.25">
      <c r="A160" s="125" t="s">
        <v>1369</v>
      </c>
      <c r="B160" s="102" t="s">
        <v>7</v>
      </c>
      <c r="C160" s="76">
        <f>SUMIFS('List of Ledgers '!I:I,'List of Ledgers '!$E:$E,Drs_Crs!$A$28,'List of Ledgers '!$B:$B,Drs_Crs!$A160)</f>
        <v>0</v>
      </c>
      <c r="D160" s="76">
        <f>SUMIFS('List of Ledgers '!J:J,'List of Ledgers '!$E:$E,Drs_Crs!$A$28,'List of Ledgers '!$B:$B,Drs_Crs!$A160)</f>
        <v>2360000</v>
      </c>
      <c r="E160" s="76">
        <f>SUMIFS('List of Ledgers '!K:K,'List of Ledgers '!$E:$E,Drs_Crs!$A$28,'List of Ledgers '!$B:$B,Drs_Crs!$A160)</f>
        <v>2360000</v>
      </c>
      <c r="F160" s="76">
        <f>SUMIFS('List of Ledgers '!L:L,'List of Ledgers '!$E:$E,Drs_Crs!$A$28,'List of Ledgers '!$B:$B,Drs_Crs!$A160)</f>
        <v>0</v>
      </c>
      <c r="H160" s="76">
        <f>SUMIFS('List of Ledgers '!N:N,'List of Ledgers '!$E:$E,Drs_Crs!$A$28,'List of Ledgers '!$B:$B,Drs_Crs!$A160)</f>
        <v>0</v>
      </c>
      <c r="I160" s="76">
        <f>SUMIFS('List of Ledgers '!O:O,'List of Ledgers '!$E:$E,Drs_Crs!$A$28,'List of Ledgers '!$B:$B,Drs_Crs!$A160)</f>
        <v>2360000</v>
      </c>
      <c r="J160" s="76">
        <f>SUMIFS('List of Ledgers '!P:P,'List of Ledgers '!$E:$E,Drs_Crs!$A$28,'List of Ledgers '!$B:$B,Drs_Crs!$A160)</f>
        <v>2360000</v>
      </c>
      <c r="K160" s="76">
        <f>SUMIFS('List of Ledgers '!Q:Q,'List of Ledgers '!$E:$E,Drs_Crs!$A$28,'List of Ledgers '!$B:$B,Drs_Crs!$A160)</f>
        <v>0</v>
      </c>
    </row>
    <row r="161" spans="1:11" ht="13.9" hidden="1" x14ac:dyDescent="0.25">
      <c r="A161" s="125" t="s">
        <v>1372</v>
      </c>
      <c r="B161" s="102" t="s">
        <v>7</v>
      </c>
      <c r="C161" s="76">
        <f>SUMIFS('List of Ledgers '!I:I,'List of Ledgers '!$E:$E,Drs_Crs!$A$28,'List of Ledgers '!$B:$B,Drs_Crs!$A161)</f>
        <v>0</v>
      </c>
      <c r="D161" s="76">
        <f>SUMIFS('List of Ledgers '!J:J,'List of Ledgers '!$E:$E,Drs_Crs!$A$28,'List of Ledgers '!$B:$B,Drs_Crs!$A161)</f>
        <v>14160000</v>
      </c>
      <c r="E161" s="76">
        <f>SUMIFS('List of Ledgers '!K:K,'List of Ledgers '!$E:$E,Drs_Crs!$A$28,'List of Ledgers '!$B:$B,Drs_Crs!$A161)</f>
        <v>14160000</v>
      </c>
      <c r="F161" s="76">
        <f>SUMIFS('List of Ledgers '!L:L,'List of Ledgers '!$E:$E,Drs_Crs!$A$28,'List of Ledgers '!$B:$B,Drs_Crs!$A161)</f>
        <v>0</v>
      </c>
      <c r="H161" s="76">
        <f>SUMIFS('List of Ledgers '!N:N,'List of Ledgers '!$E:$E,Drs_Crs!$A$28,'List of Ledgers '!$B:$B,Drs_Crs!$A161)</f>
        <v>0</v>
      </c>
      <c r="I161" s="76">
        <f>SUMIFS('List of Ledgers '!O:O,'List of Ledgers '!$E:$E,Drs_Crs!$A$28,'List of Ledgers '!$B:$B,Drs_Crs!$A161)</f>
        <v>14160000</v>
      </c>
      <c r="J161" s="76">
        <f>SUMIFS('List of Ledgers '!P:P,'List of Ledgers '!$E:$E,Drs_Crs!$A$28,'List of Ledgers '!$B:$B,Drs_Crs!$A161)</f>
        <v>14160000</v>
      </c>
      <c r="K161" s="76">
        <f>SUMIFS('List of Ledgers '!Q:Q,'List of Ledgers '!$E:$E,Drs_Crs!$A$28,'List of Ledgers '!$B:$B,Drs_Crs!$A161)</f>
        <v>0</v>
      </c>
    </row>
    <row r="162" spans="1:11" ht="13.9" x14ac:dyDescent="0.25">
      <c r="A162" s="125" t="s">
        <v>1377</v>
      </c>
      <c r="B162" s="102" t="s">
        <v>9</v>
      </c>
      <c r="C162" s="76">
        <f>SUMIFS('List of Ledgers '!I:I,'List of Ledgers '!$E:$E,Drs_Crs!$A$28,'List of Ledgers '!$B:$B,Drs_Crs!$A162)</f>
        <v>0</v>
      </c>
      <c r="D162" s="76">
        <f>SUMIFS('List of Ledgers '!J:J,'List of Ledgers '!$E:$E,Drs_Crs!$A$28,'List of Ledgers '!$B:$B,Drs_Crs!$A162)</f>
        <v>9601691</v>
      </c>
      <c r="E162" s="76">
        <f>SUMIFS('List of Ledgers '!K:K,'List of Ledgers '!$E:$E,Drs_Crs!$A$28,'List of Ledgers '!$B:$B,Drs_Crs!$A162)</f>
        <v>0</v>
      </c>
      <c r="F162" s="76">
        <f>SUMIFS('List of Ledgers '!L:L,'List of Ledgers '!$E:$E,Drs_Crs!$A$28,'List of Ledgers '!$B:$B,Drs_Crs!$A162)</f>
        <v>9601691</v>
      </c>
      <c r="H162" s="76">
        <f>SUMIFS('List of Ledgers '!N:N,'List of Ledgers '!$E:$E,Drs_Crs!$A$28,'List of Ledgers '!$B:$B,Drs_Crs!$A162)</f>
        <v>0</v>
      </c>
      <c r="I162" s="76">
        <f>SUMIFS('List of Ledgers '!O:O,'List of Ledgers '!$E:$E,Drs_Crs!$A$28,'List of Ledgers '!$B:$B,Drs_Crs!$A162)</f>
        <v>9601691</v>
      </c>
      <c r="J162" s="76">
        <f>SUMIFS('List of Ledgers '!P:P,'List of Ledgers '!$E:$E,Drs_Crs!$A$28,'List of Ledgers '!$B:$B,Drs_Crs!$A162)</f>
        <v>0</v>
      </c>
      <c r="K162" s="76">
        <f>SUMIFS('List of Ledgers '!Q:Q,'List of Ledgers '!$E:$E,Drs_Crs!$A$28,'List of Ledgers '!$B:$B,Drs_Crs!$A162)</f>
        <v>9601691</v>
      </c>
    </row>
    <row r="163" spans="1:11" ht="13.9" x14ac:dyDescent="0.25">
      <c r="A163" s="125" t="s">
        <v>1379</v>
      </c>
      <c r="B163" s="102" t="s">
        <v>9</v>
      </c>
      <c r="C163" s="76">
        <f>SUMIFS('List of Ledgers '!I:I,'List of Ledgers '!$E:$E,Drs_Crs!$A$28,'List of Ledgers '!$B:$B,Drs_Crs!$A163)</f>
        <v>0</v>
      </c>
      <c r="D163" s="76">
        <f>SUMIFS('List of Ledgers '!J:J,'List of Ledgers '!$E:$E,Drs_Crs!$A$28,'List of Ledgers '!$B:$B,Drs_Crs!$A163)</f>
        <v>3250967</v>
      </c>
      <c r="E163" s="76">
        <f>SUMIFS('List of Ledgers '!K:K,'List of Ledgers '!$E:$E,Drs_Crs!$A$28,'List of Ledgers '!$B:$B,Drs_Crs!$A163)</f>
        <v>0</v>
      </c>
      <c r="F163" s="76">
        <f>SUMIFS('List of Ledgers '!L:L,'List of Ledgers '!$E:$E,Drs_Crs!$A$28,'List of Ledgers '!$B:$B,Drs_Crs!$A163)</f>
        <v>3250967</v>
      </c>
      <c r="H163" s="76">
        <f>SUMIFS('List of Ledgers '!N:N,'List of Ledgers '!$E:$E,Drs_Crs!$A$28,'List of Ledgers '!$B:$B,Drs_Crs!$A163)</f>
        <v>0</v>
      </c>
      <c r="I163" s="76">
        <f>SUMIFS('List of Ledgers '!O:O,'List of Ledgers '!$E:$E,Drs_Crs!$A$28,'List of Ledgers '!$B:$B,Drs_Crs!$A163)</f>
        <v>3250967</v>
      </c>
      <c r="J163" s="76">
        <f>SUMIFS('List of Ledgers '!P:P,'List of Ledgers '!$E:$E,Drs_Crs!$A$28,'List of Ledgers '!$B:$B,Drs_Crs!$A163)</f>
        <v>0</v>
      </c>
      <c r="K163" s="76">
        <f>SUMIFS('List of Ledgers '!Q:Q,'List of Ledgers '!$E:$E,Drs_Crs!$A$28,'List of Ledgers '!$B:$B,Drs_Crs!$A163)</f>
        <v>3250967</v>
      </c>
    </row>
    <row r="164" spans="1:11" ht="13.9" x14ac:dyDescent="0.25">
      <c r="A164" s="125" t="s">
        <v>1380</v>
      </c>
      <c r="B164" s="102" t="s">
        <v>4</v>
      </c>
      <c r="C164" s="76">
        <f>SUMIFS('List of Ledgers '!I:I,'List of Ledgers '!$E:$E,Drs_Crs!$A$28,'List of Ledgers '!$B:$B,Drs_Crs!$A164)</f>
        <v>0</v>
      </c>
      <c r="D164" s="76">
        <f>SUMIFS('List of Ledgers '!J:J,'List of Ledgers '!$E:$E,Drs_Crs!$A$28,'List of Ledgers '!$B:$B,Drs_Crs!$A164)</f>
        <v>4565399</v>
      </c>
      <c r="E164" s="76">
        <f>SUMIFS('List of Ledgers '!K:K,'List of Ledgers '!$E:$E,Drs_Crs!$A$28,'List of Ledgers '!$B:$B,Drs_Crs!$A164)</f>
        <v>0</v>
      </c>
      <c r="F164" s="76">
        <f>SUMIFS('List of Ledgers '!L:L,'List of Ledgers '!$E:$E,Drs_Crs!$A$28,'List of Ledgers '!$B:$B,Drs_Crs!$A164)</f>
        <v>4565399</v>
      </c>
      <c r="H164" s="76">
        <f>SUMIFS('List of Ledgers '!N:N,'List of Ledgers '!$E:$E,Drs_Crs!$A$28,'List of Ledgers '!$B:$B,Drs_Crs!$A164)</f>
        <v>0</v>
      </c>
      <c r="I164" s="76">
        <f>SUMIFS('List of Ledgers '!O:O,'List of Ledgers '!$E:$E,Drs_Crs!$A$28,'List of Ledgers '!$B:$B,Drs_Crs!$A164)</f>
        <v>4565399</v>
      </c>
      <c r="J164" s="76">
        <f>SUMIFS('List of Ledgers '!P:P,'List of Ledgers '!$E:$E,Drs_Crs!$A$28,'List of Ledgers '!$B:$B,Drs_Crs!$A164)</f>
        <v>0</v>
      </c>
      <c r="K164" s="76">
        <f>SUMIFS('List of Ledgers '!Q:Q,'List of Ledgers '!$E:$E,Drs_Crs!$A$28,'List of Ledgers '!$B:$B,Drs_Crs!$A164)</f>
        <v>4565399</v>
      </c>
    </row>
    <row r="165" spans="1:11" ht="13.9" x14ac:dyDescent="0.25">
      <c r="A165" s="125" t="s">
        <v>1383</v>
      </c>
      <c r="B165" s="102" t="s">
        <v>9</v>
      </c>
      <c r="C165" s="76">
        <f>SUMIFS('List of Ledgers '!I:I,'List of Ledgers '!$E:$E,Drs_Crs!$A$28,'List of Ledgers '!$B:$B,Drs_Crs!$A165)</f>
        <v>0</v>
      </c>
      <c r="D165" s="76">
        <f>SUMIFS('List of Ledgers '!J:J,'List of Ledgers '!$E:$E,Drs_Crs!$A$28,'List of Ledgers '!$B:$B,Drs_Crs!$A165)</f>
        <v>3425069</v>
      </c>
      <c r="E165" s="76">
        <f>SUMIFS('List of Ledgers '!K:K,'List of Ledgers '!$E:$E,Drs_Crs!$A$28,'List of Ledgers '!$B:$B,Drs_Crs!$A165)</f>
        <v>677408.8</v>
      </c>
      <c r="F165" s="76">
        <f>SUMIFS('List of Ledgers '!L:L,'List of Ledgers '!$E:$E,Drs_Crs!$A$28,'List of Ledgers '!$B:$B,Drs_Crs!$A165)</f>
        <v>2747660.2</v>
      </c>
      <c r="H165" s="76">
        <f>SUMIFS('List of Ledgers '!N:N,'List of Ledgers '!$E:$E,Drs_Crs!$A$28,'List of Ledgers '!$B:$B,Drs_Crs!$A165)</f>
        <v>0</v>
      </c>
      <c r="I165" s="76">
        <f>SUMIFS('List of Ledgers '!O:O,'List of Ledgers '!$E:$E,Drs_Crs!$A$28,'List of Ledgers '!$B:$B,Drs_Crs!$A165)</f>
        <v>3425069</v>
      </c>
      <c r="J165" s="76">
        <f>SUMIFS('List of Ledgers '!P:P,'List of Ledgers '!$E:$E,Drs_Crs!$A$28,'List of Ledgers '!$B:$B,Drs_Crs!$A165)</f>
        <v>677408.8</v>
      </c>
      <c r="K165" s="76">
        <f>SUMIFS('List of Ledgers '!Q:Q,'List of Ledgers '!$E:$E,Drs_Crs!$A$28,'List of Ledgers '!$B:$B,Drs_Crs!$A165)</f>
        <v>2747660.2</v>
      </c>
    </row>
    <row r="166" spans="1:11" ht="13.9" hidden="1" x14ac:dyDescent="0.25">
      <c r="A166" s="125" t="s">
        <v>1385</v>
      </c>
      <c r="B166" s="102" t="s">
        <v>7</v>
      </c>
      <c r="C166" s="76">
        <f>SUMIFS('List of Ledgers '!I:I,'List of Ledgers '!$E:$E,Drs_Crs!$A$28,'List of Ledgers '!$B:$B,Drs_Crs!$A166)</f>
        <v>0</v>
      </c>
      <c r="D166" s="76">
        <f>SUMIFS('List of Ledgers '!J:J,'List of Ledgers '!$E:$E,Drs_Crs!$A$28,'List of Ledgers '!$B:$B,Drs_Crs!$A166)</f>
        <v>3540000</v>
      </c>
      <c r="E166" s="76">
        <f>SUMIFS('List of Ledgers '!K:K,'List of Ledgers '!$E:$E,Drs_Crs!$A$28,'List of Ledgers '!$B:$B,Drs_Crs!$A166)</f>
        <v>3540000</v>
      </c>
      <c r="F166" s="76">
        <f>SUMIFS('List of Ledgers '!L:L,'List of Ledgers '!$E:$E,Drs_Crs!$A$28,'List of Ledgers '!$B:$B,Drs_Crs!$A166)</f>
        <v>0</v>
      </c>
      <c r="H166" s="76">
        <f>SUMIFS('List of Ledgers '!N:N,'List of Ledgers '!$E:$E,Drs_Crs!$A$28,'List of Ledgers '!$B:$B,Drs_Crs!$A166)</f>
        <v>0</v>
      </c>
      <c r="I166" s="76">
        <f>SUMIFS('List of Ledgers '!O:O,'List of Ledgers '!$E:$E,Drs_Crs!$A$28,'List of Ledgers '!$B:$B,Drs_Crs!$A166)</f>
        <v>3540000</v>
      </c>
      <c r="J166" s="76">
        <f>SUMIFS('List of Ledgers '!P:P,'List of Ledgers '!$E:$E,Drs_Crs!$A$28,'List of Ledgers '!$B:$B,Drs_Crs!$A166)</f>
        <v>3540000</v>
      </c>
      <c r="K166" s="76">
        <f>SUMIFS('List of Ledgers '!Q:Q,'List of Ledgers '!$E:$E,Drs_Crs!$A$28,'List of Ledgers '!$B:$B,Drs_Crs!$A166)</f>
        <v>0</v>
      </c>
    </row>
    <row r="167" spans="1:11" ht="13.9" x14ac:dyDescent="0.25">
      <c r="A167" s="125" t="s">
        <v>1387</v>
      </c>
      <c r="B167" s="102" t="s">
        <v>9</v>
      </c>
      <c r="C167" s="76">
        <f>SUMIFS('List of Ledgers '!I:I,'List of Ledgers '!$E:$E,Drs_Crs!$A$28,'List of Ledgers '!$B:$B,Drs_Crs!$A167)</f>
        <v>0</v>
      </c>
      <c r="D167" s="76">
        <f>SUMIFS('List of Ledgers '!J:J,'List of Ledgers '!$E:$E,Drs_Crs!$A$28,'List of Ledgers '!$B:$B,Drs_Crs!$A167)</f>
        <v>2612131</v>
      </c>
      <c r="E167" s="76">
        <f>SUMIFS('List of Ledgers '!K:K,'List of Ledgers '!$E:$E,Drs_Crs!$A$28,'List of Ledgers '!$B:$B,Drs_Crs!$A167)</f>
        <v>0</v>
      </c>
      <c r="F167" s="76">
        <f>SUMIFS('List of Ledgers '!L:L,'List of Ledgers '!$E:$E,Drs_Crs!$A$28,'List of Ledgers '!$B:$B,Drs_Crs!$A167)</f>
        <v>2612131</v>
      </c>
      <c r="H167" s="76">
        <f>SUMIFS('List of Ledgers '!N:N,'List of Ledgers '!$E:$E,Drs_Crs!$A$28,'List of Ledgers '!$B:$B,Drs_Crs!$A167)</f>
        <v>0</v>
      </c>
      <c r="I167" s="76">
        <f>SUMIFS('List of Ledgers '!O:O,'List of Ledgers '!$E:$E,Drs_Crs!$A$28,'List of Ledgers '!$B:$B,Drs_Crs!$A167)</f>
        <v>2612131</v>
      </c>
      <c r="J167" s="76">
        <f>SUMIFS('List of Ledgers '!P:P,'List of Ledgers '!$E:$E,Drs_Crs!$A$28,'List of Ledgers '!$B:$B,Drs_Crs!$A167)</f>
        <v>0</v>
      </c>
      <c r="K167" s="76">
        <f>SUMIFS('List of Ledgers '!Q:Q,'List of Ledgers '!$E:$E,Drs_Crs!$A$28,'List of Ledgers '!$B:$B,Drs_Crs!$A167)</f>
        <v>2612131</v>
      </c>
    </row>
    <row r="168" spans="1:11" ht="13.9" x14ac:dyDescent="0.25">
      <c r="A168" s="125" t="s">
        <v>1393</v>
      </c>
      <c r="B168" s="102" t="s">
        <v>4</v>
      </c>
      <c r="C168" s="76">
        <f>SUMIFS('List of Ledgers '!I:I,'List of Ledgers '!$E:$E,Drs_Crs!$A$28,'List of Ledgers '!$B:$B,Drs_Crs!$A168)</f>
        <v>0</v>
      </c>
      <c r="D168" s="76">
        <f>SUMIFS('List of Ledgers '!J:J,'List of Ledgers '!$E:$E,Drs_Crs!$A$28,'List of Ledgers '!$B:$B,Drs_Crs!$A168)</f>
        <v>13881504</v>
      </c>
      <c r="E168" s="76">
        <f>SUMIFS('List of Ledgers '!K:K,'List of Ledgers '!$E:$E,Drs_Crs!$A$28,'List of Ledgers '!$B:$B,Drs_Crs!$A168)</f>
        <v>6940752</v>
      </c>
      <c r="F168" s="76">
        <f>SUMIFS('List of Ledgers '!L:L,'List of Ledgers '!$E:$E,Drs_Crs!$A$28,'List of Ledgers '!$B:$B,Drs_Crs!$A168)</f>
        <v>6940752</v>
      </c>
      <c r="H168" s="76">
        <f>SUMIFS('List of Ledgers '!N:N,'List of Ledgers '!$E:$E,Drs_Crs!$A$28,'List of Ledgers '!$B:$B,Drs_Crs!$A168)</f>
        <v>0</v>
      </c>
      <c r="I168" s="76">
        <f>SUMIFS('List of Ledgers '!O:O,'List of Ledgers '!$E:$E,Drs_Crs!$A$28,'List of Ledgers '!$B:$B,Drs_Crs!$A168)</f>
        <v>13881504</v>
      </c>
      <c r="J168" s="76">
        <f>SUMIFS('List of Ledgers '!P:P,'List of Ledgers '!$E:$E,Drs_Crs!$A$28,'List of Ledgers '!$B:$B,Drs_Crs!$A168)</f>
        <v>6940752</v>
      </c>
      <c r="K168" s="76">
        <f>SUMIFS('List of Ledgers '!Q:Q,'List of Ledgers '!$E:$E,Drs_Crs!$A$28,'List of Ledgers '!$B:$B,Drs_Crs!$A168)</f>
        <v>6940752</v>
      </c>
    </row>
    <row r="169" spans="1:11" ht="13.9" x14ac:dyDescent="0.25">
      <c r="A169" s="125"/>
      <c r="B169" s="102"/>
      <c r="C169" s="76"/>
      <c r="D169" s="76"/>
      <c r="E169" s="76"/>
      <c r="F169" s="76"/>
      <c r="H169" s="76"/>
      <c r="I169" s="76"/>
      <c r="J169" s="76"/>
      <c r="K169" s="76"/>
    </row>
    <row r="170" spans="1:11" s="1" customFormat="1" ht="14.25" x14ac:dyDescent="0.2">
      <c r="A170" s="79" t="s">
        <v>103</v>
      </c>
      <c r="B170" s="80"/>
      <c r="C170" s="81">
        <f>SUM(C29:C169)</f>
        <v>55985361.649999999</v>
      </c>
      <c r="D170" s="81">
        <f>SUM(D29:D169)</f>
        <v>101553861</v>
      </c>
      <c r="E170" s="81">
        <f>SUM(E29:E169)</f>
        <v>85696515.089999989</v>
      </c>
      <c r="F170" s="81">
        <f>SUM(F29:F169)</f>
        <v>71842707.560000002</v>
      </c>
      <c r="G170" s="30"/>
      <c r="H170" s="81">
        <f>SUM(H29:H169)</f>
        <v>5731309.6299999999</v>
      </c>
      <c r="I170" s="81">
        <f>SUM(I29:I169)</f>
        <v>274242149.92000002</v>
      </c>
      <c r="J170" s="81">
        <f>SUM(J29:J169)</f>
        <v>208130751.99000007</v>
      </c>
      <c r="K170" s="81">
        <f>SUM(K29:K169)</f>
        <v>71842707.560000002</v>
      </c>
    </row>
    <row r="171" spans="1:11" ht="13.9" x14ac:dyDescent="0.25">
      <c r="A171" s="24"/>
      <c r="B171" s="24"/>
      <c r="C171" s="24">
        <f>C13-C170</f>
        <v>0</v>
      </c>
      <c r="D171" s="24">
        <f>D13-D170</f>
        <v>0</v>
      </c>
      <c r="E171" s="24">
        <f>E13-E170</f>
        <v>0</v>
      </c>
      <c r="F171" s="24">
        <f>F13-F170</f>
        <v>0</v>
      </c>
      <c r="G171" s="24"/>
      <c r="H171" s="24">
        <f>H13-H170</f>
        <v>0</v>
      </c>
      <c r="I171" s="24">
        <f>I13-I170</f>
        <v>0</v>
      </c>
      <c r="J171" s="24">
        <f>J13-J170</f>
        <v>0</v>
      </c>
      <c r="K171" s="24">
        <f>K13-K170</f>
        <v>0</v>
      </c>
    </row>
    <row r="172" spans="1:11" ht="13.9" x14ac:dyDescent="0.25">
      <c r="A172" s="1" t="s">
        <v>1095</v>
      </c>
      <c r="C172" s="220" t="str">
        <f>C27</f>
        <v>Mar'26</v>
      </c>
      <c r="D172" s="221"/>
      <c r="E172" s="221"/>
      <c r="F172" s="221"/>
      <c r="G172" s="83"/>
      <c r="H172" s="220" t="str">
        <f>H27</f>
        <v>(April to Mar)</v>
      </c>
      <c r="I172" s="221"/>
      <c r="J172" s="221"/>
      <c r="K172" s="221"/>
    </row>
    <row r="173" spans="1:11" s="1" customFormat="1" ht="14.25" x14ac:dyDescent="0.2">
      <c r="A173" s="74" t="s">
        <v>131</v>
      </c>
      <c r="B173" s="82" t="s">
        <v>98</v>
      </c>
      <c r="C173" s="78" t="s">
        <v>114</v>
      </c>
      <c r="D173" s="78" t="s">
        <v>115</v>
      </c>
      <c r="E173" s="78" t="s">
        <v>116</v>
      </c>
      <c r="F173" s="78" t="s">
        <v>117</v>
      </c>
      <c r="G173" s="84" t="s">
        <v>1094</v>
      </c>
      <c r="H173" s="78" t="s">
        <v>119</v>
      </c>
      <c r="I173" s="78" t="s">
        <v>120</v>
      </c>
      <c r="J173" s="74" t="s">
        <v>121</v>
      </c>
      <c r="K173" s="74" t="s">
        <v>122</v>
      </c>
    </row>
    <row r="174" spans="1:11" ht="13.9" x14ac:dyDescent="0.25">
      <c r="A174" s="125" t="s">
        <v>139</v>
      </c>
      <c r="B174" s="102" t="str">
        <f>VLOOKUP(A174,'List of Ledgers '!B:G,6,0)</f>
        <v>Common</v>
      </c>
      <c r="C174" s="54">
        <f>SUMIFS('List of Ledgers '!I:I,'List of Ledgers '!$E:$E,Drs_Crs!$A$173,'List of Ledgers '!$B:$B,Drs_Crs!$A174)</f>
        <v>-2950</v>
      </c>
      <c r="D174" s="54">
        <f>SUMIFS('List of Ledgers '!J:J,'List of Ledgers '!$E:$E,Drs_Crs!$A$173,'List of Ledgers '!$B:$B,Drs_Crs!$A174)</f>
        <v>2950</v>
      </c>
      <c r="E174" s="54">
        <f>SUMIFS('List of Ledgers '!K:K,'List of Ledgers '!$E:$E,Drs_Crs!$A$173,'List of Ledgers '!$B:$B,Drs_Crs!$A174)</f>
        <v>0</v>
      </c>
      <c r="F174" s="54">
        <f>SUMIFS('List of Ledgers '!L:L,'List of Ledgers '!$E:$E,Drs_Crs!$A$173,'List of Ledgers '!$B:$B,Drs_Crs!$A174)</f>
        <v>0</v>
      </c>
      <c r="H174" s="54">
        <f>SUMIFS('List of Ledgers '!N:N,'List of Ledgers '!$E:$E,Drs_Crs!$A$173,'List of Ledgers '!$B:$B,Drs_Crs!$A174)</f>
        <v>-17847</v>
      </c>
      <c r="I174" s="54">
        <f>SUMIFS('List of Ledgers '!O:O,'List of Ledgers '!$E:$E,Drs_Crs!$A$173,'List of Ledgers '!$B:$B,Drs_Crs!$A174)</f>
        <v>52686.5</v>
      </c>
      <c r="J174" s="54">
        <f>SUMIFS('List of Ledgers '!P:P,'List of Ledgers '!$E:$E,Drs_Crs!$A$173,'List of Ledgers '!$B:$B,Drs_Crs!$A174)</f>
        <v>34839.5</v>
      </c>
      <c r="K174" s="54">
        <f>SUMIFS('List of Ledgers '!Q:Q,'List of Ledgers '!$E:$E,Drs_Crs!$A$173,'List of Ledgers '!$B:$B,Drs_Crs!$A174)</f>
        <v>0</v>
      </c>
    </row>
    <row r="175" spans="1:11" ht="13.9" x14ac:dyDescent="0.25">
      <c r="A175" s="125" t="s">
        <v>157</v>
      </c>
      <c r="B175" s="102" t="str">
        <f>VLOOKUP(A175,'List of Ledgers '!B:G,6,0)</f>
        <v>IT</v>
      </c>
      <c r="C175" s="54">
        <f>SUMIFS('List of Ledgers '!I:I,'List of Ledgers '!$E:$E,Drs_Crs!$A$173,'List of Ledgers '!$B:$B,Drs_Crs!$A175)</f>
        <v>0</v>
      </c>
      <c r="D175" s="54">
        <f>SUMIFS('List of Ledgers '!J:J,'List of Ledgers '!$E:$E,Drs_Crs!$A$173,'List of Ledgers '!$B:$B,Drs_Crs!$A175)</f>
        <v>0</v>
      </c>
      <c r="E175" s="54">
        <f>SUMIFS('List of Ledgers '!K:K,'List of Ledgers '!$E:$E,Drs_Crs!$A$173,'List of Ledgers '!$B:$B,Drs_Crs!$A175)</f>
        <v>0</v>
      </c>
      <c r="F175" s="54">
        <f>SUMIFS('List of Ledgers '!L:L,'List of Ledgers '!$E:$E,Drs_Crs!$A$173,'List of Ledgers '!$B:$B,Drs_Crs!$A175)</f>
        <v>0</v>
      </c>
      <c r="H175" s="54">
        <f>SUMIFS('List of Ledgers '!N:N,'List of Ledgers '!$E:$E,Drs_Crs!$A$173,'List of Ledgers '!$B:$B,Drs_Crs!$A175)</f>
        <v>0</v>
      </c>
      <c r="I175" s="54">
        <f>SUMIFS('List of Ledgers '!O:O,'List of Ledgers '!$E:$E,Drs_Crs!$A$173,'List of Ledgers '!$B:$B,Drs_Crs!$A175)</f>
        <v>5900</v>
      </c>
      <c r="J175" s="54">
        <f>SUMIFS('List of Ledgers '!P:P,'List of Ledgers '!$E:$E,Drs_Crs!$A$173,'List of Ledgers '!$B:$B,Drs_Crs!$A175)</f>
        <v>5900</v>
      </c>
      <c r="K175" s="54">
        <f>SUMIFS('List of Ledgers '!Q:Q,'List of Ledgers '!$E:$E,Drs_Crs!$A$173,'List of Ledgers '!$B:$B,Drs_Crs!$A175)</f>
        <v>0</v>
      </c>
    </row>
    <row r="176" spans="1:11" ht="13.9" x14ac:dyDescent="0.25">
      <c r="A176" s="125" t="s">
        <v>167</v>
      </c>
      <c r="B176" s="102" t="str">
        <f>VLOOKUP(A176,'List of Ledgers '!B:G,6,0)</f>
        <v>Common</v>
      </c>
      <c r="C176" s="54">
        <f>SUMIFS('List of Ledgers '!I:I,'List of Ledgers '!$E:$E,Drs_Crs!$A$173,'List of Ledgers '!$B:$B,Drs_Crs!$A176)</f>
        <v>0</v>
      </c>
      <c r="D176" s="54">
        <f>SUMIFS('List of Ledgers '!J:J,'List of Ledgers '!$E:$E,Drs_Crs!$A$173,'List of Ledgers '!$B:$B,Drs_Crs!$A176)</f>
        <v>21714</v>
      </c>
      <c r="E176" s="54">
        <f>SUMIFS('List of Ledgers '!K:K,'List of Ledgers '!$E:$E,Drs_Crs!$A$173,'List of Ledgers '!$B:$B,Drs_Crs!$A176)</f>
        <v>21714</v>
      </c>
      <c r="F176" s="54">
        <f>SUMIFS('List of Ledgers '!L:L,'List of Ledgers '!$E:$E,Drs_Crs!$A$173,'List of Ledgers '!$B:$B,Drs_Crs!$A176)</f>
        <v>0</v>
      </c>
      <c r="H176" s="54">
        <f>SUMIFS('List of Ledgers '!N:N,'List of Ledgers '!$E:$E,Drs_Crs!$A$173,'List of Ledgers '!$B:$B,Drs_Crs!$A176)</f>
        <v>0</v>
      </c>
      <c r="I176" s="54">
        <f>SUMIFS('List of Ledgers '!O:O,'List of Ledgers '!$E:$E,Drs_Crs!$A$173,'List of Ledgers '!$B:$B,Drs_Crs!$A176)</f>
        <v>21714</v>
      </c>
      <c r="J176" s="54">
        <f>SUMIFS('List of Ledgers '!P:P,'List of Ledgers '!$E:$E,Drs_Crs!$A$173,'List of Ledgers '!$B:$B,Drs_Crs!$A176)</f>
        <v>21714</v>
      </c>
      <c r="K176" s="54">
        <f>SUMIFS('List of Ledgers '!Q:Q,'List of Ledgers '!$E:$E,Drs_Crs!$A$173,'List of Ledgers '!$B:$B,Drs_Crs!$A176)</f>
        <v>0</v>
      </c>
    </row>
    <row r="177" spans="1:11" ht="13.9" x14ac:dyDescent="0.25">
      <c r="A177" s="125" t="s">
        <v>161</v>
      </c>
      <c r="B177" s="102" t="str">
        <f>VLOOKUP(A177,'List of Ledgers '!B:G,6,0)</f>
        <v>IT</v>
      </c>
      <c r="C177" s="54">
        <f>SUMIFS('List of Ledgers '!I:I,'List of Ledgers '!$E:$E,Drs_Crs!$A$173,'List of Ledgers '!$B:$B,Drs_Crs!$A177)</f>
        <v>0</v>
      </c>
      <c r="D177" s="54">
        <f>SUMIFS('List of Ledgers '!J:J,'List of Ledgers '!$E:$E,Drs_Crs!$A$173,'List of Ledgers '!$B:$B,Drs_Crs!$A177)</f>
        <v>0</v>
      </c>
      <c r="E177" s="54">
        <f>SUMIFS('List of Ledgers '!K:K,'List of Ledgers '!$E:$E,Drs_Crs!$A$173,'List of Ledgers '!$B:$B,Drs_Crs!$A177)</f>
        <v>0</v>
      </c>
      <c r="F177" s="54">
        <f>SUMIFS('List of Ledgers '!L:L,'List of Ledgers '!$E:$E,Drs_Crs!$A$173,'List of Ledgers '!$B:$B,Drs_Crs!$A177)</f>
        <v>0</v>
      </c>
      <c r="H177" s="54">
        <f>SUMIFS('List of Ledgers '!N:N,'List of Ledgers '!$E:$E,Drs_Crs!$A$173,'List of Ledgers '!$B:$B,Drs_Crs!$A177)</f>
        <v>0</v>
      </c>
      <c r="I177" s="54">
        <f>SUMIFS('List of Ledgers '!O:O,'List of Ledgers '!$E:$E,Drs_Crs!$A$173,'List of Ledgers '!$B:$B,Drs_Crs!$A177)</f>
        <v>0</v>
      </c>
      <c r="J177" s="54">
        <f>SUMIFS('List of Ledgers '!P:P,'List of Ledgers '!$E:$E,Drs_Crs!$A$173,'List of Ledgers '!$B:$B,Drs_Crs!$A177)</f>
        <v>0</v>
      </c>
      <c r="K177" s="54">
        <f>SUMIFS('List of Ledgers '!Q:Q,'List of Ledgers '!$E:$E,Drs_Crs!$A$173,'List of Ledgers '!$B:$B,Drs_Crs!$A177)</f>
        <v>0</v>
      </c>
    </row>
    <row r="178" spans="1:11" ht="13.9" x14ac:dyDescent="0.25">
      <c r="A178" s="125" t="s">
        <v>162</v>
      </c>
      <c r="B178" s="102" t="str">
        <f>VLOOKUP(A178,'List of Ledgers '!B:G,6,0)</f>
        <v>IT</v>
      </c>
      <c r="C178" s="54">
        <f>SUMIFS('List of Ledgers '!I:I,'List of Ledgers '!$E:$E,Drs_Crs!$A$173,'List of Ledgers '!$B:$B,Drs_Crs!$A178)</f>
        <v>0</v>
      </c>
      <c r="D178" s="54">
        <f>SUMIFS('List of Ledgers '!J:J,'List of Ledgers '!$E:$E,Drs_Crs!$A$173,'List of Ledgers '!$B:$B,Drs_Crs!$A178)</f>
        <v>0</v>
      </c>
      <c r="E178" s="54">
        <f>SUMIFS('List of Ledgers '!K:K,'List of Ledgers '!$E:$E,Drs_Crs!$A$173,'List of Ledgers '!$B:$B,Drs_Crs!$A178)</f>
        <v>0</v>
      </c>
      <c r="F178" s="54">
        <f>SUMIFS('List of Ledgers '!L:L,'List of Ledgers '!$E:$E,Drs_Crs!$A$173,'List of Ledgers '!$B:$B,Drs_Crs!$A178)</f>
        <v>0</v>
      </c>
      <c r="H178" s="54">
        <f>SUMIFS('List of Ledgers '!N:N,'List of Ledgers '!$E:$E,Drs_Crs!$A$173,'List of Ledgers '!$B:$B,Drs_Crs!$A178)</f>
        <v>0</v>
      </c>
      <c r="I178" s="54">
        <f>SUMIFS('List of Ledgers '!O:O,'List of Ledgers '!$E:$E,Drs_Crs!$A$173,'List of Ledgers '!$B:$B,Drs_Crs!$A178)</f>
        <v>0</v>
      </c>
      <c r="J178" s="54">
        <f>SUMIFS('List of Ledgers '!P:P,'List of Ledgers '!$E:$E,Drs_Crs!$A$173,'List of Ledgers '!$B:$B,Drs_Crs!$A178)</f>
        <v>0</v>
      </c>
      <c r="K178" s="54">
        <f>SUMIFS('List of Ledgers '!Q:Q,'List of Ledgers '!$E:$E,Drs_Crs!$A$173,'List of Ledgers '!$B:$B,Drs_Crs!$A178)</f>
        <v>0</v>
      </c>
    </row>
    <row r="179" spans="1:11" ht="13.9" x14ac:dyDescent="0.25">
      <c r="A179" s="125" t="s">
        <v>163</v>
      </c>
      <c r="B179" s="102" t="str">
        <f>VLOOKUP(A179,'List of Ledgers '!B:G,6,0)</f>
        <v>IT</v>
      </c>
      <c r="C179" s="54">
        <f>SUMIFS('List of Ledgers '!I:I,'List of Ledgers '!$E:$E,Drs_Crs!$A$173,'List of Ledgers '!$B:$B,Drs_Crs!$A179)</f>
        <v>0</v>
      </c>
      <c r="D179" s="54">
        <f>SUMIFS('List of Ledgers '!J:J,'List of Ledgers '!$E:$E,Drs_Crs!$A$173,'List of Ledgers '!$B:$B,Drs_Crs!$A179)</f>
        <v>0</v>
      </c>
      <c r="E179" s="54">
        <f>SUMIFS('List of Ledgers '!K:K,'List of Ledgers '!$E:$E,Drs_Crs!$A$173,'List of Ledgers '!$B:$B,Drs_Crs!$A179)</f>
        <v>0</v>
      </c>
      <c r="F179" s="54">
        <f>SUMIFS('List of Ledgers '!L:L,'List of Ledgers '!$E:$E,Drs_Crs!$A$173,'List of Ledgers '!$B:$B,Drs_Crs!$A179)</f>
        <v>0</v>
      </c>
      <c r="H179" s="54">
        <f>SUMIFS('List of Ledgers '!N:N,'List of Ledgers '!$E:$E,Drs_Crs!$A$173,'List of Ledgers '!$B:$B,Drs_Crs!$A179)</f>
        <v>0</v>
      </c>
      <c r="I179" s="54">
        <f>SUMIFS('List of Ledgers '!O:O,'List of Ledgers '!$E:$E,Drs_Crs!$A$173,'List of Ledgers '!$B:$B,Drs_Crs!$A179)</f>
        <v>0</v>
      </c>
      <c r="J179" s="54">
        <f>SUMIFS('List of Ledgers '!P:P,'List of Ledgers '!$E:$E,Drs_Crs!$A$173,'List of Ledgers '!$B:$B,Drs_Crs!$A179)</f>
        <v>0</v>
      </c>
      <c r="K179" s="54">
        <f>SUMIFS('List of Ledgers '!Q:Q,'List of Ledgers '!$E:$E,Drs_Crs!$A$173,'List of Ledgers '!$B:$B,Drs_Crs!$A179)</f>
        <v>0</v>
      </c>
    </row>
    <row r="180" spans="1:11" ht="13.9" x14ac:dyDescent="0.25">
      <c r="A180" s="125" t="s">
        <v>164</v>
      </c>
      <c r="B180" s="102" t="str">
        <f>VLOOKUP(A180,'List of Ledgers '!B:G,6,0)</f>
        <v>IT</v>
      </c>
      <c r="C180" s="54">
        <f>SUMIFS('List of Ledgers '!I:I,'List of Ledgers '!$E:$E,Drs_Crs!$A$173,'List of Ledgers '!$B:$B,Drs_Crs!$A180)</f>
        <v>0</v>
      </c>
      <c r="D180" s="54">
        <f>SUMIFS('List of Ledgers '!J:J,'List of Ledgers '!$E:$E,Drs_Crs!$A$173,'List of Ledgers '!$B:$B,Drs_Crs!$A180)</f>
        <v>0</v>
      </c>
      <c r="E180" s="54">
        <f>SUMIFS('List of Ledgers '!K:K,'List of Ledgers '!$E:$E,Drs_Crs!$A$173,'List of Ledgers '!$B:$B,Drs_Crs!$A180)</f>
        <v>0</v>
      </c>
      <c r="F180" s="54">
        <f>SUMIFS('List of Ledgers '!L:L,'List of Ledgers '!$E:$E,Drs_Crs!$A$173,'List of Ledgers '!$B:$B,Drs_Crs!$A180)</f>
        <v>0</v>
      </c>
      <c r="H180" s="54">
        <f>SUMIFS('List of Ledgers '!N:N,'List of Ledgers '!$E:$E,Drs_Crs!$A$173,'List of Ledgers '!$B:$B,Drs_Crs!$A180)</f>
        <v>0</v>
      </c>
      <c r="I180" s="54">
        <f>SUMIFS('List of Ledgers '!O:O,'List of Ledgers '!$E:$E,Drs_Crs!$A$173,'List of Ledgers '!$B:$B,Drs_Crs!$A180)</f>
        <v>0</v>
      </c>
      <c r="J180" s="54">
        <f>SUMIFS('List of Ledgers '!P:P,'List of Ledgers '!$E:$E,Drs_Crs!$A$173,'List of Ledgers '!$B:$B,Drs_Crs!$A180)</f>
        <v>0</v>
      </c>
      <c r="K180" s="54">
        <f>SUMIFS('List of Ledgers '!Q:Q,'List of Ledgers '!$E:$E,Drs_Crs!$A$173,'List of Ledgers '!$B:$B,Drs_Crs!$A180)</f>
        <v>0</v>
      </c>
    </row>
    <row r="181" spans="1:11" s="193" customFormat="1" ht="13.9" x14ac:dyDescent="0.25">
      <c r="A181" s="226" t="s">
        <v>170</v>
      </c>
      <c r="B181" s="227" t="str">
        <f>VLOOKUP(A181,'List of Ledgers '!B:G,6,0)</f>
        <v>Common</v>
      </c>
      <c r="C181" s="228">
        <f>SUMIFS('List of Ledgers '!I:I,'List of Ledgers '!$E:$E,Drs_Crs!$A$173,'List of Ledgers '!$B:$B,Drs_Crs!$A181)</f>
        <v>0</v>
      </c>
      <c r="D181" s="228">
        <f>SUMIFS('List of Ledgers '!J:J,'List of Ledgers '!$E:$E,Drs_Crs!$A$173,'List of Ledgers '!$B:$B,Drs_Crs!$A181)</f>
        <v>0</v>
      </c>
      <c r="E181" s="228">
        <f>SUMIFS('List of Ledgers '!K:K,'List of Ledgers '!$E:$E,Drs_Crs!$A$173,'List of Ledgers '!$B:$B,Drs_Crs!$A181)</f>
        <v>1295.6400000000001</v>
      </c>
      <c r="F181" s="228">
        <f>SUMIFS('List of Ledgers '!L:L,'List of Ledgers '!$E:$E,Drs_Crs!$A$173,'List of Ledgers '!$B:$B,Drs_Crs!$A181)</f>
        <v>-1295.6400000000001</v>
      </c>
      <c r="G181" s="197"/>
      <c r="H181" s="228">
        <f>SUMIFS('List of Ledgers '!N:N,'List of Ledgers '!$E:$E,Drs_Crs!$A$173,'List of Ledgers '!$B:$B,Drs_Crs!$A181)</f>
        <v>0</v>
      </c>
      <c r="I181" s="228">
        <f>SUMIFS('List of Ledgers '!O:O,'List of Ledgers '!$E:$E,Drs_Crs!$A$173,'List of Ledgers '!$B:$B,Drs_Crs!$A181)</f>
        <v>529.82000000000005</v>
      </c>
      <c r="J181" s="228">
        <f>SUMIFS('List of Ledgers '!P:P,'List of Ledgers '!$E:$E,Drs_Crs!$A$173,'List of Ledgers '!$B:$B,Drs_Crs!$A181)</f>
        <v>1825.46</v>
      </c>
      <c r="K181" s="228">
        <f>SUMIFS('List of Ledgers '!Q:Q,'List of Ledgers '!$E:$E,Drs_Crs!$A$173,'List of Ledgers '!$B:$B,Drs_Crs!$A181)</f>
        <v>-1295.6400000000001</v>
      </c>
    </row>
    <row r="182" spans="1:11" ht="13.9" x14ac:dyDescent="0.25">
      <c r="A182" s="125" t="s">
        <v>168</v>
      </c>
      <c r="B182" s="102" t="str">
        <f>VLOOKUP(A182,'List of Ledgers '!B:G,6,0)</f>
        <v>Common</v>
      </c>
      <c r="C182" s="54">
        <f>SUMIFS('List of Ledgers '!I:I,'List of Ledgers '!$E:$E,Drs_Crs!$A$173,'List of Ledgers '!$B:$B,Drs_Crs!$A182)</f>
        <v>0</v>
      </c>
      <c r="D182" s="54">
        <f>SUMIFS('List of Ledgers '!J:J,'List of Ledgers '!$E:$E,Drs_Crs!$A$173,'List of Ledgers '!$B:$B,Drs_Crs!$A182)</f>
        <v>1414.82</v>
      </c>
      <c r="E182" s="54">
        <f>SUMIFS('List of Ledgers '!K:K,'List of Ledgers '!$E:$E,Drs_Crs!$A$173,'List of Ledgers '!$B:$B,Drs_Crs!$A182)</f>
        <v>1414.82</v>
      </c>
      <c r="F182" s="54">
        <f>SUMIFS('List of Ledgers '!L:L,'List of Ledgers '!$E:$E,Drs_Crs!$A$173,'List of Ledgers '!$B:$B,Drs_Crs!$A182)</f>
        <v>0</v>
      </c>
      <c r="H182" s="54">
        <f>SUMIFS('List of Ledgers '!N:N,'List of Ledgers '!$E:$E,Drs_Crs!$A$173,'List of Ledgers '!$B:$B,Drs_Crs!$A182)</f>
        <v>-6219.16</v>
      </c>
      <c r="I182" s="54">
        <f>SUMIFS('List of Ledgers '!O:O,'List of Ledgers '!$E:$E,Drs_Crs!$A$173,'List of Ledgers '!$B:$B,Drs_Crs!$A182)</f>
        <v>32293.08</v>
      </c>
      <c r="J182" s="54">
        <f>SUMIFS('List of Ledgers '!P:P,'List of Ledgers '!$E:$E,Drs_Crs!$A$173,'List of Ledgers '!$B:$B,Drs_Crs!$A182)</f>
        <v>26073.919999999998</v>
      </c>
      <c r="K182" s="54">
        <f>SUMIFS('List of Ledgers '!Q:Q,'List of Ledgers '!$E:$E,Drs_Crs!$A$173,'List of Ledgers '!$B:$B,Drs_Crs!$A182)</f>
        <v>0</v>
      </c>
    </row>
    <row r="183" spans="1:11" ht="13.9" x14ac:dyDescent="0.25">
      <c r="A183" s="125" t="s">
        <v>169</v>
      </c>
      <c r="B183" s="102" t="str">
        <f>VLOOKUP(A183,'List of Ledgers '!B:G,6,0)</f>
        <v>Common</v>
      </c>
      <c r="C183" s="54">
        <f>SUMIFS('List of Ledgers '!I:I,'List of Ledgers '!$E:$E,Drs_Crs!$A$173,'List of Ledgers '!$B:$B,Drs_Crs!$A183)</f>
        <v>0</v>
      </c>
      <c r="D183" s="54">
        <f>SUMIFS('List of Ledgers '!J:J,'List of Ledgers '!$E:$E,Drs_Crs!$A$173,'List of Ledgers '!$B:$B,Drs_Crs!$A183)</f>
        <v>1763</v>
      </c>
      <c r="E183" s="54">
        <f>SUMIFS('List of Ledgers '!K:K,'List of Ledgers '!$E:$E,Drs_Crs!$A$173,'List of Ledgers '!$B:$B,Drs_Crs!$A183)</f>
        <v>1763</v>
      </c>
      <c r="F183" s="54">
        <f>SUMIFS('List of Ledgers '!L:L,'List of Ledgers '!$E:$E,Drs_Crs!$A$173,'List of Ledgers '!$B:$B,Drs_Crs!$A183)</f>
        <v>0</v>
      </c>
      <c r="H183" s="54">
        <f>SUMIFS('List of Ledgers '!N:N,'List of Ledgers '!$E:$E,Drs_Crs!$A$173,'List of Ledgers '!$B:$B,Drs_Crs!$A183)</f>
        <v>-6134</v>
      </c>
      <c r="I183" s="54">
        <f>SUMIFS('List of Ledgers '!O:O,'List of Ledgers '!$E:$E,Drs_Crs!$A$173,'List of Ledgers '!$B:$B,Drs_Crs!$A183)</f>
        <v>69851.23</v>
      </c>
      <c r="J183" s="54">
        <f>SUMIFS('List of Ledgers '!P:P,'List of Ledgers '!$E:$E,Drs_Crs!$A$173,'List of Ledgers '!$B:$B,Drs_Crs!$A183)</f>
        <v>63717.23</v>
      </c>
      <c r="K183" s="54">
        <f>SUMIFS('List of Ledgers '!Q:Q,'List of Ledgers '!$E:$E,Drs_Crs!$A$173,'List of Ledgers '!$B:$B,Drs_Crs!$A183)</f>
        <v>0</v>
      </c>
    </row>
    <row r="184" spans="1:11" ht="13.9" x14ac:dyDescent="0.25">
      <c r="A184" s="125" t="s">
        <v>173</v>
      </c>
      <c r="B184" s="102" t="str">
        <f>VLOOKUP(A184,'List of Ledgers '!B:G,6,0)</f>
        <v>Common</v>
      </c>
      <c r="C184" s="54">
        <f>SUMIFS('List of Ledgers '!I:I,'List of Ledgers '!$E:$E,Drs_Crs!$A$173,'List of Ledgers '!$B:$B,Drs_Crs!$A184)</f>
        <v>0</v>
      </c>
      <c r="D184" s="54">
        <f>SUMIFS('List of Ledgers '!J:J,'List of Ledgers '!$E:$E,Drs_Crs!$A$173,'List of Ledgers '!$B:$B,Drs_Crs!$A184)</f>
        <v>0</v>
      </c>
      <c r="E184" s="54">
        <f>SUMIFS('List of Ledgers '!K:K,'List of Ledgers '!$E:$E,Drs_Crs!$A$173,'List of Ledgers '!$B:$B,Drs_Crs!$A184)</f>
        <v>0</v>
      </c>
      <c r="F184" s="54">
        <f>SUMIFS('List of Ledgers '!L:L,'List of Ledgers '!$E:$E,Drs_Crs!$A$173,'List of Ledgers '!$B:$B,Drs_Crs!$A184)</f>
        <v>0</v>
      </c>
      <c r="H184" s="54">
        <f>SUMIFS('List of Ledgers '!N:N,'List of Ledgers '!$E:$E,Drs_Crs!$A$173,'List of Ledgers '!$B:$B,Drs_Crs!$A184)</f>
        <v>0</v>
      </c>
      <c r="I184" s="54">
        <f>SUMIFS('List of Ledgers '!O:O,'List of Ledgers '!$E:$E,Drs_Crs!$A$173,'List of Ledgers '!$B:$B,Drs_Crs!$A184)</f>
        <v>0</v>
      </c>
      <c r="J184" s="54">
        <f>SUMIFS('List of Ledgers '!P:P,'List of Ledgers '!$E:$E,Drs_Crs!$A$173,'List of Ledgers '!$B:$B,Drs_Crs!$A184)</f>
        <v>0</v>
      </c>
      <c r="K184" s="54">
        <f>SUMIFS('List of Ledgers '!Q:Q,'List of Ledgers '!$E:$E,Drs_Crs!$A$173,'List of Ledgers '!$B:$B,Drs_Crs!$A184)</f>
        <v>0</v>
      </c>
    </row>
    <row r="185" spans="1:11" ht="13.9" x14ac:dyDescent="0.25">
      <c r="A185" s="125" t="s">
        <v>175</v>
      </c>
      <c r="B185" s="102" t="str">
        <f>VLOOKUP(A185,'List of Ledgers '!B:G,6,0)</f>
        <v>Common</v>
      </c>
      <c r="C185" s="54">
        <f>SUMIFS('List of Ledgers '!I:I,'List of Ledgers '!$E:$E,Drs_Crs!$A$173,'List of Ledgers '!$B:$B,Drs_Crs!$A185)</f>
        <v>0</v>
      </c>
      <c r="D185" s="54">
        <f>SUMIFS('List of Ledgers '!J:J,'List of Ledgers '!$E:$E,Drs_Crs!$A$173,'List of Ledgers '!$B:$B,Drs_Crs!$A185)</f>
        <v>0</v>
      </c>
      <c r="E185" s="54">
        <f>SUMIFS('List of Ledgers '!K:K,'List of Ledgers '!$E:$E,Drs_Crs!$A$173,'List of Ledgers '!$B:$B,Drs_Crs!$A185)</f>
        <v>0</v>
      </c>
      <c r="F185" s="54">
        <f>SUMIFS('List of Ledgers '!L:L,'List of Ledgers '!$E:$E,Drs_Crs!$A$173,'List of Ledgers '!$B:$B,Drs_Crs!$A185)</f>
        <v>0</v>
      </c>
      <c r="H185" s="54">
        <f>SUMIFS('List of Ledgers '!N:N,'List of Ledgers '!$E:$E,Drs_Crs!$A$173,'List of Ledgers '!$B:$B,Drs_Crs!$A185)</f>
        <v>0</v>
      </c>
      <c r="I185" s="54">
        <f>SUMIFS('List of Ledgers '!O:O,'List of Ledgers '!$E:$E,Drs_Crs!$A$173,'List of Ledgers '!$B:$B,Drs_Crs!$A185)</f>
        <v>0</v>
      </c>
      <c r="J185" s="54">
        <f>SUMIFS('List of Ledgers '!P:P,'List of Ledgers '!$E:$E,Drs_Crs!$A$173,'List of Ledgers '!$B:$B,Drs_Crs!$A185)</f>
        <v>0</v>
      </c>
      <c r="K185" s="54">
        <f>SUMIFS('List of Ledgers '!Q:Q,'List of Ledgers '!$E:$E,Drs_Crs!$A$173,'List of Ledgers '!$B:$B,Drs_Crs!$A185)</f>
        <v>0</v>
      </c>
    </row>
    <row r="186" spans="1:11" ht="13.9" x14ac:dyDescent="0.25">
      <c r="A186" s="125" t="s">
        <v>178</v>
      </c>
      <c r="B186" s="102" t="str">
        <f>VLOOKUP(A186,'List of Ledgers '!B:G,6,0)</f>
        <v>IT</v>
      </c>
      <c r="C186" s="54">
        <f>SUMIFS('List of Ledgers '!I:I,'List of Ledgers '!$E:$E,Drs_Crs!$A$173,'List of Ledgers '!$B:$B,Drs_Crs!$A186)</f>
        <v>0</v>
      </c>
      <c r="D186" s="54">
        <f>SUMIFS('List of Ledgers '!J:J,'List of Ledgers '!$E:$E,Drs_Crs!$A$173,'List of Ledgers '!$B:$B,Drs_Crs!$A186)</f>
        <v>0</v>
      </c>
      <c r="E186" s="54">
        <f>SUMIFS('List of Ledgers '!K:K,'List of Ledgers '!$E:$E,Drs_Crs!$A$173,'List of Ledgers '!$B:$B,Drs_Crs!$A186)</f>
        <v>0</v>
      </c>
      <c r="F186" s="54">
        <f>SUMIFS('List of Ledgers '!L:L,'List of Ledgers '!$E:$E,Drs_Crs!$A$173,'List of Ledgers '!$B:$B,Drs_Crs!$A186)</f>
        <v>0</v>
      </c>
      <c r="H186" s="54">
        <f>SUMIFS('List of Ledgers '!N:N,'List of Ledgers '!$E:$E,Drs_Crs!$A$173,'List of Ledgers '!$B:$B,Drs_Crs!$A186)</f>
        <v>0</v>
      </c>
      <c r="I186" s="54">
        <f>SUMIFS('List of Ledgers '!O:O,'List of Ledgers '!$E:$E,Drs_Crs!$A$173,'List of Ledgers '!$B:$B,Drs_Crs!$A186)</f>
        <v>0</v>
      </c>
      <c r="J186" s="54">
        <f>SUMIFS('List of Ledgers '!P:P,'List of Ledgers '!$E:$E,Drs_Crs!$A$173,'List of Ledgers '!$B:$B,Drs_Crs!$A186)</f>
        <v>0</v>
      </c>
      <c r="K186" s="54">
        <f>SUMIFS('List of Ledgers '!Q:Q,'List of Ledgers '!$E:$E,Drs_Crs!$A$173,'List of Ledgers '!$B:$B,Drs_Crs!$A186)</f>
        <v>0</v>
      </c>
    </row>
    <row r="187" spans="1:11" ht="13.9" x14ac:dyDescent="0.25">
      <c r="A187" s="125" t="s">
        <v>179</v>
      </c>
      <c r="B187" s="102" t="str">
        <f>VLOOKUP(A187,'List of Ledgers '!B:G,6,0)</f>
        <v>Bluestreak</v>
      </c>
      <c r="C187" s="54">
        <f>SUMIFS('List of Ledgers '!I:I,'List of Ledgers '!$E:$E,Drs_Crs!$A$173,'List of Ledgers '!$B:$B,Drs_Crs!$A187)</f>
        <v>0</v>
      </c>
      <c r="D187" s="54">
        <f>SUMIFS('List of Ledgers '!J:J,'List of Ledgers '!$E:$E,Drs_Crs!$A$173,'List of Ledgers '!$B:$B,Drs_Crs!$A187)</f>
        <v>0</v>
      </c>
      <c r="E187" s="54">
        <f>SUMIFS('List of Ledgers '!K:K,'List of Ledgers '!$E:$E,Drs_Crs!$A$173,'List of Ledgers '!$B:$B,Drs_Crs!$A187)</f>
        <v>0</v>
      </c>
      <c r="F187" s="54">
        <f>SUMIFS('List of Ledgers '!L:L,'List of Ledgers '!$E:$E,Drs_Crs!$A$173,'List of Ledgers '!$B:$B,Drs_Crs!$A187)</f>
        <v>0</v>
      </c>
      <c r="H187" s="54">
        <f>SUMIFS('List of Ledgers '!N:N,'List of Ledgers '!$E:$E,Drs_Crs!$A$173,'List of Ledgers '!$B:$B,Drs_Crs!$A187)</f>
        <v>-221250</v>
      </c>
      <c r="I187" s="54">
        <f>SUMIFS('List of Ledgers '!O:O,'List of Ledgers '!$E:$E,Drs_Crs!$A$173,'List of Ledgers '!$B:$B,Drs_Crs!$A187)</f>
        <v>221250</v>
      </c>
      <c r="J187" s="54">
        <f>SUMIFS('List of Ledgers '!P:P,'List of Ledgers '!$E:$E,Drs_Crs!$A$173,'List of Ledgers '!$B:$B,Drs_Crs!$A187)</f>
        <v>0</v>
      </c>
      <c r="K187" s="54">
        <f>SUMIFS('List of Ledgers '!Q:Q,'List of Ledgers '!$E:$E,Drs_Crs!$A$173,'List of Ledgers '!$B:$B,Drs_Crs!$A187)</f>
        <v>0</v>
      </c>
    </row>
    <row r="188" spans="1:11" ht="13.9" x14ac:dyDescent="0.25">
      <c r="A188" s="125" t="s">
        <v>129</v>
      </c>
      <c r="B188" s="102" t="str">
        <f>VLOOKUP(A188,'List of Ledgers '!B:G,6,0)</f>
        <v>Common</v>
      </c>
      <c r="C188" s="54">
        <f>SUMIFS('List of Ledgers '!I:I,'List of Ledgers '!$E:$E,Drs_Crs!$A$173,'List of Ledgers '!$B:$B,Drs_Crs!$A188)</f>
        <v>0</v>
      </c>
      <c r="D188" s="54">
        <f>SUMIFS('List of Ledgers '!J:J,'List of Ledgers '!$E:$E,Drs_Crs!$A$173,'List of Ledgers '!$B:$B,Drs_Crs!$A188)</f>
        <v>0</v>
      </c>
      <c r="E188" s="54">
        <f>SUMIFS('List of Ledgers '!K:K,'List of Ledgers '!$E:$E,Drs_Crs!$A$173,'List of Ledgers '!$B:$B,Drs_Crs!$A188)</f>
        <v>0</v>
      </c>
      <c r="F188" s="54">
        <f>SUMIFS('List of Ledgers '!L:L,'List of Ledgers '!$E:$E,Drs_Crs!$A$173,'List of Ledgers '!$B:$B,Drs_Crs!$A188)</f>
        <v>0</v>
      </c>
      <c r="H188" s="54">
        <f>SUMIFS('List of Ledgers '!N:N,'List of Ledgers '!$E:$E,Drs_Crs!$A$173,'List of Ledgers '!$B:$B,Drs_Crs!$A188)</f>
        <v>0</v>
      </c>
      <c r="I188" s="54">
        <f>SUMIFS('List of Ledgers '!O:O,'List of Ledgers '!$E:$E,Drs_Crs!$A$173,'List of Ledgers '!$B:$B,Drs_Crs!$A188)</f>
        <v>0</v>
      </c>
      <c r="J188" s="54">
        <f>SUMIFS('List of Ledgers '!P:P,'List of Ledgers '!$E:$E,Drs_Crs!$A$173,'List of Ledgers '!$B:$B,Drs_Crs!$A188)</f>
        <v>0</v>
      </c>
      <c r="K188" s="54">
        <f>SUMIFS('List of Ledgers '!Q:Q,'List of Ledgers '!$E:$E,Drs_Crs!$A$173,'List of Ledgers '!$B:$B,Drs_Crs!$A188)</f>
        <v>0</v>
      </c>
    </row>
    <row r="189" spans="1:11" ht="13.9" x14ac:dyDescent="0.25">
      <c r="A189" s="125" t="s">
        <v>196</v>
      </c>
      <c r="B189" s="102" t="str">
        <f>VLOOKUP(A189,'List of Ledgers '!B:G,6,0)</f>
        <v>Common</v>
      </c>
      <c r="C189" s="54">
        <f>SUMIFS('List of Ledgers '!I:I,'List of Ledgers '!$E:$E,Drs_Crs!$A$173,'List of Ledgers '!$B:$B,Drs_Crs!$A189)</f>
        <v>0</v>
      </c>
      <c r="D189" s="54">
        <f>SUMIFS('List of Ledgers '!J:J,'List of Ledgers '!$E:$E,Drs_Crs!$A$173,'List of Ledgers '!$B:$B,Drs_Crs!$A189)</f>
        <v>0</v>
      </c>
      <c r="E189" s="54">
        <f>SUMIFS('List of Ledgers '!K:K,'List of Ledgers '!$E:$E,Drs_Crs!$A$173,'List of Ledgers '!$B:$B,Drs_Crs!$A189)</f>
        <v>0</v>
      </c>
      <c r="F189" s="54">
        <f>SUMIFS('List of Ledgers '!L:L,'List of Ledgers '!$E:$E,Drs_Crs!$A$173,'List of Ledgers '!$B:$B,Drs_Crs!$A189)</f>
        <v>0</v>
      </c>
      <c r="H189" s="54">
        <f>SUMIFS('List of Ledgers '!N:N,'List of Ledgers '!$E:$E,Drs_Crs!$A$173,'List of Ledgers '!$B:$B,Drs_Crs!$A189)</f>
        <v>0</v>
      </c>
      <c r="I189" s="54">
        <f>SUMIFS('List of Ledgers '!O:O,'List of Ledgers '!$E:$E,Drs_Crs!$A$173,'List of Ledgers '!$B:$B,Drs_Crs!$A189)</f>
        <v>0</v>
      </c>
      <c r="J189" s="54">
        <f>SUMIFS('List of Ledgers '!P:P,'List of Ledgers '!$E:$E,Drs_Crs!$A$173,'List of Ledgers '!$B:$B,Drs_Crs!$A189)</f>
        <v>0</v>
      </c>
      <c r="K189" s="54">
        <f>SUMIFS('List of Ledgers '!Q:Q,'List of Ledgers '!$E:$E,Drs_Crs!$A$173,'List of Ledgers '!$B:$B,Drs_Crs!$A189)</f>
        <v>0</v>
      </c>
    </row>
    <row r="190" spans="1:11" ht="13.9" x14ac:dyDescent="0.25">
      <c r="A190" s="125" t="s">
        <v>201</v>
      </c>
      <c r="B190" s="102" t="str">
        <f>VLOOKUP(A190,'List of Ledgers '!B:G,6,0)</f>
        <v>IT</v>
      </c>
      <c r="C190" s="54">
        <f>SUMIFS('List of Ledgers '!I:I,'List of Ledgers '!$E:$E,Drs_Crs!$A$173,'List of Ledgers '!$B:$B,Drs_Crs!$A190)</f>
        <v>0</v>
      </c>
      <c r="D190" s="54">
        <f>SUMIFS('List of Ledgers '!J:J,'List of Ledgers '!$E:$E,Drs_Crs!$A$173,'List of Ledgers '!$B:$B,Drs_Crs!$A190)</f>
        <v>0</v>
      </c>
      <c r="E190" s="54">
        <f>SUMIFS('List of Ledgers '!K:K,'List of Ledgers '!$E:$E,Drs_Crs!$A$173,'List of Ledgers '!$B:$B,Drs_Crs!$A190)</f>
        <v>0</v>
      </c>
      <c r="F190" s="54">
        <f>SUMIFS('List of Ledgers '!L:L,'List of Ledgers '!$E:$E,Drs_Crs!$A$173,'List of Ledgers '!$B:$B,Drs_Crs!$A190)</f>
        <v>0</v>
      </c>
      <c r="H190" s="54">
        <f>SUMIFS('List of Ledgers '!N:N,'List of Ledgers '!$E:$E,Drs_Crs!$A$173,'List of Ledgers '!$B:$B,Drs_Crs!$A190)</f>
        <v>0</v>
      </c>
      <c r="I190" s="54">
        <f>SUMIFS('List of Ledgers '!O:O,'List of Ledgers '!$E:$E,Drs_Crs!$A$173,'List of Ledgers '!$B:$B,Drs_Crs!$A190)</f>
        <v>54908</v>
      </c>
      <c r="J190" s="54">
        <f>SUMIFS('List of Ledgers '!P:P,'List of Ledgers '!$E:$E,Drs_Crs!$A$173,'List of Ledgers '!$B:$B,Drs_Crs!$A190)</f>
        <v>54908</v>
      </c>
      <c r="K190" s="54">
        <f>SUMIFS('List of Ledgers '!Q:Q,'List of Ledgers '!$E:$E,Drs_Crs!$A$173,'List of Ledgers '!$B:$B,Drs_Crs!$A190)</f>
        <v>0</v>
      </c>
    </row>
    <row r="191" spans="1:11" ht="13.9" x14ac:dyDescent="0.25">
      <c r="A191" s="125" t="s">
        <v>202</v>
      </c>
      <c r="B191" s="102" t="str">
        <f>VLOOKUP(A191,'List of Ledgers '!B:G,6,0)</f>
        <v>Common</v>
      </c>
      <c r="C191" s="54">
        <f>SUMIFS('List of Ledgers '!I:I,'List of Ledgers '!$E:$E,Drs_Crs!$A$173,'List of Ledgers '!$B:$B,Drs_Crs!$A191)</f>
        <v>0</v>
      </c>
      <c r="D191" s="54">
        <f>SUMIFS('List of Ledgers '!J:J,'List of Ledgers '!$E:$E,Drs_Crs!$A$173,'List of Ledgers '!$B:$B,Drs_Crs!$A191)</f>
        <v>0</v>
      </c>
      <c r="E191" s="54">
        <f>SUMIFS('List of Ledgers '!K:K,'List of Ledgers '!$E:$E,Drs_Crs!$A$173,'List of Ledgers '!$B:$B,Drs_Crs!$A191)</f>
        <v>0</v>
      </c>
      <c r="F191" s="54">
        <f>SUMIFS('List of Ledgers '!L:L,'List of Ledgers '!$E:$E,Drs_Crs!$A$173,'List of Ledgers '!$B:$B,Drs_Crs!$A191)</f>
        <v>0</v>
      </c>
      <c r="H191" s="54">
        <f>SUMIFS('List of Ledgers '!N:N,'List of Ledgers '!$E:$E,Drs_Crs!$A$173,'List of Ledgers '!$B:$B,Drs_Crs!$A191)</f>
        <v>0</v>
      </c>
      <c r="I191" s="54">
        <f>SUMIFS('List of Ledgers '!O:O,'List of Ledgers '!$E:$E,Drs_Crs!$A$173,'List of Ledgers '!$B:$B,Drs_Crs!$A191)</f>
        <v>0</v>
      </c>
      <c r="J191" s="54">
        <f>SUMIFS('List of Ledgers '!P:P,'List of Ledgers '!$E:$E,Drs_Crs!$A$173,'List of Ledgers '!$B:$B,Drs_Crs!$A191)</f>
        <v>0</v>
      </c>
      <c r="K191" s="54">
        <f>SUMIFS('List of Ledgers '!Q:Q,'List of Ledgers '!$E:$E,Drs_Crs!$A$173,'List of Ledgers '!$B:$B,Drs_Crs!$A191)</f>
        <v>0</v>
      </c>
    </row>
    <row r="192" spans="1:11" ht="13.9" x14ac:dyDescent="0.25">
      <c r="A192" s="125" t="s">
        <v>203</v>
      </c>
      <c r="B192" s="102" t="str">
        <f>VLOOKUP(A192,'List of Ledgers '!B:G,6,0)</f>
        <v>IT</v>
      </c>
      <c r="C192" s="54">
        <f>SUMIFS('List of Ledgers '!I:I,'List of Ledgers '!$E:$E,Drs_Crs!$A$173,'List of Ledgers '!$B:$B,Drs_Crs!$A192)</f>
        <v>0</v>
      </c>
      <c r="D192" s="54">
        <f>SUMIFS('List of Ledgers '!J:J,'List of Ledgers '!$E:$E,Drs_Crs!$A$173,'List of Ledgers '!$B:$B,Drs_Crs!$A192)</f>
        <v>0</v>
      </c>
      <c r="E192" s="54">
        <f>SUMIFS('List of Ledgers '!K:K,'List of Ledgers '!$E:$E,Drs_Crs!$A$173,'List of Ledgers '!$B:$B,Drs_Crs!$A192)</f>
        <v>0</v>
      </c>
      <c r="F192" s="54">
        <f>SUMIFS('List of Ledgers '!L:L,'List of Ledgers '!$E:$E,Drs_Crs!$A$173,'List of Ledgers '!$B:$B,Drs_Crs!$A192)</f>
        <v>0</v>
      </c>
      <c r="H192" s="54">
        <f>SUMIFS('List of Ledgers '!N:N,'List of Ledgers '!$E:$E,Drs_Crs!$A$173,'List of Ledgers '!$B:$B,Drs_Crs!$A192)</f>
        <v>0</v>
      </c>
      <c r="I192" s="54">
        <f>SUMIFS('List of Ledgers '!O:O,'List of Ledgers '!$E:$E,Drs_Crs!$A$173,'List of Ledgers '!$B:$B,Drs_Crs!$A192)</f>
        <v>0</v>
      </c>
      <c r="J192" s="54">
        <f>SUMIFS('List of Ledgers '!P:P,'List of Ledgers '!$E:$E,Drs_Crs!$A$173,'List of Ledgers '!$B:$B,Drs_Crs!$A192)</f>
        <v>0</v>
      </c>
      <c r="K192" s="54">
        <f>SUMIFS('List of Ledgers '!Q:Q,'List of Ledgers '!$E:$E,Drs_Crs!$A$173,'List of Ledgers '!$B:$B,Drs_Crs!$A192)</f>
        <v>0</v>
      </c>
    </row>
    <row r="193" spans="1:11" ht="13.9" x14ac:dyDescent="0.25">
      <c r="A193" s="125" t="s">
        <v>205</v>
      </c>
      <c r="B193" s="102" t="str">
        <f>VLOOKUP(A193,'List of Ledgers '!B:G,6,0)</f>
        <v>Common</v>
      </c>
      <c r="C193" s="54">
        <f>SUMIFS('List of Ledgers '!I:I,'List of Ledgers '!$E:$E,Drs_Crs!$A$173,'List of Ledgers '!$B:$B,Drs_Crs!$A193)</f>
        <v>0</v>
      </c>
      <c r="D193" s="54">
        <f>SUMIFS('List of Ledgers '!J:J,'List of Ledgers '!$E:$E,Drs_Crs!$A$173,'List of Ledgers '!$B:$B,Drs_Crs!$A193)</f>
        <v>0</v>
      </c>
      <c r="E193" s="54">
        <f>SUMIFS('List of Ledgers '!K:K,'List of Ledgers '!$E:$E,Drs_Crs!$A$173,'List of Ledgers '!$B:$B,Drs_Crs!$A193)</f>
        <v>0</v>
      </c>
      <c r="F193" s="54">
        <f>SUMIFS('List of Ledgers '!L:L,'List of Ledgers '!$E:$E,Drs_Crs!$A$173,'List of Ledgers '!$B:$B,Drs_Crs!$A193)</f>
        <v>0</v>
      </c>
      <c r="H193" s="54">
        <f>SUMIFS('List of Ledgers '!N:N,'List of Ledgers '!$E:$E,Drs_Crs!$A$173,'List of Ledgers '!$B:$B,Drs_Crs!$A193)</f>
        <v>0</v>
      </c>
      <c r="I193" s="54">
        <f>SUMIFS('List of Ledgers '!O:O,'List of Ledgers '!$E:$E,Drs_Crs!$A$173,'List of Ledgers '!$B:$B,Drs_Crs!$A193)</f>
        <v>0</v>
      </c>
      <c r="J193" s="54">
        <f>SUMIFS('List of Ledgers '!P:P,'List of Ledgers '!$E:$E,Drs_Crs!$A$173,'List of Ledgers '!$B:$B,Drs_Crs!$A193)</f>
        <v>0</v>
      </c>
      <c r="K193" s="54">
        <f>SUMIFS('List of Ledgers '!Q:Q,'List of Ledgers '!$E:$E,Drs_Crs!$A$173,'List of Ledgers '!$B:$B,Drs_Crs!$A193)</f>
        <v>0</v>
      </c>
    </row>
    <row r="194" spans="1:11" ht="13.9" x14ac:dyDescent="0.25">
      <c r="A194" s="125" t="s">
        <v>206</v>
      </c>
      <c r="B194" s="102" t="str">
        <f>VLOOKUP(A194,'List of Ledgers '!B:G,6,0)</f>
        <v>Clarus</v>
      </c>
      <c r="C194" s="54">
        <f>SUMIFS('List of Ledgers '!I:I,'List of Ledgers '!$E:$E,Drs_Crs!$A$173,'List of Ledgers '!$B:$B,Drs_Crs!$A194)</f>
        <v>0</v>
      </c>
      <c r="D194" s="54">
        <f>SUMIFS('List of Ledgers '!J:J,'List of Ledgers '!$E:$E,Drs_Crs!$A$173,'List of Ledgers '!$B:$B,Drs_Crs!$A194)</f>
        <v>0</v>
      </c>
      <c r="E194" s="54">
        <f>SUMIFS('List of Ledgers '!K:K,'List of Ledgers '!$E:$E,Drs_Crs!$A$173,'List of Ledgers '!$B:$B,Drs_Crs!$A194)</f>
        <v>0</v>
      </c>
      <c r="F194" s="54">
        <f>SUMIFS('List of Ledgers '!L:L,'List of Ledgers '!$E:$E,Drs_Crs!$A$173,'List of Ledgers '!$B:$B,Drs_Crs!$A194)</f>
        <v>0</v>
      </c>
      <c r="H194" s="54">
        <f>SUMIFS('List of Ledgers '!N:N,'List of Ledgers '!$E:$E,Drs_Crs!$A$173,'List of Ledgers '!$B:$B,Drs_Crs!$A194)</f>
        <v>0</v>
      </c>
      <c r="I194" s="54">
        <f>SUMIFS('List of Ledgers '!O:O,'List of Ledgers '!$E:$E,Drs_Crs!$A$173,'List of Ledgers '!$B:$B,Drs_Crs!$A194)</f>
        <v>0</v>
      </c>
      <c r="J194" s="54">
        <f>SUMIFS('List of Ledgers '!P:P,'List of Ledgers '!$E:$E,Drs_Crs!$A$173,'List of Ledgers '!$B:$B,Drs_Crs!$A194)</f>
        <v>0</v>
      </c>
      <c r="K194" s="54">
        <f>SUMIFS('List of Ledgers '!Q:Q,'List of Ledgers '!$E:$E,Drs_Crs!$A$173,'List of Ledgers '!$B:$B,Drs_Crs!$A194)</f>
        <v>0</v>
      </c>
    </row>
    <row r="195" spans="1:11" ht="13.9" x14ac:dyDescent="0.25">
      <c r="A195" s="125" t="s">
        <v>218</v>
      </c>
      <c r="B195" s="102" t="str">
        <f>VLOOKUP(A195,'List of Ledgers '!B:G,6,0)</f>
        <v>Common</v>
      </c>
      <c r="C195" s="54">
        <f>SUMIFS('List of Ledgers '!I:I,'List of Ledgers '!$E:$E,Drs_Crs!$A$173,'List of Ledgers '!$B:$B,Drs_Crs!$A195)</f>
        <v>0</v>
      </c>
      <c r="D195" s="54">
        <f>SUMIFS('List of Ledgers '!J:J,'List of Ledgers '!$E:$E,Drs_Crs!$A$173,'List of Ledgers '!$B:$B,Drs_Crs!$A195)</f>
        <v>0</v>
      </c>
      <c r="E195" s="54">
        <f>SUMIFS('List of Ledgers '!K:K,'List of Ledgers '!$E:$E,Drs_Crs!$A$173,'List of Ledgers '!$B:$B,Drs_Crs!$A195)</f>
        <v>0</v>
      </c>
      <c r="F195" s="54">
        <f>SUMIFS('List of Ledgers '!L:L,'List of Ledgers '!$E:$E,Drs_Crs!$A$173,'List of Ledgers '!$B:$B,Drs_Crs!$A195)</f>
        <v>0</v>
      </c>
      <c r="H195" s="54">
        <f>SUMIFS('List of Ledgers '!N:N,'List of Ledgers '!$E:$E,Drs_Crs!$A$173,'List of Ledgers '!$B:$B,Drs_Crs!$A195)</f>
        <v>0</v>
      </c>
      <c r="I195" s="54">
        <f>SUMIFS('List of Ledgers '!O:O,'List of Ledgers '!$E:$E,Drs_Crs!$A$173,'List of Ledgers '!$B:$B,Drs_Crs!$A195)</f>
        <v>0</v>
      </c>
      <c r="J195" s="54">
        <f>SUMIFS('List of Ledgers '!P:P,'List of Ledgers '!$E:$E,Drs_Crs!$A$173,'List of Ledgers '!$B:$B,Drs_Crs!$A195)</f>
        <v>0</v>
      </c>
      <c r="K195" s="54">
        <f>SUMIFS('List of Ledgers '!Q:Q,'List of Ledgers '!$E:$E,Drs_Crs!$A$173,'List of Ledgers '!$B:$B,Drs_Crs!$A195)</f>
        <v>0</v>
      </c>
    </row>
    <row r="196" spans="1:11" ht="13.9" x14ac:dyDescent="0.25">
      <c r="A196" s="125" t="s">
        <v>188</v>
      </c>
      <c r="B196" s="102" t="s">
        <v>7</v>
      </c>
      <c r="C196" s="54">
        <f>SUMIFS('List of Ledgers '!I:I,'List of Ledgers '!$E:$E,Drs_Crs!$A$173,'List of Ledgers '!$B:$B,Drs_Crs!$A196)</f>
        <v>0</v>
      </c>
      <c r="D196" s="54">
        <f>SUMIFS('List of Ledgers '!J:J,'List of Ledgers '!$E:$E,Drs_Crs!$A$173,'List of Ledgers '!$B:$B,Drs_Crs!$A196)</f>
        <v>0</v>
      </c>
      <c r="E196" s="54">
        <f>SUMIFS('List of Ledgers '!K:K,'List of Ledgers '!$E:$E,Drs_Crs!$A$173,'List of Ledgers '!$B:$B,Drs_Crs!$A196)</f>
        <v>0</v>
      </c>
      <c r="F196" s="54">
        <f>SUMIFS('List of Ledgers '!L:L,'List of Ledgers '!$E:$E,Drs_Crs!$A$173,'List of Ledgers '!$B:$B,Drs_Crs!$A196)</f>
        <v>0</v>
      </c>
      <c r="H196" s="54">
        <f>SUMIFS('List of Ledgers '!N:N,'List of Ledgers '!$E:$E,Drs_Crs!$A$173,'List of Ledgers '!$B:$B,Drs_Crs!$A196)</f>
        <v>164182.82</v>
      </c>
      <c r="I196" s="54">
        <f>SUMIFS('List of Ledgers '!O:O,'List of Ledgers '!$E:$E,Drs_Crs!$A$173,'List of Ledgers '!$B:$B,Drs_Crs!$A196)</f>
        <v>151904</v>
      </c>
      <c r="J196" s="54">
        <f>SUMIFS('List of Ledgers '!P:P,'List of Ledgers '!$E:$E,Drs_Crs!$A$173,'List of Ledgers '!$B:$B,Drs_Crs!$A196)</f>
        <v>316086.82</v>
      </c>
      <c r="K196" s="54">
        <f>SUMIFS('List of Ledgers '!Q:Q,'List of Ledgers '!$E:$E,Drs_Crs!$A$173,'List of Ledgers '!$B:$B,Drs_Crs!$A196)</f>
        <v>0</v>
      </c>
    </row>
    <row r="197" spans="1:11" ht="13.9" x14ac:dyDescent="0.25">
      <c r="A197" s="125" t="s">
        <v>190</v>
      </c>
      <c r="B197" s="102" t="s">
        <v>7</v>
      </c>
      <c r="C197" s="54">
        <f>SUMIFS('List of Ledgers '!I:I,'List of Ledgers '!$E:$E,Drs_Crs!$A$173,'List of Ledgers '!$B:$B,Drs_Crs!$A197)</f>
        <v>0</v>
      </c>
      <c r="D197" s="54">
        <f>SUMIFS('List of Ledgers '!J:J,'List of Ledgers '!$E:$E,Drs_Crs!$A$173,'List of Ledgers '!$B:$B,Drs_Crs!$A197)</f>
        <v>0</v>
      </c>
      <c r="E197" s="54">
        <f>SUMIFS('List of Ledgers '!K:K,'List of Ledgers '!$E:$E,Drs_Crs!$A$173,'List of Ledgers '!$B:$B,Drs_Crs!$A197)</f>
        <v>0</v>
      </c>
      <c r="F197" s="54">
        <f>SUMIFS('List of Ledgers '!L:L,'List of Ledgers '!$E:$E,Drs_Crs!$A$173,'List of Ledgers '!$B:$B,Drs_Crs!$A197)</f>
        <v>0</v>
      </c>
      <c r="H197" s="54">
        <f>SUMIFS('List of Ledgers '!N:N,'List of Ledgers '!$E:$E,Drs_Crs!$A$173,'List of Ledgers '!$B:$B,Drs_Crs!$A197)</f>
        <v>42199</v>
      </c>
      <c r="I197" s="54">
        <f>SUMIFS('List of Ledgers '!O:O,'List of Ledgers '!$E:$E,Drs_Crs!$A$173,'List of Ledgers '!$B:$B,Drs_Crs!$A197)</f>
        <v>388748</v>
      </c>
      <c r="J197" s="54">
        <f>SUMIFS('List of Ledgers '!P:P,'List of Ledgers '!$E:$E,Drs_Crs!$A$173,'List of Ledgers '!$B:$B,Drs_Crs!$A197)</f>
        <v>430947</v>
      </c>
      <c r="K197" s="54">
        <f>SUMIFS('List of Ledgers '!Q:Q,'List of Ledgers '!$E:$E,Drs_Crs!$A$173,'List of Ledgers '!$B:$B,Drs_Crs!$A197)</f>
        <v>0</v>
      </c>
    </row>
    <row r="198" spans="1:11" ht="13.9" x14ac:dyDescent="0.25">
      <c r="A198" s="125" t="s">
        <v>220</v>
      </c>
      <c r="B198" s="102" t="str">
        <f>VLOOKUP(A198,'List of Ledgers '!B:G,6,0)</f>
        <v>Common</v>
      </c>
      <c r="C198" s="54">
        <f>SUMIFS('List of Ledgers '!I:I,'List of Ledgers '!$E:$E,Drs_Crs!$A$173,'List of Ledgers '!$B:$B,Drs_Crs!$A198)</f>
        <v>0</v>
      </c>
      <c r="D198" s="54">
        <f>SUMIFS('List of Ledgers '!J:J,'List of Ledgers '!$E:$E,Drs_Crs!$A$173,'List of Ledgers '!$B:$B,Drs_Crs!$A198)</f>
        <v>0</v>
      </c>
      <c r="E198" s="54">
        <f>SUMIFS('List of Ledgers '!K:K,'List of Ledgers '!$E:$E,Drs_Crs!$A$173,'List of Ledgers '!$B:$B,Drs_Crs!$A198)</f>
        <v>0</v>
      </c>
      <c r="F198" s="54">
        <f>SUMIFS('List of Ledgers '!L:L,'List of Ledgers '!$E:$E,Drs_Crs!$A$173,'List of Ledgers '!$B:$B,Drs_Crs!$A198)</f>
        <v>0</v>
      </c>
      <c r="H198" s="54">
        <f>SUMIFS('List of Ledgers '!N:N,'List of Ledgers '!$E:$E,Drs_Crs!$A$173,'List of Ledgers '!$B:$B,Drs_Crs!$A198)</f>
        <v>0</v>
      </c>
      <c r="I198" s="54">
        <f>SUMIFS('List of Ledgers '!O:O,'List of Ledgers '!$E:$E,Drs_Crs!$A$173,'List of Ledgers '!$B:$B,Drs_Crs!$A198)</f>
        <v>0</v>
      </c>
      <c r="J198" s="54">
        <f>SUMIFS('List of Ledgers '!P:P,'List of Ledgers '!$E:$E,Drs_Crs!$A$173,'List of Ledgers '!$B:$B,Drs_Crs!$A198)</f>
        <v>0</v>
      </c>
      <c r="K198" s="54">
        <f>SUMIFS('List of Ledgers '!Q:Q,'List of Ledgers '!$E:$E,Drs_Crs!$A$173,'List of Ledgers '!$B:$B,Drs_Crs!$A198)</f>
        <v>0</v>
      </c>
    </row>
    <row r="199" spans="1:11" s="193" customFormat="1" ht="13.9" x14ac:dyDescent="0.25">
      <c r="A199" s="226" t="s">
        <v>219</v>
      </c>
      <c r="B199" s="227" t="str">
        <f>VLOOKUP(A199,'List of Ledgers '!B:G,6,0)</f>
        <v>Common</v>
      </c>
      <c r="C199" s="228">
        <f>SUMIFS('List of Ledgers '!I:I,'List of Ledgers '!$E:$E,Drs_Crs!$A$173,'List of Ledgers '!$B:$B,Drs_Crs!$A199)</f>
        <v>-1000</v>
      </c>
      <c r="D199" s="228">
        <f>SUMIFS('List of Ledgers '!J:J,'List of Ledgers '!$E:$E,Drs_Crs!$A$173,'List of Ledgers '!$B:$B,Drs_Crs!$A199)</f>
        <v>0</v>
      </c>
      <c r="E199" s="228">
        <f>SUMIFS('List of Ledgers '!K:K,'List of Ledgers '!$E:$E,Drs_Crs!$A$173,'List of Ledgers '!$B:$B,Drs_Crs!$A199)</f>
        <v>0</v>
      </c>
      <c r="F199" s="228">
        <f>SUMIFS('List of Ledgers '!L:L,'List of Ledgers '!$E:$E,Drs_Crs!$A$173,'List of Ledgers '!$B:$B,Drs_Crs!$A199)</f>
        <v>-1000</v>
      </c>
      <c r="G199" s="197"/>
      <c r="H199" s="228">
        <f>SUMIFS('List of Ledgers '!N:N,'List of Ledgers '!$E:$E,Drs_Crs!$A$173,'List of Ledgers '!$B:$B,Drs_Crs!$A199)</f>
        <v>-960.98</v>
      </c>
      <c r="I199" s="228">
        <f>SUMIFS('List of Ledgers '!O:O,'List of Ledgers '!$E:$E,Drs_Crs!$A$173,'List of Ledgers '!$B:$B,Drs_Crs!$A199)</f>
        <v>16522</v>
      </c>
      <c r="J199" s="228">
        <f>SUMIFS('List of Ledgers '!P:P,'List of Ledgers '!$E:$E,Drs_Crs!$A$173,'List of Ledgers '!$B:$B,Drs_Crs!$A199)</f>
        <v>16561.02</v>
      </c>
      <c r="K199" s="228">
        <f>SUMIFS('List of Ledgers '!Q:Q,'List of Ledgers '!$E:$E,Drs_Crs!$A$173,'List of Ledgers '!$B:$B,Drs_Crs!$A199)</f>
        <v>-1000</v>
      </c>
    </row>
    <row r="200" spans="1:11" ht="13.9" x14ac:dyDescent="0.25">
      <c r="A200" s="125" t="s">
        <v>231</v>
      </c>
      <c r="B200" s="102" t="str">
        <f>VLOOKUP(A200,'List of Ledgers '!B:G,6,0)</f>
        <v>Common</v>
      </c>
      <c r="C200" s="54">
        <f>SUMIFS('List of Ledgers '!I:I,'List of Ledgers '!$E:$E,Drs_Crs!$A$173,'List of Ledgers '!$B:$B,Drs_Crs!$A200)</f>
        <v>0</v>
      </c>
      <c r="D200" s="54">
        <f>SUMIFS('List of Ledgers '!J:J,'List of Ledgers '!$E:$E,Drs_Crs!$A$173,'List of Ledgers '!$B:$B,Drs_Crs!$A200)</f>
        <v>0</v>
      </c>
      <c r="E200" s="54">
        <f>SUMIFS('List of Ledgers '!K:K,'List of Ledgers '!$E:$E,Drs_Crs!$A$173,'List of Ledgers '!$B:$B,Drs_Crs!$A200)</f>
        <v>0</v>
      </c>
      <c r="F200" s="54">
        <f>SUMIFS('List of Ledgers '!L:L,'List of Ledgers '!$E:$E,Drs_Crs!$A$173,'List of Ledgers '!$B:$B,Drs_Crs!$A200)</f>
        <v>0</v>
      </c>
      <c r="H200" s="54">
        <f>SUMIFS('List of Ledgers '!N:N,'List of Ledgers '!$E:$E,Drs_Crs!$A$173,'List of Ledgers '!$B:$B,Drs_Crs!$A200)</f>
        <v>0</v>
      </c>
      <c r="I200" s="54">
        <f>SUMIFS('List of Ledgers '!O:O,'List of Ledgers '!$E:$E,Drs_Crs!$A$173,'List of Ledgers '!$B:$B,Drs_Crs!$A200)</f>
        <v>0</v>
      </c>
      <c r="J200" s="54">
        <f>SUMIFS('List of Ledgers '!P:P,'List of Ledgers '!$E:$E,Drs_Crs!$A$173,'List of Ledgers '!$B:$B,Drs_Crs!$A200)</f>
        <v>0</v>
      </c>
      <c r="K200" s="54">
        <f>SUMIFS('List of Ledgers '!Q:Q,'List of Ledgers '!$E:$E,Drs_Crs!$A$173,'List of Ledgers '!$B:$B,Drs_Crs!$A200)</f>
        <v>0</v>
      </c>
    </row>
    <row r="201" spans="1:11" ht="13.9" x14ac:dyDescent="0.25">
      <c r="A201" s="125" t="s">
        <v>232</v>
      </c>
      <c r="B201" s="102" t="str">
        <f>VLOOKUP(A201,'List of Ledgers '!B:G,6,0)</f>
        <v>Common</v>
      </c>
      <c r="C201" s="54">
        <f>SUMIFS('List of Ledgers '!I:I,'List of Ledgers '!$E:$E,Drs_Crs!$A$173,'List of Ledgers '!$B:$B,Drs_Crs!$A201)</f>
        <v>0</v>
      </c>
      <c r="D201" s="54">
        <f>SUMIFS('List of Ledgers '!J:J,'List of Ledgers '!$E:$E,Drs_Crs!$A$173,'List of Ledgers '!$B:$B,Drs_Crs!$A201)</f>
        <v>0</v>
      </c>
      <c r="E201" s="54">
        <f>SUMIFS('List of Ledgers '!K:K,'List of Ledgers '!$E:$E,Drs_Crs!$A$173,'List of Ledgers '!$B:$B,Drs_Crs!$A201)</f>
        <v>0</v>
      </c>
      <c r="F201" s="54">
        <f>SUMIFS('List of Ledgers '!L:L,'List of Ledgers '!$E:$E,Drs_Crs!$A$173,'List of Ledgers '!$B:$B,Drs_Crs!$A201)</f>
        <v>0</v>
      </c>
      <c r="H201" s="54">
        <f>SUMIFS('List of Ledgers '!N:N,'List of Ledgers '!$E:$E,Drs_Crs!$A$173,'List of Ledgers '!$B:$B,Drs_Crs!$A201)</f>
        <v>0</v>
      </c>
      <c r="I201" s="54">
        <f>SUMIFS('List of Ledgers '!O:O,'List of Ledgers '!$E:$E,Drs_Crs!$A$173,'List of Ledgers '!$B:$B,Drs_Crs!$A201)</f>
        <v>118</v>
      </c>
      <c r="J201" s="54">
        <f>SUMIFS('List of Ledgers '!P:P,'List of Ledgers '!$E:$E,Drs_Crs!$A$173,'List of Ledgers '!$B:$B,Drs_Crs!$A201)</f>
        <v>118</v>
      </c>
      <c r="K201" s="54">
        <f>SUMIFS('List of Ledgers '!Q:Q,'List of Ledgers '!$E:$E,Drs_Crs!$A$173,'List of Ledgers '!$B:$B,Drs_Crs!$A201)</f>
        <v>0</v>
      </c>
    </row>
    <row r="202" spans="1:11" ht="13.9" x14ac:dyDescent="0.25">
      <c r="A202" s="125" t="s">
        <v>241</v>
      </c>
      <c r="B202" s="102" t="str">
        <f>VLOOKUP(A202,'List of Ledgers '!B:G,6,0)</f>
        <v>Common</v>
      </c>
      <c r="C202" s="54">
        <f>SUMIFS('List of Ledgers '!I:I,'List of Ledgers '!$E:$E,Drs_Crs!$A$173,'List of Ledgers '!$B:$B,Drs_Crs!$A202)</f>
        <v>0</v>
      </c>
      <c r="D202" s="54">
        <f>SUMIFS('List of Ledgers '!J:J,'List of Ledgers '!$E:$E,Drs_Crs!$A$173,'List of Ledgers '!$B:$B,Drs_Crs!$A202)</f>
        <v>0</v>
      </c>
      <c r="E202" s="54">
        <f>SUMIFS('List of Ledgers '!K:K,'List of Ledgers '!$E:$E,Drs_Crs!$A$173,'List of Ledgers '!$B:$B,Drs_Crs!$A202)</f>
        <v>0</v>
      </c>
      <c r="F202" s="54">
        <f>SUMIFS('List of Ledgers '!L:L,'List of Ledgers '!$E:$E,Drs_Crs!$A$173,'List of Ledgers '!$B:$B,Drs_Crs!$A202)</f>
        <v>0</v>
      </c>
      <c r="H202" s="54">
        <f>SUMIFS('List of Ledgers '!N:N,'List of Ledgers '!$E:$E,Drs_Crs!$A$173,'List of Ledgers '!$B:$B,Drs_Crs!$A202)</f>
        <v>0</v>
      </c>
      <c r="I202" s="54">
        <f>SUMIFS('List of Ledgers '!O:O,'List of Ledgers '!$E:$E,Drs_Crs!$A$173,'List of Ledgers '!$B:$B,Drs_Crs!$A202)</f>
        <v>0</v>
      </c>
      <c r="J202" s="54">
        <f>SUMIFS('List of Ledgers '!P:P,'List of Ledgers '!$E:$E,Drs_Crs!$A$173,'List of Ledgers '!$B:$B,Drs_Crs!$A202)</f>
        <v>0</v>
      </c>
      <c r="K202" s="54">
        <f>SUMIFS('List of Ledgers '!Q:Q,'List of Ledgers '!$E:$E,Drs_Crs!$A$173,'List of Ledgers '!$B:$B,Drs_Crs!$A202)</f>
        <v>0</v>
      </c>
    </row>
    <row r="203" spans="1:11" ht="13.9" x14ac:dyDescent="0.25">
      <c r="A203" s="125" t="s">
        <v>222</v>
      </c>
      <c r="B203" s="102" t="str">
        <f>VLOOKUP(A203,'List of Ledgers '!B:G,6,0)</f>
        <v>Common</v>
      </c>
      <c r="C203" s="54">
        <f>SUMIFS('List of Ledgers '!I:I,'List of Ledgers '!$E:$E,Drs_Crs!$A$173,'List of Ledgers '!$B:$B,Drs_Crs!$A203)</f>
        <v>-54000</v>
      </c>
      <c r="D203" s="54">
        <f>SUMIFS('List of Ledgers '!J:J,'List of Ledgers '!$E:$E,Drs_Crs!$A$173,'List of Ledgers '!$B:$B,Drs_Crs!$A203)</f>
        <v>0</v>
      </c>
      <c r="E203" s="54">
        <f>SUMIFS('List of Ledgers '!K:K,'List of Ledgers '!$E:$E,Drs_Crs!$A$173,'List of Ledgers '!$B:$B,Drs_Crs!$A203)</f>
        <v>0</v>
      </c>
      <c r="F203" s="54">
        <f>SUMIFS('List of Ledgers '!L:L,'List of Ledgers '!$E:$E,Drs_Crs!$A$173,'List of Ledgers '!$B:$B,Drs_Crs!$A203)</f>
        <v>-54000</v>
      </c>
      <c r="H203" s="54">
        <f>SUMIFS('List of Ledgers '!N:N,'List of Ledgers '!$E:$E,Drs_Crs!$A$173,'List of Ledgers '!$B:$B,Drs_Crs!$A203)</f>
        <v>-54000</v>
      </c>
      <c r="I203" s="54">
        <f>SUMIFS('List of Ledgers '!O:O,'List of Ledgers '!$E:$E,Drs_Crs!$A$173,'List of Ledgers '!$B:$B,Drs_Crs!$A203)</f>
        <v>281600</v>
      </c>
      <c r="J203" s="54">
        <f>SUMIFS('List of Ledgers '!P:P,'List of Ledgers '!$E:$E,Drs_Crs!$A$173,'List of Ledgers '!$B:$B,Drs_Crs!$A203)</f>
        <v>281600</v>
      </c>
      <c r="K203" s="54">
        <f>SUMIFS('List of Ledgers '!Q:Q,'List of Ledgers '!$E:$E,Drs_Crs!$A$173,'List of Ledgers '!$B:$B,Drs_Crs!$A203)</f>
        <v>-54000</v>
      </c>
    </row>
    <row r="204" spans="1:11" ht="13.9" x14ac:dyDescent="0.25">
      <c r="A204" s="125" t="s">
        <v>249</v>
      </c>
      <c r="B204" s="102" t="str">
        <f>VLOOKUP(A204,'List of Ledgers '!B:G,6,0)</f>
        <v>Common</v>
      </c>
      <c r="C204" s="54">
        <f>SUMIFS('List of Ledgers '!I:I,'List of Ledgers '!$E:$E,Drs_Crs!$A$173,'List of Ledgers '!$B:$B,Drs_Crs!$A204)</f>
        <v>0</v>
      </c>
      <c r="D204" s="54">
        <f>SUMIFS('List of Ledgers '!J:J,'List of Ledgers '!$E:$E,Drs_Crs!$A$173,'List of Ledgers '!$B:$B,Drs_Crs!$A204)</f>
        <v>0</v>
      </c>
      <c r="E204" s="54">
        <f>SUMIFS('List of Ledgers '!K:K,'List of Ledgers '!$E:$E,Drs_Crs!$A$173,'List of Ledgers '!$B:$B,Drs_Crs!$A204)</f>
        <v>0</v>
      </c>
      <c r="F204" s="54">
        <f>SUMIFS('List of Ledgers '!L:L,'List of Ledgers '!$E:$E,Drs_Crs!$A$173,'List of Ledgers '!$B:$B,Drs_Crs!$A204)</f>
        <v>0</v>
      </c>
      <c r="H204" s="54">
        <f>SUMIFS('List of Ledgers '!N:N,'List of Ledgers '!$E:$E,Drs_Crs!$A$173,'List of Ledgers '!$B:$B,Drs_Crs!$A204)</f>
        <v>0</v>
      </c>
      <c r="I204" s="54">
        <f>SUMIFS('List of Ledgers '!O:O,'List of Ledgers '!$E:$E,Drs_Crs!$A$173,'List of Ledgers '!$B:$B,Drs_Crs!$A204)</f>
        <v>0</v>
      </c>
      <c r="J204" s="54">
        <f>SUMIFS('List of Ledgers '!P:P,'List of Ledgers '!$E:$E,Drs_Crs!$A$173,'List of Ledgers '!$B:$B,Drs_Crs!$A204)</f>
        <v>0</v>
      </c>
      <c r="K204" s="54">
        <f>SUMIFS('List of Ledgers '!Q:Q,'List of Ledgers '!$E:$E,Drs_Crs!$A$173,'List of Ledgers '!$B:$B,Drs_Crs!$A204)</f>
        <v>0</v>
      </c>
    </row>
    <row r="205" spans="1:11" ht="13.9" x14ac:dyDescent="0.25">
      <c r="A205" s="125" t="s">
        <v>251</v>
      </c>
      <c r="B205" s="102" t="str">
        <f>VLOOKUP(A205,'List of Ledgers '!B:G,6,0)</f>
        <v>Common</v>
      </c>
      <c r="C205" s="54">
        <f>SUMIFS('List of Ledgers '!I:I,'List of Ledgers '!$E:$E,Drs_Crs!$A$173,'List of Ledgers '!$B:$B,Drs_Crs!$A205)</f>
        <v>0</v>
      </c>
      <c r="D205" s="54">
        <f>SUMIFS('List of Ledgers '!J:J,'List of Ledgers '!$E:$E,Drs_Crs!$A$173,'List of Ledgers '!$B:$B,Drs_Crs!$A205)</f>
        <v>0</v>
      </c>
      <c r="E205" s="54">
        <f>SUMIFS('List of Ledgers '!K:K,'List of Ledgers '!$E:$E,Drs_Crs!$A$173,'List of Ledgers '!$B:$B,Drs_Crs!$A205)</f>
        <v>0</v>
      </c>
      <c r="F205" s="54">
        <f>SUMIFS('List of Ledgers '!L:L,'List of Ledgers '!$E:$E,Drs_Crs!$A$173,'List of Ledgers '!$B:$B,Drs_Crs!$A205)</f>
        <v>0</v>
      </c>
      <c r="H205" s="54">
        <f>SUMIFS('List of Ledgers '!N:N,'List of Ledgers '!$E:$E,Drs_Crs!$A$173,'List of Ledgers '!$B:$B,Drs_Crs!$A205)</f>
        <v>0</v>
      </c>
      <c r="I205" s="54">
        <f>SUMIFS('List of Ledgers '!O:O,'List of Ledgers '!$E:$E,Drs_Crs!$A$173,'List of Ledgers '!$B:$B,Drs_Crs!$A205)</f>
        <v>0</v>
      </c>
      <c r="J205" s="54">
        <f>SUMIFS('List of Ledgers '!P:P,'List of Ledgers '!$E:$E,Drs_Crs!$A$173,'List of Ledgers '!$B:$B,Drs_Crs!$A205)</f>
        <v>0</v>
      </c>
      <c r="K205" s="54">
        <f>SUMIFS('List of Ledgers '!Q:Q,'List of Ledgers '!$E:$E,Drs_Crs!$A$173,'List of Ledgers '!$B:$B,Drs_Crs!$A205)</f>
        <v>0</v>
      </c>
    </row>
    <row r="206" spans="1:11" ht="13.9" x14ac:dyDescent="0.25">
      <c r="A206" s="125" t="s">
        <v>260</v>
      </c>
      <c r="B206" s="102" t="str">
        <f>VLOOKUP(A206,'List of Ledgers '!B:G,6,0)</f>
        <v>Common</v>
      </c>
      <c r="C206" s="54">
        <f>SUMIFS('List of Ledgers '!I:I,'List of Ledgers '!$E:$E,Drs_Crs!$A$173,'List of Ledgers '!$B:$B,Drs_Crs!$A206)</f>
        <v>0</v>
      </c>
      <c r="D206" s="54">
        <f>SUMIFS('List of Ledgers '!J:J,'List of Ledgers '!$E:$E,Drs_Crs!$A$173,'List of Ledgers '!$B:$B,Drs_Crs!$A206)</f>
        <v>0</v>
      </c>
      <c r="E206" s="54">
        <f>SUMIFS('List of Ledgers '!K:K,'List of Ledgers '!$E:$E,Drs_Crs!$A$173,'List of Ledgers '!$B:$B,Drs_Crs!$A206)</f>
        <v>0</v>
      </c>
      <c r="F206" s="54">
        <f>SUMIFS('List of Ledgers '!L:L,'List of Ledgers '!$E:$E,Drs_Crs!$A$173,'List of Ledgers '!$B:$B,Drs_Crs!$A206)</f>
        <v>0</v>
      </c>
      <c r="H206" s="54">
        <f>SUMIFS('List of Ledgers '!N:N,'List of Ledgers '!$E:$E,Drs_Crs!$A$173,'List of Ledgers '!$B:$B,Drs_Crs!$A206)</f>
        <v>0</v>
      </c>
      <c r="I206" s="54">
        <f>SUMIFS('List of Ledgers '!O:O,'List of Ledgers '!$E:$E,Drs_Crs!$A$173,'List of Ledgers '!$B:$B,Drs_Crs!$A206)</f>
        <v>525</v>
      </c>
      <c r="J206" s="54">
        <f>SUMIFS('List of Ledgers '!P:P,'List of Ledgers '!$E:$E,Drs_Crs!$A$173,'List of Ledgers '!$B:$B,Drs_Crs!$A206)</f>
        <v>525</v>
      </c>
      <c r="K206" s="54">
        <f>SUMIFS('List of Ledgers '!Q:Q,'List of Ledgers '!$E:$E,Drs_Crs!$A$173,'List of Ledgers '!$B:$B,Drs_Crs!$A206)</f>
        <v>0</v>
      </c>
    </row>
    <row r="207" spans="1:11" ht="13.9" x14ac:dyDescent="0.25">
      <c r="A207" s="125" t="s">
        <v>265</v>
      </c>
      <c r="B207" s="102" t="str">
        <f>VLOOKUP(A207,'List of Ledgers '!B:G,6,0)</f>
        <v>Common</v>
      </c>
      <c r="C207" s="54">
        <f>SUMIFS('List of Ledgers '!I:I,'List of Ledgers '!$E:$E,Drs_Crs!$A$173,'List of Ledgers '!$B:$B,Drs_Crs!$A207)</f>
        <v>0</v>
      </c>
      <c r="D207" s="54">
        <f>SUMIFS('List of Ledgers '!J:J,'List of Ledgers '!$E:$E,Drs_Crs!$A$173,'List of Ledgers '!$B:$B,Drs_Crs!$A207)</f>
        <v>0</v>
      </c>
      <c r="E207" s="54">
        <f>SUMIFS('List of Ledgers '!K:K,'List of Ledgers '!$E:$E,Drs_Crs!$A$173,'List of Ledgers '!$B:$B,Drs_Crs!$A207)</f>
        <v>0</v>
      </c>
      <c r="F207" s="54">
        <f>SUMIFS('List of Ledgers '!L:L,'List of Ledgers '!$E:$E,Drs_Crs!$A$173,'List of Ledgers '!$B:$B,Drs_Crs!$A207)</f>
        <v>0</v>
      </c>
      <c r="H207" s="54">
        <f>SUMIFS('List of Ledgers '!N:N,'List of Ledgers '!$E:$E,Drs_Crs!$A$173,'List of Ledgers '!$B:$B,Drs_Crs!$A207)</f>
        <v>0</v>
      </c>
      <c r="I207" s="54">
        <f>SUMIFS('List of Ledgers '!O:O,'List of Ledgers '!$E:$E,Drs_Crs!$A$173,'List of Ledgers '!$B:$B,Drs_Crs!$A207)</f>
        <v>0</v>
      </c>
      <c r="J207" s="54">
        <f>SUMIFS('List of Ledgers '!P:P,'List of Ledgers '!$E:$E,Drs_Crs!$A$173,'List of Ledgers '!$B:$B,Drs_Crs!$A207)</f>
        <v>0</v>
      </c>
      <c r="K207" s="54">
        <f>SUMIFS('List of Ledgers '!Q:Q,'List of Ledgers '!$E:$E,Drs_Crs!$A$173,'List of Ledgers '!$B:$B,Drs_Crs!$A207)</f>
        <v>0</v>
      </c>
    </row>
    <row r="208" spans="1:11" ht="13.9" x14ac:dyDescent="0.25">
      <c r="A208" s="125" t="s">
        <v>224</v>
      </c>
      <c r="B208" s="102" t="str">
        <f>VLOOKUP(A208,'List of Ledgers '!B:G,6,0)</f>
        <v>Common</v>
      </c>
      <c r="C208" s="54">
        <f>SUMIFS('List of Ledgers '!I:I,'List of Ledgers '!$E:$E,Drs_Crs!$A$173,'List of Ledgers '!$B:$B,Drs_Crs!$A208)</f>
        <v>0</v>
      </c>
      <c r="D208" s="54">
        <f>SUMIFS('List of Ledgers '!J:J,'List of Ledgers '!$E:$E,Drs_Crs!$A$173,'List of Ledgers '!$B:$B,Drs_Crs!$A208)</f>
        <v>17509</v>
      </c>
      <c r="E208" s="54">
        <f>SUMIFS('List of Ledgers '!K:K,'List of Ledgers '!$E:$E,Drs_Crs!$A$173,'List of Ledgers '!$B:$B,Drs_Crs!$A208)</f>
        <v>17509</v>
      </c>
      <c r="F208" s="54">
        <f>SUMIFS('List of Ledgers '!L:L,'List of Ledgers '!$E:$E,Drs_Crs!$A$173,'List of Ledgers '!$B:$B,Drs_Crs!$A208)</f>
        <v>0</v>
      </c>
      <c r="H208" s="54">
        <f>SUMIFS('List of Ledgers '!N:N,'List of Ledgers '!$E:$E,Drs_Crs!$A$173,'List of Ledgers '!$B:$B,Drs_Crs!$A208)</f>
        <v>-112576</v>
      </c>
      <c r="I208" s="54">
        <f>SUMIFS('List of Ledgers '!O:O,'List of Ledgers '!$E:$E,Drs_Crs!$A$173,'List of Ledgers '!$B:$B,Drs_Crs!$A208)</f>
        <v>423303</v>
      </c>
      <c r="J208" s="54">
        <f>SUMIFS('List of Ledgers '!P:P,'List of Ledgers '!$E:$E,Drs_Crs!$A$173,'List of Ledgers '!$B:$B,Drs_Crs!$A208)</f>
        <v>310727</v>
      </c>
      <c r="K208" s="54">
        <f>SUMIFS('List of Ledgers '!Q:Q,'List of Ledgers '!$E:$E,Drs_Crs!$A$173,'List of Ledgers '!$B:$B,Drs_Crs!$A208)</f>
        <v>0</v>
      </c>
    </row>
    <row r="209" spans="1:11" ht="13.9" x14ac:dyDescent="0.25">
      <c r="A209" s="125" t="s">
        <v>280</v>
      </c>
      <c r="B209" s="102" t="str">
        <f>VLOOKUP(A209,'List of Ledgers '!B:G,6,0)</f>
        <v>IT</v>
      </c>
      <c r="C209" s="54">
        <f>SUMIFS('List of Ledgers '!I:I,'List of Ledgers '!$E:$E,Drs_Crs!$A$173,'List of Ledgers '!$B:$B,Drs_Crs!$A209)</f>
        <v>-123480</v>
      </c>
      <c r="D209" s="54">
        <f>SUMIFS('List of Ledgers '!J:J,'List of Ledgers '!$E:$E,Drs_Crs!$A$173,'List of Ledgers '!$B:$B,Drs_Crs!$A209)</f>
        <v>123480</v>
      </c>
      <c r="E209" s="54">
        <f>SUMIFS('List of Ledgers '!K:K,'List of Ledgers '!$E:$E,Drs_Crs!$A$173,'List of Ledgers '!$B:$B,Drs_Crs!$A209)</f>
        <v>0</v>
      </c>
      <c r="F209" s="54">
        <f>SUMIFS('List of Ledgers '!L:L,'List of Ledgers '!$E:$E,Drs_Crs!$A$173,'List of Ledgers '!$B:$B,Drs_Crs!$A209)</f>
        <v>0</v>
      </c>
      <c r="H209" s="54">
        <f>SUMIFS('List of Ledgers '!N:N,'List of Ledgers '!$E:$E,Drs_Crs!$A$173,'List of Ledgers '!$B:$B,Drs_Crs!$A209)</f>
        <v>0</v>
      </c>
      <c r="I209" s="54">
        <f>SUMIFS('List of Ledgers '!O:O,'List of Ledgers '!$E:$E,Drs_Crs!$A$173,'List of Ledgers '!$B:$B,Drs_Crs!$A209)</f>
        <v>492002</v>
      </c>
      <c r="J209" s="54">
        <f>SUMIFS('List of Ledgers '!P:P,'List of Ledgers '!$E:$E,Drs_Crs!$A$173,'List of Ledgers '!$B:$B,Drs_Crs!$A209)</f>
        <v>492002</v>
      </c>
      <c r="K209" s="54">
        <f>SUMIFS('List of Ledgers '!Q:Q,'List of Ledgers '!$E:$E,Drs_Crs!$A$173,'List of Ledgers '!$B:$B,Drs_Crs!$A209)</f>
        <v>0</v>
      </c>
    </row>
    <row r="210" spans="1:11" ht="13.9" x14ac:dyDescent="0.25">
      <c r="A210" s="125" t="s">
        <v>287</v>
      </c>
      <c r="B210" s="102" t="str">
        <f>VLOOKUP(A210,'List of Ledgers '!B:G,6,0)</f>
        <v>IT</v>
      </c>
      <c r="C210" s="54">
        <f>SUMIFS('List of Ledgers '!I:I,'List of Ledgers '!$E:$E,Drs_Crs!$A$173,'List of Ledgers '!$B:$B,Drs_Crs!$A210)</f>
        <v>0</v>
      </c>
      <c r="D210" s="54">
        <f>SUMIFS('List of Ledgers '!J:J,'List of Ledgers '!$E:$E,Drs_Crs!$A$173,'List of Ledgers '!$B:$B,Drs_Crs!$A210)</f>
        <v>0</v>
      </c>
      <c r="E210" s="54">
        <f>SUMIFS('List of Ledgers '!K:K,'List of Ledgers '!$E:$E,Drs_Crs!$A$173,'List of Ledgers '!$B:$B,Drs_Crs!$A210)</f>
        <v>0</v>
      </c>
      <c r="F210" s="54">
        <f>SUMIFS('List of Ledgers '!L:L,'List of Ledgers '!$E:$E,Drs_Crs!$A$173,'List of Ledgers '!$B:$B,Drs_Crs!$A210)</f>
        <v>0</v>
      </c>
      <c r="H210" s="54">
        <f>SUMIFS('List of Ledgers '!N:N,'List of Ledgers '!$E:$E,Drs_Crs!$A$173,'List of Ledgers '!$B:$B,Drs_Crs!$A210)</f>
        <v>0</v>
      </c>
      <c r="I210" s="54">
        <f>SUMIFS('List of Ledgers '!O:O,'List of Ledgers '!$E:$E,Drs_Crs!$A$173,'List of Ledgers '!$B:$B,Drs_Crs!$A210)</f>
        <v>0</v>
      </c>
      <c r="J210" s="54">
        <f>SUMIFS('List of Ledgers '!P:P,'List of Ledgers '!$E:$E,Drs_Crs!$A$173,'List of Ledgers '!$B:$B,Drs_Crs!$A210)</f>
        <v>0</v>
      </c>
      <c r="K210" s="54">
        <f>SUMIFS('List of Ledgers '!Q:Q,'List of Ledgers '!$E:$E,Drs_Crs!$A$173,'List of Ledgers '!$B:$B,Drs_Crs!$A210)</f>
        <v>0</v>
      </c>
    </row>
    <row r="211" spans="1:11" ht="13.9" x14ac:dyDescent="0.25">
      <c r="A211" s="125" t="s">
        <v>288</v>
      </c>
      <c r="B211" s="102" t="str">
        <f>VLOOKUP(A211,'List of Ledgers '!B:G,6,0)</f>
        <v>Common</v>
      </c>
      <c r="C211" s="54">
        <f>SUMIFS('List of Ledgers '!I:I,'List of Ledgers '!$E:$E,Drs_Crs!$A$173,'List of Ledgers '!$B:$B,Drs_Crs!$A211)</f>
        <v>0</v>
      </c>
      <c r="D211" s="54">
        <f>SUMIFS('List of Ledgers '!J:J,'List of Ledgers '!$E:$E,Drs_Crs!$A$173,'List of Ledgers '!$B:$B,Drs_Crs!$A211)</f>
        <v>0</v>
      </c>
      <c r="E211" s="54">
        <f>SUMIFS('List of Ledgers '!K:K,'List of Ledgers '!$E:$E,Drs_Crs!$A$173,'List of Ledgers '!$B:$B,Drs_Crs!$A211)</f>
        <v>0</v>
      </c>
      <c r="F211" s="54">
        <f>SUMIFS('List of Ledgers '!L:L,'List of Ledgers '!$E:$E,Drs_Crs!$A$173,'List of Ledgers '!$B:$B,Drs_Crs!$A211)</f>
        <v>0</v>
      </c>
      <c r="H211" s="54">
        <f>SUMIFS('List of Ledgers '!N:N,'List of Ledgers '!$E:$E,Drs_Crs!$A$173,'List of Ledgers '!$B:$B,Drs_Crs!$A211)</f>
        <v>0</v>
      </c>
      <c r="I211" s="54">
        <f>SUMIFS('List of Ledgers '!O:O,'List of Ledgers '!$E:$E,Drs_Crs!$A$173,'List of Ledgers '!$B:$B,Drs_Crs!$A211)</f>
        <v>796</v>
      </c>
      <c r="J211" s="54">
        <f>SUMIFS('List of Ledgers '!P:P,'List of Ledgers '!$E:$E,Drs_Crs!$A$173,'List of Ledgers '!$B:$B,Drs_Crs!$A211)</f>
        <v>796</v>
      </c>
      <c r="K211" s="54">
        <f>SUMIFS('List of Ledgers '!Q:Q,'List of Ledgers '!$E:$E,Drs_Crs!$A$173,'List of Ledgers '!$B:$B,Drs_Crs!$A211)</f>
        <v>0</v>
      </c>
    </row>
    <row r="212" spans="1:11" ht="13.9" x14ac:dyDescent="0.25">
      <c r="A212" s="125" t="s">
        <v>300</v>
      </c>
      <c r="B212" s="102" t="str">
        <f>VLOOKUP(A212,'List of Ledgers '!B:G,6,0)</f>
        <v>Common</v>
      </c>
      <c r="C212" s="54">
        <f>SUMIFS('List of Ledgers '!I:I,'List of Ledgers '!$E:$E,Drs_Crs!$A$173,'List of Ledgers '!$B:$B,Drs_Crs!$A212)</f>
        <v>0</v>
      </c>
      <c r="D212" s="54">
        <f>SUMIFS('List of Ledgers '!J:J,'List of Ledgers '!$E:$E,Drs_Crs!$A$173,'List of Ledgers '!$B:$B,Drs_Crs!$A212)</f>
        <v>0</v>
      </c>
      <c r="E212" s="54">
        <f>SUMIFS('List of Ledgers '!K:K,'List of Ledgers '!$E:$E,Drs_Crs!$A$173,'List of Ledgers '!$B:$B,Drs_Crs!$A212)</f>
        <v>0</v>
      </c>
      <c r="F212" s="54">
        <f>SUMIFS('List of Ledgers '!L:L,'List of Ledgers '!$E:$E,Drs_Crs!$A$173,'List of Ledgers '!$B:$B,Drs_Crs!$A212)</f>
        <v>0</v>
      </c>
      <c r="H212" s="54">
        <f>SUMIFS('List of Ledgers '!N:N,'List of Ledgers '!$E:$E,Drs_Crs!$A$173,'List of Ledgers '!$B:$B,Drs_Crs!$A212)</f>
        <v>0</v>
      </c>
      <c r="I212" s="54">
        <f>SUMIFS('List of Ledgers '!O:O,'List of Ledgers '!$E:$E,Drs_Crs!$A$173,'List of Ledgers '!$B:$B,Drs_Crs!$A212)</f>
        <v>0</v>
      </c>
      <c r="J212" s="54">
        <f>SUMIFS('List of Ledgers '!P:P,'List of Ledgers '!$E:$E,Drs_Crs!$A$173,'List of Ledgers '!$B:$B,Drs_Crs!$A212)</f>
        <v>0</v>
      </c>
      <c r="K212" s="54">
        <f>SUMIFS('List of Ledgers '!Q:Q,'List of Ledgers '!$E:$E,Drs_Crs!$A$173,'List of Ledgers '!$B:$B,Drs_Crs!$A212)</f>
        <v>0</v>
      </c>
    </row>
    <row r="213" spans="1:11" ht="13.9" x14ac:dyDescent="0.25">
      <c r="A213" s="125" t="s">
        <v>304</v>
      </c>
      <c r="B213" s="102" t="str">
        <f>VLOOKUP(A213,'List of Ledgers '!B:G,6,0)</f>
        <v>Bluestreak</v>
      </c>
      <c r="C213" s="54">
        <f>SUMIFS('List of Ledgers '!I:I,'List of Ledgers '!$E:$E,Drs_Crs!$A$173,'List of Ledgers '!$B:$B,Drs_Crs!$A213)</f>
        <v>0</v>
      </c>
      <c r="D213" s="54">
        <f>SUMIFS('List of Ledgers '!J:J,'List of Ledgers '!$E:$E,Drs_Crs!$A$173,'List of Ledgers '!$B:$B,Drs_Crs!$A213)</f>
        <v>0</v>
      </c>
      <c r="E213" s="54">
        <f>SUMIFS('List of Ledgers '!K:K,'List of Ledgers '!$E:$E,Drs_Crs!$A$173,'List of Ledgers '!$B:$B,Drs_Crs!$A213)</f>
        <v>0</v>
      </c>
      <c r="F213" s="54">
        <f>SUMIFS('List of Ledgers '!L:L,'List of Ledgers '!$E:$E,Drs_Crs!$A$173,'List of Ledgers '!$B:$B,Drs_Crs!$A213)</f>
        <v>0</v>
      </c>
      <c r="H213" s="54">
        <f>SUMIFS('List of Ledgers '!N:N,'List of Ledgers '!$E:$E,Drs_Crs!$A$173,'List of Ledgers '!$B:$B,Drs_Crs!$A213)</f>
        <v>0</v>
      </c>
      <c r="I213" s="54">
        <f>SUMIFS('List of Ledgers '!O:O,'List of Ledgers '!$E:$E,Drs_Crs!$A$173,'List of Ledgers '!$B:$B,Drs_Crs!$A213)</f>
        <v>0</v>
      </c>
      <c r="J213" s="54">
        <f>SUMIFS('List of Ledgers '!P:P,'List of Ledgers '!$E:$E,Drs_Crs!$A$173,'List of Ledgers '!$B:$B,Drs_Crs!$A213)</f>
        <v>0</v>
      </c>
      <c r="K213" s="54">
        <f>SUMIFS('List of Ledgers '!Q:Q,'List of Ledgers '!$E:$E,Drs_Crs!$A$173,'List of Ledgers '!$B:$B,Drs_Crs!$A213)</f>
        <v>0</v>
      </c>
    </row>
    <row r="214" spans="1:11" ht="13.9" x14ac:dyDescent="0.25">
      <c r="A214" s="125" t="s">
        <v>305</v>
      </c>
      <c r="B214" s="102" t="str">
        <f>VLOOKUP(A214,'List of Ledgers '!B:G,6,0)</f>
        <v>Common</v>
      </c>
      <c r="C214" s="54">
        <f>SUMIFS('List of Ledgers '!I:I,'List of Ledgers '!$E:$E,Drs_Crs!$A$173,'List of Ledgers '!$B:$B,Drs_Crs!$A214)</f>
        <v>0</v>
      </c>
      <c r="D214" s="54">
        <f>SUMIFS('List of Ledgers '!J:J,'List of Ledgers '!$E:$E,Drs_Crs!$A$173,'List of Ledgers '!$B:$B,Drs_Crs!$A214)</f>
        <v>0</v>
      </c>
      <c r="E214" s="54">
        <f>SUMIFS('List of Ledgers '!K:K,'List of Ledgers '!$E:$E,Drs_Crs!$A$173,'List of Ledgers '!$B:$B,Drs_Crs!$A214)</f>
        <v>0</v>
      </c>
      <c r="F214" s="54">
        <f>SUMIFS('List of Ledgers '!L:L,'List of Ledgers '!$E:$E,Drs_Crs!$A$173,'List of Ledgers '!$B:$B,Drs_Crs!$A214)</f>
        <v>0</v>
      </c>
      <c r="H214" s="54">
        <f>SUMIFS('List of Ledgers '!N:N,'List of Ledgers '!$E:$E,Drs_Crs!$A$173,'List of Ledgers '!$B:$B,Drs_Crs!$A214)</f>
        <v>0</v>
      </c>
      <c r="I214" s="54">
        <f>SUMIFS('List of Ledgers '!O:O,'List of Ledgers '!$E:$E,Drs_Crs!$A$173,'List of Ledgers '!$B:$B,Drs_Crs!$A214)</f>
        <v>0</v>
      </c>
      <c r="J214" s="54">
        <f>SUMIFS('List of Ledgers '!P:P,'List of Ledgers '!$E:$E,Drs_Crs!$A$173,'List of Ledgers '!$B:$B,Drs_Crs!$A214)</f>
        <v>0</v>
      </c>
      <c r="K214" s="54">
        <f>SUMIFS('List of Ledgers '!Q:Q,'List of Ledgers '!$E:$E,Drs_Crs!$A$173,'List of Ledgers '!$B:$B,Drs_Crs!$A214)</f>
        <v>0</v>
      </c>
    </row>
    <row r="215" spans="1:11" ht="13.9" x14ac:dyDescent="0.25">
      <c r="A215" s="125" t="s">
        <v>306</v>
      </c>
      <c r="B215" s="102" t="str">
        <f>VLOOKUP(A215,'List of Ledgers '!B:G,6,0)</f>
        <v>Common</v>
      </c>
      <c r="C215" s="54">
        <f>SUMIFS('List of Ledgers '!I:I,'List of Ledgers '!$E:$E,Drs_Crs!$A$173,'List of Ledgers '!$B:$B,Drs_Crs!$A215)</f>
        <v>0</v>
      </c>
      <c r="D215" s="54">
        <f>SUMIFS('List of Ledgers '!J:J,'List of Ledgers '!$E:$E,Drs_Crs!$A$173,'List of Ledgers '!$B:$B,Drs_Crs!$A215)</f>
        <v>0</v>
      </c>
      <c r="E215" s="54">
        <f>SUMIFS('List of Ledgers '!K:K,'List of Ledgers '!$E:$E,Drs_Crs!$A$173,'List of Ledgers '!$B:$B,Drs_Crs!$A215)</f>
        <v>0</v>
      </c>
      <c r="F215" s="54">
        <f>SUMIFS('List of Ledgers '!L:L,'List of Ledgers '!$E:$E,Drs_Crs!$A$173,'List of Ledgers '!$B:$B,Drs_Crs!$A215)</f>
        <v>0</v>
      </c>
      <c r="H215" s="54">
        <f>SUMIFS('List of Ledgers '!N:N,'List of Ledgers '!$E:$E,Drs_Crs!$A$173,'List of Ledgers '!$B:$B,Drs_Crs!$A215)</f>
        <v>0</v>
      </c>
      <c r="I215" s="54">
        <f>SUMIFS('List of Ledgers '!O:O,'List of Ledgers '!$E:$E,Drs_Crs!$A$173,'List of Ledgers '!$B:$B,Drs_Crs!$A215)</f>
        <v>0</v>
      </c>
      <c r="J215" s="54">
        <f>SUMIFS('List of Ledgers '!P:P,'List of Ledgers '!$E:$E,Drs_Crs!$A$173,'List of Ledgers '!$B:$B,Drs_Crs!$A215)</f>
        <v>0</v>
      </c>
      <c r="K215" s="54">
        <f>SUMIFS('List of Ledgers '!Q:Q,'List of Ledgers '!$E:$E,Drs_Crs!$A$173,'List of Ledgers '!$B:$B,Drs_Crs!$A215)</f>
        <v>0</v>
      </c>
    </row>
    <row r="216" spans="1:11" s="193" customFormat="1" ht="13.9" x14ac:dyDescent="0.25">
      <c r="A216" s="226" t="s">
        <v>248</v>
      </c>
      <c r="B216" s="227" t="str">
        <f>VLOOKUP(A216,'List of Ledgers '!B:G,6,0)</f>
        <v>Common</v>
      </c>
      <c r="C216" s="228">
        <f>SUMIFS('List of Ledgers '!I:I,'List of Ledgers '!$E:$E,Drs_Crs!$A$173,'List of Ledgers '!$B:$B,Drs_Crs!$A216)</f>
        <v>0</v>
      </c>
      <c r="D216" s="228">
        <f>SUMIFS('List of Ledgers '!J:J,'List of Ledgers '!$E:$E,Drs_Crs!$A$173,'List of Ledgers '!$B:$B,Drs_Crs!$A216)</f>
        <v>1295.6400000000001</v>
      </c>
      <c r="E216" s="228">
        <f>SUMIFS('List of Ledgers '!K:K,'List of Ledgers '!$E:$E,Drs_Crs!$A$173,'List of Ledgers '!$B:$B,Drs_Crs!$A216)</f>
        <v>0</v>
      </c>
      <c r="F216" s="228">
        <f>SUMIFS('List of Ledgers '!L:L,'List of Ledgers '!$E:$E,Drs_Crs!$A$173,'List of Ledgers '!$B:$B,Drs_Crs!$A216)</f>
        <v>1295.6400000000001</v>
      </c>
      <c r="G216" s="197"/>
      <c r="H216" s="228">
        <f>SUMIFS('List of Ledgers '!N:N,'List of Ledgers '!$E:$E,Drs_Crs!$A$173,'List of Ledgers '!$B:$B,Drs_Crs!$A216)</f>
        <v>-1606.45</v>
      </c>
      <c r="I216" s="228">
        <f>SUMIFS('List of Ledgers '!O:O,'List of Ledgers '!$E:$E,Drs_Crs!$A$173,'List of Ledgers '!$B:$B,Drs_Crs!$A216)</f>
        <v>12948.34</v>
      </c>
      <c r="J216" s="228">
        <f>SUMIFS('List of Ledgers '!P:P,'List of Ledgers '!$E:$E,Drs_Crs!$A$173,'List of Ledgers '!$B:$B,Drs_Crs!$A216)</f>
        <v>10046.25</v>
      </c>
      <c r="K216" s="228">
        <f>SUMIFS('List of Ledgers '!Q:Q,'List of Ledgers '!$E:$E,Drs_Crs!$A$173,'List of Ledgers '!$B:$B,Drs_Crs!$A216)</f>
        <v>1295.6400000000001</v>
      </c>
    </row>
    <row r="217" spans="1:11" ht="13.9" x14ac:dyDescent="0.25">
      <c r="A217" s="125" t="s">
        <v>308</v>
      </c>
      <c r="B217" s="102" t="str">
        <f>VLOOKUP(A217,'List of Ledgers '!B:G,6,0)</f>
        <v>Common</v>
      </c>
      <c r="C217" s="54">
        <f>SUMIFS('List of Ledgers '!I:I,'List of Ledgers '!$E:$E,Drs_Crs!$A$173,'List of Ledgers '!$B:$B,Drs_Crs!$A217)</f>
        <v>0</v>
      </c>
      <c r="D217" s="54">
        <f>SUMIFS('List of Ledgers '!J:J,'List of Ledgers '!$E:$E,Drs_Crs!$A$173,'List of Ledgers '!$B:$B,Drs_Crs!$A217)</f>
        <v>0</v>
      </c>
      <c r="E217" s="54">
        <f>SUMIFS('List of Ledgers '!K:K,'List of Ledgers '!$E:$E,Drs_Crs!$A$173,'List of Ledgers '!$B:$B,Drs_Crs!$A217)</f>
        <v>0</v>
      </c>
      <c r="F217" s="54">
        <f>SUMIFS('List of Ledgers '!L:L,'List of Ledgers '!$E:$E,Drs_Crs!$A$173,'List of Ledgers '!$B:$B,Drs_Crs!$A217)</f>
        <v>0</v>
      </c>
      <c r="H217" s="54">
        <f>SUMIFS('List of Ledgers '!N:N,'List of Ledgers '!$E:$E,Drs_Crs!$A$173,'List of Ledgers '!$B:$B,Drs_Crs!$A217)</f>
        <v>0</v>
      </c>
      <c r="I217" s="54">
        <f>SUMIFS('List of Ledgers '!O:O,'List of Ledgers '!$E:$E,Drs_Crs!$A$173,'List of Ledgers '!$B:$B,Drs_Crs!$A217)</f>
        <v>0</v>
      </c>
      <c r="J217" s="54">
        <f>SUMIFS('List of Ledgers '!P:P,'List of Ledgers '!$E:$E,Drs_Crs!$A$173,'List of Ledgers '!$B:$B,Drs_Crs!$A217)</f>
        <v>0</v>
      </c>
      <c r="K217" s="54">
        <f>SUMIFS('List of Ledgers '!Q:Q,'List of Ledgers '!$E:$E,Drs_Crs!$A$173,'List of Ledgers '!$B:$B,Drs_Crs!$A217)</f>
        <v>0</v>
      </c>
    </row>
    <row r="218" spans="1:11" ht="13.9" x14ac:dyDescent="0.25">
      <c r="A218" s="125" t="s">
        <v>317</v>
      </c>
      <c r="B218" s="102" t="str">
        <f>VLOOKUP(A218,'List of Ledgers '!B:G,6,0)</f>
        <v>Common</v>
      </c>
      <c r="C218" s="54">
        <f>SUMIFS('List of Ledgers '!I:I,'List of Ledgers '!$E:$E,Drs_Crs!$A$173,'List of Ledgers '!$B:$B,Drs_Crs!$A218)</f>
        <v>0</v>
      </c>
      <c r="D218" s="54">
        <f>SUMIFS('List of Ledgers '!J:J,'List of Ledgers '!$E:$E,Drs_Crs!$A$173,'List of Ledgers '!$B:$B,Drs_Crs!$A218)</f>
        <v>0</v>
      </c>
      <c r="E218" s="54">
        <f>SUMIFS('List of Ledgers '!K:K,'List of Ledgers '!$E:$E,Drs_Crs!$A$173,'List of Ledgers '!$B:$B,Drs_Crs!$A218)</f>
        <v>0</v>
      </c>
      <c r="F218" s="54">
        <f>SUMIFS('List of Ledgers '!L:L,'List of Ledgers '!$E:$E,Drs_Crs!$A$173,'List of Ledgers '!$B:$B,Drs_Crs!$A218)</f>
        <v>0</v>
      </c>
      <c r="H218" s="54">
        <f>SUMIFS('List of Ledgers '!N:N,'List of Ledgers '!$E:$E,Drs_Crs!$A$173,'List of Ledgers '!$B:$B,Drs_Crs!$A218)</f>
        <v>0</v>
      </c>
      <c r="I218" s="54">
        <f>SUMIFS('List of Ledgers '!O:O,'List of Ledgers '!$E:$E,Drs_Crs!$A$173,'List of Ledgers '!$B:$B,Drs_Crs!$A218)</f>
        <v>0</v>
      </c>
      <c r="J218" s="54">
        <f>SUMIFS('List of Ledgers '!P:P,'List of Ledgers '!$E:$E,Drs_Crs!$A$173,'List of Ledgers '!$B:$B,Drs_Crs!$A218)</f>
        <v>0</v>
      </c>
      <c r="K218" s="54">
        <f>SUMIFS('List of Ledgers '!Q:Q,'List of Ledgers '!$E:$E,Drs_Crs!$A$173,'List of Ledgers '!$B:$B,Drs_Crs!$A218)</f>
        <v>0</v>
      </c>
    </row>
    <row r="219" spans="1:11" ht="13.9" x14ac:dyDescent="0.25">
      <c r="A219" s="125" t="s">
        <v>319</v>
      </c>
      <c r="B219" s="102" t="str">
        <f>VLOOKUP(A219,'List of Ledgers '!B:G,6,0)</f>
        <v>Common</v>
      </c>
      <c r="C219" s="54">
        <f>SUMIFS('List of Ledgers '!I:I,'List of Ledgers '!$E:$E,Drs_Crs!$A$173,'List of Ledgers '!$B:$B,Drs_Crs!$A219)</f>
        <v>0</v>
      </c>
      <c r="D219" s="54">
        <f>SUMIFS('List of Ledgers '!J:J,'List of Ledgers '!$E:$E,Drs_Crs!$A$173,'List of Ledgers '!$B:$B,Drs_Crs!$A219)</f>
        <v>0</v>
      </c>
      <c r="E219" s="54">
        <f>SUMIFS('List of Ledgers '!K:K,'List of Ledgers '!$E:$E,Drs_Crs!$A$173,'List of Ledgers '!$B:$B,Drs_Crs!$A219)</f>
        <v>0</v>
      </c>
      <c r="F219" s="54">
        <f>SUMIFS('List of Ledgers '!L:L,'List of Ledgers '!$E:$E,Drs_Crs!$A$173,'List of Ledgers '!$B:$B,Drs_Crs!$A219)</f>
        <v>0</v>
      </c>
      <c r="H219" s="54">
        <f>SUMIFS('List of Ledgers '!N:N,'List of Ledgers '!$E:$E,Drs_Crs!$A$173,'List of Ledgers '!$B:$B,Drs_Crs!$A219)</f>
        <v>0</v>
      </c>
      <c r="I219" s="54">
        <f>SUMIFS('List of Ledgers '!O:O,'List of Ledgers '!$E:$E,Drs_Crs!$A$173,'List of Ledgers '!$B:$B,Drs_Crs!$A219)</f>
        <v>7038.02</v>
      </c>
      <c r="J219" s="54">
        <f>SUMIFS('List of Ledgers '!P:P,'List of Ledgers '!$E:$E,Drs_Crs!$A$173,'List of Ledgers '!$B:$B,Drs_Crs!$A219)</f>
        <v>7038.02</v>
      </c>
      <c r="K219" s="54">
        <f>SUMIFS('List of Ledgers '!Q:Q,'List of Ledgers '!$E:$E,Drs_Crs!$A$173,'List of Ledgers '!$B:$B,Drs_Crs!$A219)</f>
        <v>0</v>
      </c>
    </row>
    <row r="220" spans="1:11" ht="13.9" x14ac:dyDescent="0.25">
      <c r="A220" s="125" t="s">
        <v>339</v>
      </c>
      <c r="B220" s="102" t="str">
        <f>VLOOKUP(A220,'List of Ledgers '!B:G,6,0)</f>
        <v>IT</v>
      </c>
      <c r="C220" s="54">
        <f>SUMIFS('List of Ledgers '!I:I,'List of Ledgers '!$E:$E,Drs_Crs!$A$173,'List of Ledgers '!$B:$B,Drs_Crs!$A220)</f>
        <v>0</v>
      </c>
      <c r="D220" s="54">
        <f>SUMIFS('List of Ledgers '!J:J,'List of Ledgers '!$E:$E,Drs_Crs!$A$173,'List of Ledgers '!$B:$B,Drs_Crs!$A220)</f>
        <v>0</v>
      </c>
      <c r="E220" s="54">
        <f>SUMIFS('List of Ledgers '!K:K,'List of Ledgers '!$E:$E,Drs_Crs!$A$173,'List of Ledgers '!$B:$B,Drs_Crs!$A220)</f>
        <v>0</v>
      </c>
      <c r="F220" s="54">
        <f>SUMIFS('List of Ledgers '!L:L,'List of Ledgers '!$E:$E,Drs_Crs!$A$173,'List of Ledgers '!$B:$B,Drs_Crs!$A220)</f>
        <v>0</v>
      </c>
      <c r="H220" s="54">
        <f>SUMIFS('List of Ledgers '!N:N,'List of Ledgers '!$E:$E,Drs_Crs!$A$173,'List of Ledgers '!$B:$B,Drs_Crs!$A220)</f>
        <v>0</v>
      </c>
      <c r="I220" s="54">
        <f>SUMIFS('List of Ledgers '!O:O,'List of Ledgers '!$E:$E,Drs_Crs!$A$173,'List of Ledgers '!$B:$B,Drs_Crs!$A220)</f>
        <v>0</v>
      </c>
      <c r="J220" s="54">
        <f>SUMIFS('List of Ledgers '!P:P,'List of Ledgers '!$E:$E,Drs_Crs!$A$173,'List of Ledgers '!$B:$B,Drs_Crs!$A220)</f>
        <v>0</v>
      </c>
      <c r="K220" s="54">
        <f>SUMIFS('List of Ledgers '!Q:Q,'List of Ledgers '!$E:$E,Drs_Crs!$A$173,'List of Ledgers '!$B:$B,Drs_Crs!$A220)</f>
        <v>0</v>
      </c>
    </row>
    <row r="221" spans="1:11" ht="13.9" x14ac:dyDescent="0.25">
      <c r="A221" s="125" t="s">
        <v>340</v>
      </c>
      <c r="B221" s="102" t="str">
        <f>VLOOKUP(A221,'List of Ledgers '!B:G,6,0)</f>
        <v>Common</v>
      </c>
      <c r="C221" s="54">
        <f>SUMIFS('List of Ledgers '!I:I,'List of Ledgers '!$E:$E,Drs_Crs!$A$173,'List of Ledgers '!$B:$B,Drs_Crs!$A221)</f>
        <v>0</v>
      </c>
      <c r="D221" s="54">
        <f>SUMIFS('List of Ledgers '!J:J,'List of Ledgers '!$E:$E,Drs_Crs!$A$173,'List of Ledgers '!$B:$B,Drs_Crs!$A221)</f>
        <v>0</v>
      </c>
      <c r="E221" s="54">
        <f>SUMIFS('List of Ledgers '!K:K,'List of Ledgers '!$E:$E,Drs_Crs!$A$173,'List of Ledgers '!$B:$B,Drs_Crs!$A221)</f>
        <v>0</v>
      </c>
      <c r="F221" s="54">
        <f>SUMIFS('List of Ledgers '!L:L,'List of Ledgers '!$E:$E,Drs_Crs!$A$173,'List of Ledgers '!$B:$B,Drs_Crs!$A221)</f>
        <v>0</v>
      </c>
      <c r="H221" s="54">
        <f>SUMIFS('List of Ledgers '!N:N,'List of Ledgers '!$E:$E,Drs_Crs!$A$173,'List of Ledgers '!$B:$B,Drs_Crs!$A221)</f>
        <v>0</v>
      </c>
      <c r="I221" s="54">
        <f>SUMIFS('List of Ledgers '!O:O,'List of Ledgers '!$E:$E,Drs_Crs!$A$173,'List of Ledgers '!$B:$B,Drs_Crs!$A221)</f>
        <v>0</v>
      </c>
      <c r="J221" s="54">
        <f>SUMIFS('List of Ledgers '!P:P,'List of Ledgers '!$E:$E,Drs_Crs!$A$173,'List of Ledgers '!$B:$B,Drs_Crs!$A221)</f>
        <v>0</v>
      </c>
      <c r="K221" s="54">
        <f>SUMIFS('List of Ledgers '!Q:Q,'List of Ledgers '!$E:$E,Drs_Crs!$A$173,'List of Ledgers '!$B:$B,Drs_Crs!$A221)</f>
        <v>0</v>
      </c>
    </row>
    <row r="222" spans="1:11" ht="13.9" x14ac:dyDescent="0.25">
      <c r="A222" s="125" t="s">
        <v>355</v>
      </c>
      <c r="B222" s="102" t="str">
        <f>VLOOKUP(A222,'List of Ledgers '!B:G,6,0)</f>
        <v>Common</v>
      </c>
      <c r="C222" s="54">
        <f>SUMIFS('List of Ledgers '!I:I,'List of Ledgers '!$E:$E,Drs_Crs!$A$173,'List of Ledgers '!$B:$B,Drs_Crs!$A222)</f>
        <v>0</v>
      </c>
      <c r="D222" s="54">
        <f>SUMIFS('List of Ledgers '!J:J,'List of Ledgers '!$E:$E,Drs_Crs!$A$173,'List of Ledgers '!$B:$B,Drs_Crs!$A222)</f>
        <v>0</v>
      </c>
      <c r="E222" s="54">
        <f>SUMIFS('List of Ledgers '!K:K,'List of Ledgers '!$E:$E,Drs_Crs!$A$173,'List of Ledgers '!$B:$B,Drs_Crs!$A222)</f>
        <v>0</v>
      </c>
      <c r="F222" s="54">
        <f>SUMIFS('List of Ledgers '!L:L,'List of Ledgers '!$E:$E,Drs_Crs!$A$173,'List of Ledgers '!$B:$B,Drs_Crs!$A222)</f>
        <v>0</v>
      </c>
      <c r="H222" s="54">
        <f>SUMIFS('List of Ledgers '!N:N,'List of Ledgers '!$E:$E,Drs_Crs!$A$173,'List of Ledgers '!$B:$B,Drs_Crs!$A222)</f>
        <v>0</v>
      </c>
      <c r="I222" s="54">
        <f>SUMIFS('List of Ledgers '!O:O,'List of Ledgers '!$E:$E,Drs_Crs!$A$173,'List of Ledgers '!$B:$B,Drs_Crs!$A222)</f>
        <v>0</v>
      </c>
      <c r="J222" s="54">
        <f>SUMIFS('List of Ledgers '!P:P,'List of Ledgers '!$E:$E,Drs_Crs!$A$173,'List of Ledgers '!$B:$B,Drs_Crs!$A222)</f>
        <v>0</v>
      </c>
      <c r="K222" s="54">
        <f>SUMIFS('List of Ledgers '!Q:Q,'List of Ledgers '!$E:$E,Drs_Crs!$A$173,'List of Ledgers '!$B:$B,Drs_Crs!$A222)</f>
        <v>0</v>
      </c>
    </row>
    <row r="223" spans="1:11" ht="13.9" x14ac:dyDescent="0.25">
      <c r="A223" s="125" t="s">
        <v>332</v>
      </c>
      <c r="B223" s="102" t="str">
        <f>VLOOKUP(A223,'List of Ledgers '!B:G,6,0)</f>
        <v>IT</v>
      </c>
      <c r="C223" s="54">
        <f>SUMIFS('List of Ledgers '!I:I,'List of Ledgers '!$E:$E,Drs_Crs!$A$173,'List of Ledgers '!$B:$B,Drs_Crs!$A223)</f>
        <v>0</v>
      </c>
      <c r="D223" s="54">
        <f>SUMIFS('List of Ledgers '!J:J,'List of Ledgers '!$E:$E,Drs_Crs!$A$173,'List of Ledgers '!$B:$B,Drs_Crs!$A223)</f>
        <v>0</v>
      </c>
      <c r="E223" s="54">
        <f>SUMIFS('List of Ledgers '!K:K,'List of Ledgers '!$E:$E,Drs_Crs!$A$173,'List of Ledgers '!$B:$B,Drs_Crs!$A223)</f>
        <v>0</v>
      </c>
      <c r="F223" s="54">
        <f>SUMIFS('List of Ledgers '!L:L,'List of Ledgers '!$E:$E,Drs_Crs!$A$173,'List of Ledgers '!$B:$B,Drs_Crs!$A223)</f>
        <v>0</v>
      </c>
      <c r="H223" s="54">
        <f>SUMIFS('List of Ledgers '!N:N,'List of Ledgers '!$E:$E,Drs_Crs!$A$173,'List of Ledgers '!$B:$B,Drs_Crs!$A223)</f>
        <v>0</v>
      </c>
      <c r="I223" s="54">
        <f>SUMIFS('List of Ledgers '!O:O,'List of Ledgers '!$E:$E,Drs_Crs!$A$173,'List of Ledgers '!$B:$B,Drs_Crs!$A223)</f>
        <v>0</v>
      </c>
      <c r="J223" s="54">
        <f>SUMIFS('List of Ledgers '!P:P,'List of Ledgers '!$E:$E,Drs_Crs!$A$173,'List of Ledgers '!$B:$B,Drs_Crs!$A223)</f>
        <v>0</v>
      </c>
      <c r="K223" s="54">
        <f>SUMIFS('List of Ledgers '!Q:Q,'List of Ledgers '!$E:$E,Drs_Crs!$A$173,'List of Ledgers '!$B:$B,Drs_Crs!$A223)</f>
        <v>0</v>
      </c>
    </row>
    <row r="224" spans="1:11" ht="13.9" x14ac:dyDescent="0.25">
      <c r="A224" s="125" t="s">
        <v>307</v>
      </c>
      <c r="B224" s="102" t="str">
        <f>VLOOKUP(A224,'List of Ledgers '!B:G,6,0)</f>
        <v>Common</v>
      </c>
      <c r="C224" s="54">
        <f>SUMIFS('List of Ledgers '!I:I,'List of Ledgers '!$E:$E,Drs_Crs!$A$173,'List of Ledgers '!$B:$B,Drs_Crs!$A224)</f>
        <v>0</v>
      </c>
      <c r="D224" s="54">
        <f>SUMIFS('List of Ledgers '!J:J,'List of Ledgers '!$E:$E,Drs_Crs!$A$173,'List of Ledgers '!$B:$B,Drs_Crs!$A224)</f>
        <v>0</v>
      </c>
      <c r="E224" s="54">
        <f>SUMIFS('List of Ledgers '!K:K,'List of Ledgers '!$E:$E,Drs_Crs!$A$173,'List of Ledgers '!$B:$B,Drs_Crs!$A224)</f>
        <v>0</v>
      </c>
      <c r="F224" s="54">
        <f>SUMIFS('List of Ledgers '!L:L,'List of Ledgers '!$E:$E,Drs_Crs!$A$173,'List of Ledgers '!$B:$B,Drs_Crs!$A224)</f>
        <v>0</v>
      </c>
      <c r="H224" s="54">
        <f>SUMIFS('List of Ledgers '!N:N,'List of Ledgers '!$E:$E,Drs_Crs!$A$173,'List of Ledgers '!$B:$B,Drs_Crs!$A224)</f>
        <v>-8528</v>
      </c>
      <c r="I224" s="54">
        <f>SUMIFS('List of Ledgers '!O:O,'List of Ledgers '!$E:$E,Drs_Crs!$A$173,'List of Ledgers '!$B:$B,Drs_Crs!$A224)</f>
        <v>8528</v>
      </c>
      <c r="J224" s="54">
        <f>SUMIFS('List of Ledgers '!P:P,'List of Ledgers '!$E:$E,Drs_Crs!$A$173,'List of Ledgers '!$B:$B,Drs_Crs!$A224)</f>
        <v>0</v>
      </c>
      <c r="K224" s="54">
        <f>SUMIFS('List of Ledgers '!Q:Q,'List of Ledgers '!$E:$E,Drs_Crs!$A$173,'List of Ledgers '!$B:$B,Drs_Crs!$A224)</f>
        <v>0</v>
      </c>
    </row>
    <row r="225" spans="1:11" ht="13.9" x14ac:dyDescent="0.25">
      <c r="A225" s="125" t="s">
        <v>379</v>
      </c>
      <c r="B225" s="102" t="str">
        <f>VLOOKUP(A225,'List of Ledgers '!B:G,6,0)</f>
        <v>Clarus</v>
      </c>
      <c r="C225" s="54">
        <f>SUMIFS('List of Ledgers '!I:I,'List of Ledgers '!$E:$E,Drs_Crs!$A$173,'List of Ledgers '!$B:$B,Drs_Crs!$A225)</f>
        <v>0</v>
      </c>
      <c r="D225" s="54">
        <f>SUMIFS('List of Ledgers '!J:J,'List of Ledgers '!$E:$E,Drs_Crs!$A$173,'List of Ledgers '!$B:$B,Drs_Crs!$A225)</f>
        <v>0</v>
      </c>
      <c r="E225" s="54">
        <f>SUMIFS('List of Ledgers '!K:K,'List of Ledgers '!$E:$E,Drs_Crs!$A$173,'List of Ledgers '!$B:$B,Drs_Crs!$A225)</f>
        <v>0</v>
      </c>
      <c r="F225" s="54">
        <f>SUMIFS('List of Ledgers '!L:L,'List of Ledgers '!$E:$E,Drs_Crs!$A$173,'List of Ledgers '!$B:$B,Drs_Crs!$A225)</f>
        <v>0</v>
      </c>
      <c r="H225" s="54">
        <f>SUMIFS('List of Ledgers '!N:N,'List of Ledgers '!$E:$E,Drs_Crs!$A$173,'List of Ledgers '!$B:$B,Drs_Crs!$A225)</f>
        <v>0</v>
      </c>
      <c r="I225" s="54">
        <f>SUMIFS('List of Ledgers '!O:O,'List of Ledgers '!$E:$E,Drs_Crs!$A$173,'List of Ledgers '!$B:$B,Drs_Crs!$A225)</f>
        <v>29500</v>
      </c>
      <c r="J225" s="54">
        <f>SUMIFS('List of Ledgers '!P:P,'List of Ledgers '!$E:$E,Drs_Crs!$A$173,'List of Ledgers '!$B:$B,Drs_Crs!$A225)</f>
        <v>29500</v>
      </c>
      <c r="K225" s="54">
        <f>SUMIFS('List of Ledgers '!Q:Q,'List of Ledgers '!$E:$E,Drs_Crs!$A$173,'List of Ledgers '!$B:$B,Drs_Crs!$A225)</f>
        <v>0</v>
      </c>
    </row>
    <row r="226" spans="1:11" ht="13.9" x14ac:dyDescent="0.25">
      <c r="A226" s="125" t="s">
        <v>388</v>
      </c>
      <c r="B226" s="102" t="str">
        <f>VLOOKUP(A226,'List of Ledgers '!B:G,6,0)</f>
        <v>IT</v>
      </c>
      <c r="C226" s="54">
        <f>SUMIFS('List of Ledgers '!I:I,'List of Ledgers '!$E:$E,Drs_Crs!$A$173,'List of Ledgers '!$B:$B,Drs_Crs!$A226)</f>
        <v>0</v>
      </c>
      <c r="D226" s="54">
        <f>SUMIFS('List of Ledgers '!J:J,'List of Ledgers '!$E:$E,Drs_Crs!$A$173,'List of Ledgers '!$B:$B,Drs_Crs!$A226)</f>
        <v>0</v>
      </c>
      <c r="E226" s="54">
        <f>SUMIFS('List of Ledgers '!K:K,'List of Ledgers '!$E:$E,Drs_Crs!$A$173,'List of Ledgers '!$B:$B,Drs_Crs!$A226)</f>
        <v>0</v>
      </c>
      <c r="F226" s="54">
        <f>SUMIFS('List of Ledgers '!L:L,'List of Ledgers '!$E:$E,Drs_Crs!$A$173,'List of Ledgers '!$B:$B,Drs_Crs!$A226)</f>
        <v>0</v>
      </c>
      <c r="H226" s="54">
        <f>SUMIFS('List of Ledgers '!N:N,'List of Ledgers '!$E:$E,Drs_Crs!$A$173,'List of Ledgers '!$B:$B,Drs_Crs!$A226)</f>
        <v>0</v>
      </c>
      <c r="I226" s="54">
        <f>SUMIFS('List of Ledgers '!O:O,'List of Ledgers '!$E:$E,Drs_Crs!$A$173,'List of Ledgers '!$B:$B,Drs_Crs!$A226)</f>
        <v>0</v>
      </c>
      <c r="J226" s="54">
        <f>SUMIFS('List of Ledgers '!P:P,'List of Ledgers '!$E:$E,Drs_Crs!$A$173,'List of Ledgers '!$B:$B,Drs_Crs!$A226)</f>
        <v>0</v>
      </c>
      <c r="K226" s="54">
        <f>SUMIFS('List of Ledgers '!Q:Q,'List of Ledgers '!$E:$E,Drs_Crs!$A$173,'List of Ledgers '!$B:$B,Drs_Crs!$A226)</f>
        <v>0</v>
      </c>
    </row>
    <row r="227" spans="1:11" s="193" customFormat="1" ht="13.9" x14ac:dyDescent="0.25">
      <c r="A227" s="226" t="s">
        <v>378</v>
      </c>
      <c r="B227" s="227" t="str">
        <f>VLOOKUP(A227,'List of Ledgers '!B:G,6,0)</f>
        <v>Common</v>
      </c>
      <c r="C227" s="228">
        <f>SUMIFS('List of Ledgers '!I:I,'List of Ledgers '!$E:$E,Drs_Crs!$A$173,'List of Ledgers '!$B:$B,Drs_Crs!$A227)</f>
        <v>-29982.62</v>
      </c>
      <c r="D227" s="228">
        <f>SUMIFS('List of Ledgers '!J:J,'List of Ledgers '!$E:$E,Drs_Crs!$A$173,'List of Ledgers '!$B:$B,Drs_Crs!$A227)</f>
        <v>0</v>
      </c>
      <c r="E227" s="228">
        <f>SUMIFS('List of Ledgers '!K:K,'List of Ledgers '!$E:$E,Drs_Crs!$A$173,'List of Ledgers '!$B:$B,Drs_Crs!$A227)</f>
        <v>0</v>
      </c>
      <c r="F227" s="228">
        <f>SUMIFS('List of Ledgers '!L:L,'List of Ledgers '!$E:$E,Drs_Crs!$A$173,'List of Ledgers '!$B:$B,Drs_Crs!$A227)</f>
        <v>-29982.62</v>
      </c>
      <c r="G227" s="197"/>
      <c r="H227" s="228">
        <f>SUMIFS('List of Ledgers '!N:N,'List of Ledgers '!$E:$E,Drs_Crs!$A$173,'List of Ledgers '!$B:$B,Drs_Crs!$A227)</f>
        <v>-80160</v>
      </c>
      <c r="I227" s="228">
        <f>SUMIFS('List of Ledgers '!O:O,'List of Ledgers '!$E:$E,Drs_Crs!$A$173,'List of Ledgers '!$B:$B,Drs_Crs!$A227)</f>
        <v>99493.440000000002</v>
      </c>
      <c r="J227" s="228">
        <f>SUMIFS('List of Ledgers '!P:P,'List of Ledgers '!$E:$E,Drs_Crs!$A$173,'List of Ledgers '!$B:$B,Drs_Crs!$A227)</f>
        <v>49316.06</v>
      </c>
      <c r="K227" s="228">
        <f>SUMIFS('List of Ledgers '!Q:Q,'List of Ledgers '!$E:$E,Drs_Crs!$A$173,'List of Ledgers '!$B:$B,Drs_Crs!$A227)</f>
        <v>-29982.62</v>
      </c>
    </row>
    <row r="228" spans="1:11" ht="13.9" x14ac:dyDescent="0.25">
      <c r="A228" s="125" t="s">
        <v>469</v>
      </c>
      <c r="B228" s="102" t="str">
        <f>VLOOKUP(A228,'List of Ledgers '!B:G,6,0)</f>
        <v>IT</v>
      </c>
      <c r="C228" s="54">
        <f>SUMIFS('List of Ledgers '!I:I,'List of Ledgers '!$E:$E,Drs_Crs!$A$173,'List of Ledgers '!$B:$B,Drs_Crs!$A228)</f>
        <v>0</v>
      </c>
      <c r="D228" s="54">
        <f>SUMIFS('List of Ledgers '!J:J,'List of Ledgers '!$E:$E,Drs_Crs!$A$173,'List of Ledgers '!$B:$B,Drs_Crs!$A228)</f>
        <v>0</v>
      </c>
      <c r="E228" s="54">
        <f>SUMIFS('List of Ledgers '!K:K,'List of Ledgers '!$E:$E,Drs_Crs!$A$173,'List of Ledgers '!$B:$B,Drs_Crs!$A228)</f>
        <v>0</v>
      </c>
      <c r="F228" s="54">
        <f>SUMIFS('List of Ledgers '!L:L,'List of Ledgers '!$E:$E,Drs_Crs!$A$173,'List of Ledgers '!$B:$B,Drs_Crs!$A228)</f>
        <v>0</v>
      </c>
      <c r="H228" s="54">
        <f>SUMIFS('List of Ledgers '!N:N,'List of Ledgers '!$E:$E,Drs_Crs!$A$173,'List of Ledgers '!$B:$B,Drs_Crs!$A228)</f>
        <v>0</v>
      </c>
      <c r="I228" s="54">
        <f>SUMIFS('List of Ledgers '!O:O,'List of Ledgers '!$E:$E,Drs_Crs!$A$173,'List of Ledgers '!$B:$B,Drs_Crs!$A228)</f>
        <v>17995</v>
      </c>
      <c r="J228" s="54">
        <f>SUMIFS('List of Ledgers '!P:P,'List of Ledgers '!$E:$E,Drs_Crs!$A$173,'List of Ledgers '!$B:$B,Drs_Crs!$A228)</f>
        <v>17995</v>
      </c>
      <c r="K228" s="54">
        <f>SUMIFS('List of Ledgers '!Q:Q,'List of Ledgers '!$E:$E,Drs_Crs!$A$173,'List of Ledgers '!$B:$B,Drs_Crs!$A228)</f>
        <v>0</v>
      </c>
    </row>
    <row r="229" spans="1:11" ht="13.9" x14ac:dyDescent="0.25">
      <c r="A229" s="125" t="s">
        <v>422</v>
      </c>
      <c r="B229" s="102" t="str">
        <f>VLOOKUP(A229,'List of Ledgers '!B:G,6,0)</f>
        <v>Common</v>
      </c>
      <c r="C229" s="54">
        <f>SUMIFS('List of Ledgers '!I:I,'List of Ledgers '!$E:$E,Drs_Crs!$A$173,'List of Ledgers '!$B:$B,Drs_Crs!$A229)</f>
        <v>0</v>
      </c>
      <c r="D229" s="54">
        <f>SUMIFS('List of Ledgers '!J:J,'List of Ledgers '!$E:$E,Drs_Crs!$A$173,'List of Ledgers '!$B:$B,Drs_Crs!$A229)</f>
        <v>0</v>
      </c>
      <c r="E229" s="54">
        <f>SUMIFS('List of Ledgers '!K:K,'List of Ledgers '!$E:$E,Drs_Crs!$A$173,'List of Ledgers '!$B:$B,Drs_Crs!$A229)</f>
        <v>0</v>
      </c>
      <c r="F229" s="54">
        <f>SUMIFS('List of Ledgers '!L:L,'List of Ledgers '!$E:$E,Drs_Crs!$A$173,'List of Ledgers '!$B:$B,Drs_Crs!$A229)</f>
        <v>0</v>
      </c>
      <c r="H229" s="54">
        <f>SUMIFS('List of Ledgers '!N:N,'List of Ledgers '!$E:$E,Drs_Crs!$A$173,'List of Ledgers '!$B:$B,Drs_Crs!$A229)</f>
        <v>-1086</v>
      </c>
      <c r="I229" s="54">
        <f>SUMIFS('List of Ledgers '!O:O,'List of Ledgers '!$E:$E,Drs_Crs!$A$173,'List of Ledgers '!$B:$B,Drs_Crs!$A229)</f>
        <v>1086</v>
      </c>
      <c r="J229" s="54">
        <f>SUMIFS('List of Ledgers '!P:P,'List of Ledgers '!$E:$E,Drs_Crs!$A$173,'List of Ledgers '!$B:$B,Drs_Crs!$A229)</f>
        <v>0</v>
      </c>
      <c r="K229" s="54">
        <f>SUMIFS('List of Ledgers '!Q:Q,'List of Ledgers '!$E:$E,Drs_Crs!$A$173,'List of Ledgers '!$B:$B,Drs_Crs!$A229)</f>
        <v>0</v>
      </c>
    </row>
    <row r="230" spans="1:11" ht="13.9" x14ac:dyDescent="0.25">
      <c r="A230" s="125" t="s">
        <v>477</v>
      </c>
      <c r="B230" s="102" t="str">
        <f>VLOOKUP(A230,'List of Ledgers '!B:G,6,0)</f>
        <v>Common</v>
      </c>
      <c r="C230" s="54">
        <f>SUMIFS('List of Ledgers '!I:I,'List of Ledgers '!$E:$E,Drs_Crs!$A$173,'List of Ledgers '!$B:$B,Drs_Crs!$A230)</f>
        <v>0</v>
      </c>
      <c r="D230" s="54">
        <f>SUMIFS('List of Ledgers '!J:J,'List of Ledgers '!$E:$E,Drs_Crs!$A$173,'List of Ledgers '!$B:$B,Drs_Crs!$A230)</f>
        <v>211869</v>
      </c>
      <c r="E230" s="54">
        <f>SUMIFS('List of Ledgers '!K:K,'List of Ledgers '!$E:$E,Drs_Crs!$A$173,'List of Ledgers '!$B:$B,Drs_Crs!$A230)</f>
        <v>211869</v>
      </c>
      <c r="F230" s="54">
        <f>SUMIFS('List of Ledgers '!L:L,'List of Ledgers '!$E:$E,Drs_Crs!$A$173,'List of Ledgers '!$B:$B,Drs_Crs!$A230)</f>
        <v>0</v>
      </c>
      <c r="H230" s="54">
        <f>SUMIFS('List of Ledgers '!N:N,'List of Ledgers '!$E:$E,Drs_Crs!$A$173,'List of Ledgers '!$B:$B,Drs_Crs!$A230)</f>
        <v>0</v>
      </c>
      <c r="I230" s="54">
        <f>SUMIFS('List of Ledgers '!O:O,'List of Ledgers '!$E:$E,Drs_Crs!$A$173,'List of Ledgers '!$B:$B,Drs_Crs!$A230)</f>
        <v>2507257</v>
      </c>
      <c r="J230" s="54">
        <f>SUMIFS('List of Ledgers '!P:P,'List of Ledgers '!$E:$E,Drs_Crs!$A$173,'List of Ledgers '!$B:$B,Drs_Crs!$A230)</f>
        <v>2507257</v>
      </c>
      <c r="K230" s="54">
        <f>SUMIFS('List of Ledgers '!Q:Q,'List of Ledgers '!$E:$E,Drs_Crs!$A$173,'List of Ledgers '!$B:$B,Drs_Crs!$A230)</f>
        <v>0</v>
      </c>
    </row>
    <row r="231" spans="1:11" ht="13.9" x14ac:dyDescent="0.25">
      <c r="A231" s="125" t="s">
        <v>486</v>
      </c>
      <c r="B231" s="102" t="str">
        <f>VLOOKUP(A231,'List of Ledgers '!B:G,6,0)</f>
        <v>Common</v>
      </c>
      <c r="C231" s="54">
        <f>SUMIFS('List of Ledgers '!I:I,'List of Ledgers '!$E:$E,Drs_Crs!$A$173,'List of Ledgers '!$B:$B,Drs_Crs!$A231)</f>
        <v>0</v>
      </c>
      <c r="D231" s="54">
        <f>SUMIFS('List of Ledgers '!J:J,'List of Ledgers '!$E:$E,Drs_Crs!$A$173,'List of Ledgers '!$B:$B,Drs_Crs!$A231)</f>
        <v>0</v>
      </c>
      <c r="E231" s="54">
        <f>SUMIFS('List of Ledgers '!K:K,'List of Ledgers '!$E:$E,Drs_Crs!$A$173,'List of Ledgers '!$B:$B,Drs_Crs!$A231)</f>
        <v>0</v>
      </c>
      <c r="F231" s="54">
        <f>SUMIFS('List of Ledgers '!L:L,'List of Ledgers '!$E:$E,Drs_Crs!$A$173,'List of Ledgers '!$B:$B,Drs_Crs!$A231)</f>
        <v>0</v>
      </c>
      <c r="H231" s="54">
        <f>SUMIFS('List of Ledgers '!N:N,'List of Ledgers '!$E:$E,Drs_Crs!$A$173,'List of Ledgers '!$B:$B,Drs_Crs!$A231)</f>
        <v>0</v>
      </c>
      <c r="I231" s="54">
        <f>SUMIFS('List of Ledgers '!O:O,'List of Ledgers '!$E:$E,Drs_Crs!$A$173,'List of Ledgers '!$B:$B,Drs_Crs!$A231)</f>
        <v>0</v>
      </c>
      <c r="J231" s="54">
        <f>SUMIFS('List of Ledgers '!P:P,'List of Ledgers '!$E:$E,Drs_Crs!$A$173,'List of Ledgers '!$B:$B,Drs_Crs!$A231)</f>
        <v>0</v>
      </c>
      <c r="K231" s="54">
        <f>SUMIFS('List of Ledgers '!Q:Q,'List of Ledgers '!$E:$E,Drs_Crs!$A$173,'List of Ledgers '!$B:$B,Drs_Crs!$A231)</f>
        <v>0</v>
      </c>
    </row>
    <row r="232" spans="1:11" ht="13.9" x14ac:dyDescent="0.25">
      <c r="A232" s="125" t="s">
        <v>489</v>
      </c>
      <c r="B232" s="102" t="str">
        <f>VLOOKUP(A232,'List of Ledgers '!B:G,6,0)</f>
        <v>Clarus</v>
      </c>
      <c r="C232" s="54">
        <f>SUMIFS('List of Ledgers '!I:I,'List of Ledgers '!$E:$E,Drs_Crs!$A$173,'List of Ledgers '!$B:$B,Drs_Crs!$A232)</f>
        <v>-23345</v>
      </c>
      <c r="D232" s="54">
        <f>SUMIFS('List of Ledgers '!J:J,'List of Ledgers '!$E:$E,Drs_Crs!$A$173,'List of Ledgers '!$B:$B,Drs_Crs!$A232)</f>
        <v>0</v>
      </c>
      <c r="E232" s="54">
        <f>SUMIFS('List of Ledgers '!K:K,'List of Ledgers '!$E:$E,Drs_Crs!$A$173,'List of Ledgers '!$B:$B,Drs_Crs!$A232)</f>
        <v>0</v>
      </c>
      <c r="F232" s="54">
        <f>SUMIFS('List of Ledgers '!L:L,'List of Ledgers '!$E:$E,Drs_Crs!$A$173,'List of Ledgers '!$B:$B,Drs_Crs!$A232)</f>
        <v>-23345</v>
      </c>
      <c r="H232" s="54">
        <f>SUMIFS('List of Ledgers '!N:N,'List of Ledgers '!$E:$E,Drs_Crs!$A$173,'List of Ledgers '!$B:$B,Drs_Crs!$A232)</f>
        <v>-23345</v>
      </c>
      <c r="I232" s="54">
        <f>SUMIFS('List of Ledgers '!O:O,'List of Ledgers '!$E:$E,Drs_Crs!$A$173,'List of Ledgers '!$B:$B,Drs_Crs!$A232)</f>
        <v>0</v>
      </c>
      <c r="J232" s="54">
        <f>SUMIFS('List of Ledgers '!P:P,'List of Ledgers '!$E:$E,Drs_Crs!$A$173,'List of Ledgers '!$B:$B,Drs_Crs!$A232)</f>
        <v>0</v>
      </c>
      <c r="K232" s="54">
        <f>SUMIFS('List of Ledgers '!Q:Q,'List of Ledgers '!$E:$E,Drs_Crs!$A$173,'List of Ledgers '!$B:$B,Drs_Crs!$A232)</f>
        <v>-23345</v>
      </c>
    </row>
    <row r="233" spans="1:11" ht="13.9" x14ac:dyDescent="0.25">
      <c r="A233" s="125" t="s">
        <v>492</v>
      </c>
      <c r="B233" s="102" t="str">
        <f>VLOOKUP(A233,'List of Ledgers '!B:G,6,0)</f>
        <v>Common</v>
      </c>
      <c r="C233" s="54">
        <f>SUMIFS('List of Ledgers '!I:I,'List of Ledgers '!$E:$E,Drs_Crs!$A$173,'List of Ledgers '!$B:$B,Drs_Crs!$A233)</f>
        <v>0</v>
      </c>
      <c r="D233" s="54">
        <f>SUMIFS('List of Ledgers '!J:J,'List of Ledgers '!$E:$E,Drs_Crs!$A$173,'List of Ledgers '!$B:$B,Drs_Crs!$A233)</f>
        <v>0</v>
      </c>
      <c r="E233" s="54">
        <f>SUMIFS('List of Ledgers '!K:K,'List of Ledgers '!$E:$E,Drs_Crs!$A$173,'List of Ledgers '!$B:$B,Drs_Crs!$A233)</f>
        <v>0</v>
      </c>
      <c r="F233" s="54">
        <f>SUMIFS('List of Ledgers '!L:L,'List of Ledgers '!$E:$E,Drs_Crs!$A$173,'List of Ledgers '!$B:$B,Drs_Crs!$A233)</f>
        <v>0</v>
      </c>
      <c r="H233" s="54">
        <f>SUMIFS('List of Ledgers '!N:N,'List of Ledgers '!$E:$E,Drs_Crs!$A$173,'List of Ledgers '!$B:$B,Drs_Crs!$A233)</f>
        <v>0</v>
      </c>
      <c r="I233" s="54">
        <f>SUMIFS('List of Ledgers '!O:O,'List of Ledgers '!$E:$E,Drs_Crs!$A$173,'List of Ledgers '!$B:$B,Drs_Crs!$A233)</f>
        <v>0</v>
      </c>
      <c r="J233" s="54">
        <f>SUMIFS('List of Ledgers '!P:P,'List of Ledgers '!$E:$E,Drs_Crs!$A$173,'List of Ledgers '!$B:$B,Drs_Crs!$A233)</f>
        <v>0</v>
      </c>
      <c r="K233" s="54">
        <f>SUMIFS('List of Ledgers '!Q:Q,'List of Ledgers '!$E:$E,Drs_Crs!$A$173,'List of Ledgers '!$B:$B,Drs_Crs!$A233)</f>
        <v>0</v>
      </c>
    </row>
    <row r="234" spans="1:11" ht="13.9" x14ac:dyDescent="0.25">
      <c r="A234" s="125" t="s">
        <v>494</v>
      </c>
      <c r="B234" s="102" t="str">
        <f>VLOOKUP(A234,'List of Ledgers '!B:G,6,0)</f>
        <v>Common</v>
      </c>
      <c r="C234" s="54">
        <f>SUMIFS('List of Ledgers '!I:I,'List of Ledgers '!$E:$E,Drs_Crs!$A$173,'List of Ledgers '!$B:$B,Drs_Crs!$A234)</f>
        <v>0</v>
      </c>
      <c r="D234" s="54">
        <f>SUMIFS('List of Ledgers '!J:J,'List of Ledgers '!$E:$E,Drs_Crs!$A$173,'List of Ledgers '!$B:$B,Drs_Crs!$A234)</f>
        <v>0</v>
      </c>
      <c r="E234" s="54">
        <f>SUMIFS('List of Ledgers '!K:K,'List of Ledgers '!$E:$E,Drs_Crs!$A$173,'List of Ledgers '!$B:$B,Drs_Crs!$A234)</f>
        <v>0</v>
      </c>
      <c r="F234" s="54">
        <f>SUMIFS('List of Ledgers '!L:L,'List of Ledgers '!$E:$E,Drs_Crs!$A$173,'List of Ledgers '!$B:$B,Drs_Crs!$A234)</f>
        <v>0</v>
      </c>
      <c r="H234" s="54">
        <f>SUMIFS('List of Ledgers '!N:N,'List of Ledgers '!$E:$E,Drs_Crs!$A$173,'List of Ledgers '!$B:$B,Drs_Crs!$A234)</f>
        <v>0</v>
      </c>
      <c r="I234" s="54">
        <f>SUMIFS('List of Ledgers '!O:O,'List of Ledgers '!$E:$E,Drs_Crs!$A$173,'List of Ledgers '!$B:$B,Drs_Crs!$A234)</f>
        <v>0</v>
      </c>
      <c r="J234" s="54">
        <f>SUMIFS('List of Ledgers '!P:P,'List of Ledgers '!$E:$E,Drs_Crs!$A$173,'List of Ledgers '!$B:$B,Drs_Crs!$A234)</f>
        <v>0</v>
      </c>
      <c r="K234" s="54">
        <f>SUMIFS('List of Ledgers '!Q:Q,'List of Ledgers '!$E:$E,Drs_Crs!$A$173,'List of Ledgers '!$B:$B,Drs_Crs!$A234)</f>
        <v>0</v>
      </c>
    </row>
    <row r="235" spans="1:11" ht="13.9" x14ac:dyDescent="0.25">
      <c r="A235" s="125" t="s">
        <v>497</v>
      </c>
      <c r="B235" s="102" t="str">
        <f>VLOOKUP(A235,'List of Ledgers '!B:G,6,0)</f>
        <v>Common</v>
      </c>
      <c r="C235" s="54">
        <f>SUMIFS('List of Ledgers '!I:I,'List of Ledgers '!$E:$E,Drs_Crs!$A$173,'List of Ledgers '!$B:$B,Drs_Crs!$A235)</f>
        <v>0</v>
      </c>
      <c r="D235" s="54">
        <f>SUMIFS('List of Ledgers '!J:J,'List of Ledgers '!$E:$E,Drs_Crs!$A$173,'List of Ledgers '!$B:$B,Drs_Crs!$A235)</f>
        <v>0</v>
      </c>
      <c r="E235" s="54">
        <f>SUMIFS('List of Ledgers '!K:K,'List of Ledgers '!$E:$E,Drs_Crs!$A$173,'List of Ledgers '!$B:$B,Drs_Crs!$A235)</f>
        <v>0</v>
      </c>
      <c r="F235" s="54">
        <f>SUMIFS('List of Ledgers '!L:L,'List of Ledgers '!$E:$E,Drs_Crs!$A$173,'List of Ledgers '!$B:$B,Drs_Crs!$A235)</f>
        <v>0</v>
      </c>
      <c r="H235" s="54">
        <f>SUMIFS('List of Ledgers '!N:N,'List of Ledgers '!$E:$E,Drs_Crs!$A$173,'List of Ledgers '!$B:$B,Drs_Crs!$A235)</f>
        <v>0</v>
      </c>
      <c r="I235" s="54">
        <f>SUMIFS('List of Ledgers '!O:O,'List of Ledgers '!$E:$E,Drs_Crs!$A$173,'List of Ledgers '!$B:$B,Drs_Crs!$A235)</f>
        <v>0</v>
      </c>
      <c r="J235" s="54">
        <f>SUMIFS('List of Ledgers '!P:P,'List of Ledgers '!$E:$E,Drs_Crs!$A$173,'List of Ledgers '!$B:$B,Drs_Crs!$A235)</f>
        <v>0</v>
      </c>
      <c r="K235" s="54">
        <f>SUMIFS('List of Ledgers '!Q:Q,'List of Ledgers '!$E:$E,Drs_Crs!$A$173,'List of Ledgers '!$B:$B,Drs_Crs!$A235)</f>
        <v>0</v>
      </c>
    </row>
    <row r="236" spans="1:11" ht="13.9" x14ac:dyDescent="0.25">
      <c r="A236" s="125" t="s">
        <v>470</v>
      </c>
      <c r="B236" s="102" t="str">
        <f>VLOOKUP(A236,'List of Ledgers '!B:G,6,0)</f>
        <v>Common</v>
      </c>
      <c r="C236" s="54">
        <f>SUMIFS('List of Ledgers '!I:I,'List of Ledgers '!$E:$E,Drs_Crs!$A$173,'List of Ledgers '!$B:$B,Drs_Crs!$A236)</f>
        <v>0</v>
      </c>
      <c r="D236" s="54">
        <f>SUMIFS('List of Ledgers '!J:J,'List of Ledgers '!$E:$E,Drs_Crs!$A$173,'List of Ledgers '!$B:$B,Drs_Crs!$A236)</f>
        <v>0</v>
      </c>
      <c r="E236" s="54">
        <f>SUMIFS('List of Ledgers '!K:K,'List of Ledgers '!$E:$E,Drs_Crs!$A$173,'List of Ledgers '!$B:$B,Drs_Crs!$A236)</f>
        <v>0</v>
      </c>
      <c r="F236" s="54">
        <f>SUMIFS('List of Ledgers '!L:L,'List of Ledgers '!$E:$E,Drs_Crs!$A$173,'List of Ledgers '!$B:$B,Drs_Crs!$A236)</f>
        <v>0</v>
      </c>
      <c r="H236" s="54">
        <f>SUMIFS('List of Ledgers '!N:N,'List of Ledgers '!$E:$E,Drs_Crs!$A$173,'List of Ledgers '!$B:$B,Drs_Crs!$A236)</f>
        <v>-3395</v>
      </c>
      <c r="I236" s="54">
        <f>SUMIFS('List of Ledgers '!O:O,'List of Ledgers '!$E:$E,Drs_Crs!$A$173,'List of Ledgers '!$B:$B,Drs_Crs!$A236)</f>
        <v>3395</v>
      </c>
      <c r="J236" s="54">
        <f>SUMIFS('List of Ledgers '!P:P,'List of Ledgers '!$E:$E,Drs_Crs!$A$173,'List of Ledgers '!$B:$B,Drs_Crs!$A236)</f>
        <v>0</v>
      </c>
      <c r="K236" s="54">
        <f>SUMIFS('List of Ledgers '!Q:Q,'List of Ledgers '!$E:$E,Drs_Crs!$A$173,'List of Ledgers '!$B:$B,Drs_Crs!$A236)</f>
        <v>0</v>
      </c>
    </row>
    <row r="237" spans="1:11" s="193" customFormat="1" ht="13.9" x14ac:dyDescent="0.25">
      <c r="A237" s="226" t="s">
        <v>511</v>
      </c>
      <c r="B237" s="227" t="str">
        <f>VLOOKUP(A237,'List of Ledgers '!B:G,6,0)</f>
        <v>Common</v>
      </c>
      <c r="C237" s="228">
        <f>SUMIFS('List of Ledgers '!I:I,'List of Ledgers '!$E:$E,Drs_Crs!$A$173,'List of Ledgers '!$B:$B,Drs_Crs!$A237)</f>
        <v>7796</v>
      </c>
      <c r="D237" s="228">
        <f>SUMIFS('List of Ledgers '!J:J,'List of Ledgers '!$E:$E,Drs_Crs!$A$173,'List of Ledgers '!$B:$B,Drs_Crs!$A237)</f>
        <v>0</v>
      </c>
      <c r="E237" s="228">
        <f>SUMIFS('List of Ledgers '!K:K,'List of Ledgers '!$E:$E,Drs_Crs!$A$173,'List of Ledgers '!$B:$B,Drs_Crs!$A237)</f>
        <v>0</v>
      </c>
      <c r="F237" s="228">
        <f>SUMIFS('List of Ledgers '!L:L,'List of Ledgers '!$E:$E,Drs_Crs!$A$173,'List of Ledgers '!$B:$B,Drs_Crs!$A237)</f>
        <v>7796</v>
      </c>
      <c r="G237" s="197"/>
      <c r="H237" s="228">
        <f>SUMIFS('List of Ledgers '!N:N,'List of Ledgers '!$E:$E,Drs_Crs!$A$173,'List of Ledgers '!$B:$B,Drs_Crs!$A237)</f>
        <v>0</v>
      </c>
      <c r="I237" s="228">
        <f>SUMIFS('List of Ledgers '!O:O,'List of Ledgers '!$E:$E,Drs_Crs!$A$173,'List of Ledgers '!$B:$B,Drs_Crs!$A237)</f>
        <v>7796</v>
      </c>
      <c r="J237" s="228">
        <f>SUMIFS('List of Ledgers '!P:P,'List of Ledgers '!$E:$E,Drs_Crs!$A$173,'List of Ledgers '!$B:$B,Drs_Crs!$A237)</f>
        <v>0</v>
      </c>
      <c r="K237" s="228">
        <f>SUMIFS('List of Ledgers '!Q:Q,'List of Ledgers '!$E:$E,Drs_Crs!$A$173,'List of Ledgers '!$B:$B,Drs_Crs!$A237)</f>
        <v>7796</v>
      </c>
    </row>
    <row r="238" spans="1:11" ht="13.9" x14ac:dyDescent="0.25">
      <c r="A238" s="125" t="s">
        <v>515</v>
      </c>
      <c r="B238" s="102" t="str">
        <f>VLOOKUP(A238,'List of Ledgers '!B:G,6,0)</f>
        <v>Common</v>
      </c>
      <c r="C238" s="54">
        <f>SUMIFS('List of Ledgers '!I:I,'List of Ledgers '!$E:$E,Drs_Crs!$A$173,'List of Ledgers '!$B:$B,Drs_Crs!$A238)</f>
        <v>0</v>
      </c>
      <c r="D238" s="54">
        <f>SUMIFS('List of Ledgers '!J:J,'List of Ledgers '!$E:$E,Drs_Crs!$A$173,'List of Ledgers '!$B:$B,Drs_Crs!$A238)</f>
        <v>0</v>
      </c>
      <c r="E238" s="54">
        <f>SUMIFS('List of Ledgers '!K:K,'List of Ledgers '!$E:$E,Drs_Crs!$A$173,'List of Ledgers '!$B:$B,Drs_Crs!$A238)</f>
        <v>0</v>
      </c>
      <c r="F238" s="54">
        <f>SUMIFS('List of Ledgers '!L:L,'List of Ledgers '!$E:$E,Drs_Crs!$A$173,'List of Ledgers '!$B:$B,Drs_Crs!$A238)</f>
        <v>0</v>
      </c>
      <c r="H238" s="54">
        <f>SUMIFS('List of Ledgers '!N:N,'List of Ledgers '!$E:$E,Drs_Crs!$A$173,'List of Ledgers '!$B:$B,Drs_Crs!$A238)</f>
        <v>0</v>
      </c>
      <c r="I238" s="54">
        <f>SUMIFS('List of Ledgers '!O:O,'List of Ledgers '!$E:$E,Drs_Crs!$A$173,'List of Ledgers '!$B:$B,Drs_Crs!$A238)</f>
        <v>0</v>
      </c>
      <c r="J238" s="54">
        <f>SUMIFS('List of Ledgers '!P:P,'List of Ledgers '!$E:$E,Drs_Crs!$A$173,'List of Ledgers '!$B:$B,Drs_Crs!$A238)</f>
        <v>0</v>
      </c>
      <c r="K238" s="54">
        <f>SUMIFS('List of Ledgers '!Q:Q,'List of Ledgers '!$E:$E,Drs_Crs!$A$173,'List of Ledgers '!$B:$B,Drs_Crs!$A238)</f>
        <v>0</v>
      </c>
    </row>
    <row r="239" spans="1:11" ht="13.9" x14ac:dyDescent="0.25">
      <c r="A239" s="125" t="s">
        <v>516</v>
      </c>
      <c r="B239" s="102" t="str">
        <f>VLOOKUP(A239,'List of Ledgers '!B:G,6,0)</f>
        <v>Common</v>
      </c>
      <c r="C239" s="54">
        <f>SUMIFS('List of Ledgers '!I:I,'List of Ledgers '!$E:$E,Drs_Crs!$A$173,'List of Ledgers '!$B:$B,Drs_Crs!$A239)</f>
        <v>0</v>
      </c>
      <c r="D239" s="54">
        <f>SUMIFS('List of Ledgers '!J:J,'List of Ledgers '!$E:$E,Drs_Crs!$A$173,'List of Ledgers '!$B:$B,Drs_Crs!$A239)</f>
        <v>0</v>
      </c>
      <c r="E239" s="54">
        <f>SUMIFS('List of Ledgers '!K:K,'List of Ledgers '!$E:$E,Drs_Crs!$A$173,'List of Ledgers '!$B:$B,Drs_Crs!$A239)</f>
        <v>0</v>
      </c>
      <c r="F239" s="54">
        <f>SUMIFS('List of Ledgers '!L:L,'List of Ledgers '!$E:$E,Drs_Crs!$A$173,'List of Ledgers '!$B:$B,Drs_Crs!$A239)</f>
        <v>0</v>
      </c>
      <c r="H239" s="54">
        <f>SUMIFS('List of Ledgers '!N:N,'List of Ledgers '!$E:$E,Drs_Crs!$A$173,'List of Ledgers '!$B:$B,Drs_Crs!$A239)</f>
        <v>0</v>
      </c>
      <c r="I239" s="54">
        <f>SUMIFS('List of Ledgers '!O:O,'List of Ledgers '!$E:$E,Drs_Crs!$A$173,'List of Ledgers '!$B:$B,Drs_Crs!$A239)</f>
        <v>147415</v>
      </c>
      <c r="J239" s="54">
        <f>SUMIFS('List of Ledgers '!P:P,'List of Ledgers '!$E:$E,Drs_Crs!$A$173,'List of Ledgers '!$B:$B,Drs_Crs!$A239)</f>
        <v>147415</v>
      </c>
      <c r="K239" s="54">
        <f>SUMIFS('List of Ledgers '!Q:Q,'List of Ledgers '!$E:$E,Drs_Crs!$A$173,'List of Ledgers '!$B:$B,Drs_Crs!$A239)</f>
        <v>0</v>
      </c>
    </row>
    <row r="240" spans="1:11" ht="13.9" x14ac:dyDescent="0.25">
      <c r="A240" s="125" t="s">
        <v>517</v>
      </c>
      <c r="B240" s="102" t="str">
        <f>VLOOKUP(A240,'List of Ledgers '!B:G,6,0)</f>
        <v>Common</v>
      </c>
      <c r="C240" s="54">
        <f>SUMIFS('List of Ledgers '!I:I,'List of Ledgers '!$E:$E,Drs_Crs!$A$173,'List of Ledgers '!$B:$B,Drs_Crs!$A240)</f>
        <v>0</v>
      </c>
      <c r="D240" s="54">
        <f>SUMIFS('List of Ledgers '!J:J,'List of Ledgers '!$E:$E,Drs_Crs!$A$173,'List of Ledgers '!$B:$B,Drs_Crs!$A240)</f>
        <v>0</v>
      </c>
      <c r="E240" s="54">
        <f>SUMIFS('List of Ledgers '!K:K,'List of Ledgers '!$E:$E,Drs_Crs!$A$173,'List of Ledgers '!$B:$B,Drs_Crs!$A240)</f>
        <v>0</v>
      </c>
      <c r="F240" s="54">
        <f>SUMIFS('List of Ledgers '!L:L,'List of Ledgers '!$E:$E,Drs_Crs!$A$173,'List of Ledgers '!$B:$B,Drs_Crs!$A240)</f>
        <v>0</v>
      </c>
      <c r="H240" s="54">
        <f>SUMIFS('List of Ledgers '!N:N,'List of Ledgers '!$E:$E,Drs_Crs!$A$173,'List of Ledgers '!$B:$B,Drs_Crs!$A240)</f>
        <v>0</v>
      </c>
      <c r="I240" s="54">
        <f>SUMIFS('List of Ledgers '!O:O,'List of Ledgers '!$E:$E,Drs_Crs!$A$173,'List of Ledgers '!$B:$B,Drs_Crs!$A240)</f>
        <v>0</v>
      </c>
      <c r="J240" s="54">
        <f>SUMIFS('List of Ledgers '!P:P,'List of Ledgers '!$E:$E,Drs_Crs!$A$173,'List of Ledgers '!$B:$B,Drs_Crs!$A240)</f>
        <v>0</v>
      </c>
      <c r="K240" s="54">
        <f>SUMIFS('List of Ledgers '!Q:Q,'List of Ledgers '!$E:$E,Drs_Crs!$A$173,'List of Ledgers '!$B:$B,Drs_Crs!$A240)</f>
        <v>0</v>
      </c>
    </row>
    <row r="241" spans="1:11" ht="13.9" x14ac:dyDescent="0.25">
      <c r="A241" s="125" t="s">
        <v>518</v>
      </c>
      <c r="B241" s="102" t="str">
        <f>VLOOKUP(A241,'List of Ledgers '!B:G,6,0)</f>
        <v>Common</v>
      </c>
      <c r="C241" s="54">
        <f>SUMIFS('List of Ledgers '!I:I,'List of Ledgers '!$E:$E,Drs_Crs!$A$173,'List of Ledgers '!$B:$B,Drs_Crs!$A241)</f>
        <v>0</v>
      </c>
      <c r="D241" s="54">
        <f>SUMIFS('List of Ledgers '!J:J,'List of Ledgers '!$E:$E,Drs_Crs!$A$173,'List of Ledgers '!$B:$B,Drs_Crs!$A241)</f>
        <v>0</v>
      </c>
      <c r="E241" s="54">
        <f>SUMIFS('List of Ledgers '!K:K,'List of Ledgers '!$E:$E,Drs_Crs!$A$173,'List of Ledgers '!$B:$B,Drs_Crs!$A241)</f>
        <v>0</v>
      </c>
      <c r="F241" s="54">
        <f>SUMIFS('List of Ledgers '!L:L,'List of Ledgers '!$E:$E,Drs_Crs!$A$173,'List of Ledgers '!$B:$B,Drs_Crs!$A241)</f>
        <v>0</v>
      </c>
      <c r="H241" s="54">
        <f>SUMIFS('List of Ledgers '!N:N,'List of Ledgers '!$E:$E,Drs_Crs!$A$173,'List of Ledgers '!$B:$B,Drs_Crs!$A241)</f>
        <v>0</v>
      </c>
      <c r="I241" s="54">
        <f>SUMIFS('List of Ledgers '!O:O,'List of Ledgers '!$E:$E,Drs_Crs!$A$173,'List of Ledgers '!$B:$B,Drs_Crs!$A241)</f>
        <v>4594</v>
      </c>
      <c r="J241" s="54">
        <f>SUMIFS('List of Ledgers '!P:P,'List of Ledgers '!$E:$E,Drs_Crs!$A$173,'List of Ledgers '!$B:$B,Drs_Crs!$A241)</f>
        <v>4594</v>
      </c>
      <c r="K241" s="54">
        <f>SUMIFS('List of Ledgers '!Q:Q,'List of Ledgers '!$E:$E,Drs_Crs!$A$173,'List of Ledgers '!$B:$B,Drs_Crs!$A241)</f>
        <v>0</v>
      </c>
    </row>
    <row r="242" spans="1:11" ht="13.9" x14ac:dyDescent="0.25">
      <c r="A242" s="125" t="s">
        <v>519</v>
      </c>
      <c r="B242" s="102" t="str">
        <f>VLOOKUP(A242,'List of Ledgers '!B:G,6,0)</f>
        <v>Common</v>
      </c>
      <c r="C242" s="54">
        <f>SUMIFS('List of Ledgers '!I:I,'List of Ledgers '!$E:$E,Drs_Crs!$A$173,'List of Ledgers '!$B:$B,Drs_Crs!$A242)</f>
        <v>0</v>
      </c>
      <c r="D242" s="54">
        <f>SUMIFS('List of Ledgers '!J:J,'List of Ledgers '!$E:$E,Drs_Crs!$A$173,'List of Ledgers '!$B:$B,Drs_Crs!$A242)</f>
        <v>0</v>
      </c>
      <c r="E242" s="54">
        <f>SUMIFS('List of Ledgers '!K:K,'List of Ledgers '!$E:$E,Drs_Crs!$A$173,'List of Ledgers '!$B:$B,Drs_Crs!$A242)</f>
        <v>0</v>
      </c>
      <c r="F242" s="54">
        <f>SUMIFS('List of Ledgers '!L:L,'List of Ledgers '!$E:$E,Drs_Crs!$A$173,'List of Ledgers '!$B:$B,Drs_Crs!$A242)</f>
        <v>0</v>
      </c>
      <c r="H242" s="54">
        <f>SUMIFS('List of Ledgers '!N:N,'List of Ledgers '!$E:$E,Drs_Crs!$A$173,'List of Ledgers '!$B:$B,Drs_Crs!$A242)</f>
        <v>0</v>
      </c>
      <c r="I242" s="54">
        <f>SUMIFS('List of Ledgers '!O:O,'List of Ledgers '!$E:$E,Drs_Crs!$A$173,'List of Ledgers '!$B:$B,Drs_Crs!$A242)</f>
        <v>1215</v>
      </c>
      <c r="J242" s="54">
        <f>SUMIFS('List of Ledgers '!P:P,'List of Ledgers '!$E:$E,Drs_Crs!$A$173,'List of Ledgers '!$B:$B,Drs_Crs!$A242)</f>
        <v>1215</v>
      </c>
      <c r="K242" s="54">
        <f>SUMIFS('List of Ledgers '!Q:Q,'List of Ledgers '!$E:$E,Drs_Crs!$A$173,'List of Ledgers '!$B:$B,Drs_Crs!$A242)</f>
        <v>0</v>
      </c>
    </row>
    <row r="243" spans="1:11" ht="13.9" x14ac:dyDescent="0.25">
      <c r="A243" s="125" t="s">
        <v>520</v>
      </c>
      <c r="B243" s="102" t="str">
        <f>VLOOKUP(A243,'List of Ledgers '!B:G,6,0)</f>
        <v>Common</v>
      </c>
      <c r="C243" s="54">
        <f>SUMIFS('List of Ledgers '!I:I,'List of Ledgers '!$E:$E,Drs_Crs!$A$173,'List of Ledgers '!$B:$B,Drs_Crs!$A243)</f>
        <v>0</v>
      </c>
      <c r="D243" s="54">
        <f>SUMIFS('List of Ledgers '!J:J,'List of Ledgers '!$E:$E,Drs_Crs!$A$173,'List of Ledgers '!$B:$B,Drs_Crs!$A243)</f>
        <v>0</v>
      </c>
      <c r="E243" s="54">
        <f>SUMIFS('List of Ledgers '!K:K,'List of Ledgers '!$E:$E,Drs_Crs!$A$173,'List of Ledgers '!$B:$B,Drs_Crs!$A243)</f>
        <v>0</v>
      </c>
      <c r="F243" s="54">
        <f>SUMIFS('List of Ledgers '!L:L,'List of Ledgers '!$E:$E,Drs_Crs!$A$173,'List of Ledgers '!$B:$B,Drs_Crs!$A243)</f>
        <v>0</v>
      </c>
      <c r="H243" s="54">
        <f>SUMIFS('List of Ledgers '!N:N,'List of Ledgers '!$E:$E,Drs_Crs!$A$173,'List of Ledgers '!$B:$B,Drs_Crs!$A243)</f>
        <v>0</v>
      </c>
      <c r="I243" s="54">
        <f>SUMIFS('List of Ledgers '!O:O,'List of Ledgers '!$E:$E,Drs_Crs!$A$173,'List of Ledgers '!$B:$B,Drs_Crs!$A243)</f>
        <v>40120</v>
      </c>
      <c r="J243" s="54">
        <f>SUMIFS('List of Ledgers '!P:P,'List of Ledgers '!$E:$E,Drs_Crs!$A$173,'List of Ledgers '!$B:$B,Drs_Crs!$A243)</f>
        <v>40120</v>
      </c>
      <c r="K243" s="54">
        <f>SUMIFS('List of Ledgers '!Q:Q,'List of Ledgers '!$E:$E,Drs_Crs!$A$173,'List of Ledgers '!$B:$B,Drs_Crs!$A243)</f>
        <v>0</v>
      </c>
    </row>
    <row r="244" spans="1:11" ht="13.9" x14ac:dyDescent="0.25">
      <c r="A244" s="125" t="s">
        <v>532</v>
      </c>
      <c r="B244" s="102" t="str">
        <f>VLOOKUP(A244,'List of Ledgers '!B:G,6,0)</f>
        <v>Common</v>
      </c>
      <c r="C244" s="54">
        <f>SUMIFS('List of Ledgers '!I:I,'List of Ledgers '!$E:$E,Drs_Crs!$A$173,'List of Ledgers '!$B:$B,Drs_Crs!$A244)</f>
        <v>0</v>
      </c>
      <c r="D244" s="54">
        <f>SUMIFS('List of Ledgers '!J:J,'List of Ledgers '!$E:$E,Drs_Crs!$A$173,'List of Ledgers '!$B:$B,Drs_Crs!$A244)</f>
        <v>0</v>
      </c>
      <c r="E244" s="54">
        <f>SUMIFS('List of Ledgers '!K:K,'List of Ledgers '!$E:$E,Drs_Crs!$A$173,'List of Ledgers '!$B:$B,Drs_Crs!$A244)</f>
        <v>0</v>
      </c>
      <c r="F244" s="54">
        <f>SUMIFS('List of Ledgers '!L:L,'List of Ledgers '!$E:$E,Drs_Crs!$A$173,'List of Ledgers '!$B:$B,Drs_Crs!$A244)</f>
        <v>0</v>
      </c>
      <c r="H244" s="54">
        <f>SUMIFS('List of Ledgers '!N:N,'List of Ledgers '!$E:$E,Drs_Crs!$A$173,'List of Ledgers '!$B:$B,Drs_Crs!$A244)</f>
        <v>0</v>
      </c>
      <c r="I244" s="54">
        <f>SUMIFS('List of Ledgers '!O:O,'List of Ledgers '!$E:$E,Drs_Crs!$A$173,'List of Ledgers '!$B:$B,Drs_Crs!$A244)</f>
        <v>18956</v>
      </c>
      <c r="J244" s="54">
        <f>SUMIFS('List of Ledgers '!P:P,'List of Ledgers '!$E:$E,Drs_Crs!$A$173,'List of Ledgers '!$B:$B,Drs_Crs!$A244)</f>
        <v>18956</v>
      </c>
      <c r="K244" s="54">
        <f>SUMIFS('List of Ledgers '!Q:Q,'List of Ledgers '!$E:$E,Drs_Crs!$A$173,'List of Ledgers '!$B:$B,Drs_Crs!$A244)</f>
        <v>0</v>
      </c>
    </row>
    <row r="245" spans="1:11" ht="13.9" x14ac:dyDescent="0.25">
      <c r="A245" s="125" t="s">
        <v>533</v>
      </c>
      <c r="B245" s="102" t="str">
        <f>VLOOKUP(A245,'List of Ledgers '!B:G,6,0)</f>
        <v>Common</v>
      </c>
      <c r="C245" s="54">
        <f>SUMIFS('List of Ledgers '!I:I,'List of Ledgers '!$E:$E,Drs_Crs!$A$173,'List of Ledgers '!$B:$B,Drs_Crs!$A245)</f>
        <v>0</v>
      </c>
      <c r="D245" s="54">
        <f>SUMIFS('List of Ledgers '!J:J,'List of Ledgers '!$E:$E,Drs_Crs!$A$173,'List of Ledgers '!$B:$B,Drs_Crs!$A245)</f>
        <v>0</v>
      </c>
      <c r="E245" s="54">
        <f>SUMIFS('List of Ledgers '!K:K,'List of Ledgers '!$E:$E,Drs_Crs!$A$173,'List of Ledgers '!$B:$B,Drs_Crs!$A245)</f>
        <v>0</v>
      </c>
      <c r="F245" s="54">
        <f>SUMIFS('List of Ledgers '!L:L,'List of Ledgers '!$E:$E,Drs_Crs!$A$173,'List of Ledgers '!$B:$B,Drs_Crs!$A245)</f>
        <v>0</v>
      </c>
      <c r="H245" s="54">
        <f>SUMIFS('List of Ledgers '!N:N,'List of Ledgers '!$E:$E,Drs_Crs!$A$173,'List of Ledgers '!$B:$B,Drs_Crs!$A245)</f>
        <v>0</v>
      </c>
      <c r="I245" s="54">
        <f>SUMIFS('List of Ledgers '!O:O,'List of Ledgers '!$E:$E,Drs_Crs!$A$173,'List of Ledgers '!$B:$B,Drs_Crs!$A245)</f>
        <v>363197</v>
      </c>
      <c r="J245" s="54">
        <f>SUMIFS('List of Ledgers '!P:P,'List of Ledgers '!$E:$E,Drs_Crs!$A$173,'List of Ledgers '!$B:$B,Drs_Crs!$A245)</f>
        <v>363197</v>
      </c>
      <c r="K245" s="54">
        <f>SUMIFS('List of Ledgers '!Q:Q,'List of Ledgers '!$E:$E,Drs_Crs!$A$173,'List of Ledgers '!$B:$B,Drs_Crs!$A245)</f>
        <v>0</v>
      </c>
    </row>
    <row r="246" spans="1:11" ht="13.9" x14ac:dyDescent="0.25">
      <c r="A246" s="125" t="s">
        <v>535</v>
      </c>
      <c r="B246" s="102" t="str">
        <f>VLOOKUP(A246,'List of Ledgers '!B:G,6,0)</f>
        <v>Common</v>
      </c>
      <c r="C246" s="54">
        <f>SUMIFS('List of Ledgers '!I:I,'List of Ledgers '!$E:$E,Drs_Crs!$A$173,'List of Ledgers '!$B:$B,Drs_Crs!$A246)</f>
        <v>0</v>
      </c>
      <c r="D246" s="54">
        <f>SUMIFS('List of Ledgers '!J:J,'List of Ledgers '!$E:$E,Drs_Crs!$A$173,'List of Ledgers '!$B:$B,Drs_Crs!$A246)</f>
        <v>0</v>
      </c>
      <c r="E246" s="54">
        <f>SUMIFS('List of Ledgers '!K:K,'List of Ledgers '!$E:$E,Drs_Crs!$A$173,'List of Ledgers '!$B:$B,Drs_Crs!$A246)</f>
        <v>0</v>
      </c>
      <c r="F246" s="54">
        <f>SUMIFS('List of Ledgers '!L:L,'List of Ledgers '!$E:$E,Drs_Crs!$A$173,'List of Ledgers '!$B:$B,Drs_Crs!$A246)</f>
        <v>0</v>
      </c>
      <c r="H246" s="54">
        <f>SUMIFS('List of Ledgers '!N:N,'List of Ledgers '!$E:$E,Drs_Crs!$A$173,'List of Ledgers '!$B:$B,Drs_Crs!$A246)</f>
        <v>0</v>
      </c>
      <c r="I246" s="54">
        <f>SUMIFS('List of Ledgers '!O:O,'List of Ledgers '!$E:$E,Drs_Crs!$A$173,'List of Ledgers '!$B:$B,Drs_Crs!$A246)</f>
        <v>15505</v>
      </c>
      <c r="J246" s="54">
        <f>SUMIFS('List of Ledgers '!P:P,'List of Ledgers '!$E:$E,Drs_Crs!$A$173,'List of Ledgers '!$B:$B,Drs_Crs!$A246)</f>
        <v>15505</v>
      </c>
      <c r="K246" s="54">
        <f>SUMIFS('List of Ledgers '!Q:Q,'List of Ledgers '!$E:$E,Drs_Crs!$A$173,'List of Ledgers '!$B:$B,Drs_Crs!$A246)</f>
        <v>0</v>
      </c>
    </row>
    <row r="247" spans="1:11" ht="13.9" x14ac:dyDescent="0.25">
      <c r="A247" s="125" t="s">
        <v>545</v>
      </c>
      <c r="B247" s="102" t="str">
        <f>VLOOKUP(A247,'List of Ledgers '!B:G,6,0)</f>
        <v>Common</v>
      </c>
      <c r="C247" s="54">
        <f>SUMIFS('List of Ledgers '!I:I,'List of Ledgers '!$E:$E,Drs_Crs!$A$173,'List of Ledgers '!$B:$B,Drs_Crs!$A247)</f>
        <v>0</v>
      </c>
      <c r="D247" s="54">
        <f>SUMIFS('List of Ledgers '!J:J,'List of Ledgers '!$E:$E,Drs_Crs!$A$173,'List of Ledgers '!$B:$B,Drs_Crs!$A247)</f>
        <v>0</v>
      </c>
      <c r="E247" s="54">
        <f>SUMIFS('List of Ledgers '!K:K,'List of Ledgers '!$E:$E,Drs_Crs!$A$173,'List of Ledgers '!$B:$B,Drs_Crs!$A247)</f>
        <v>0</v>
      </c>
      <c r="F247" s="54">
        <f>SUMIFS('List of Ledgers '!L:L,'List of Ledgers '!$E:$E,Drs_Crs!$A$173,'List of Ledgers '!$B:$B,Drs_Crs!$A247)</f>
        <v>0</v>
      </c>
      <c r="H247" s="54">
        <f>SUMIFS('List of Ledgers '!N:N,'List of Ledgers '!$E:$E,Drs_Crs!$A$173,'List of Ledgers '!$B:$B,Drs_Crs!$A247)</f>
        <v>0</v>
      </c>
      <c r="I247" s="54">
        <f>SUMIFS('List of Ledgers '!O:O,'List of Ledgers '!$E:$E,Drs_Crs!$A$173,'List of Ledgers '!$B:$B,Drs_Crs!$A247)</f>
        <v>0</v>
      </c>
      <c r="J247" s="54">
        <f>SUMIFS('List of Ledgers '!P:P,'List of Ledgers '!$E:$E,Drs_Crs!$A$173,'List of Ledgers '!$B:$B,Drs_Crs!$A247)</f>
        <v>0</v>
      </c>
      <c r="K247" s="54">
        <f>SUMIFS('List of Ledgers '!Q:Q,'List of Ledgers '!$E:$E,Drs_Crs!$A$173,'List of Ledgers '!$B:$B,Drs_Crs!$A247)</f>
        <v>0</v>
      </c>
    </row>
    <row r="248" spans="1:11" ht="13.9" x14ac:dyDescent="0.25">
      <c r="A248" s="125" t="s">
        <v>549</v>
      </c>
      <c r="B248" s="102" t="str">
        <f>VLOOKUP(A248,'List of Ledgers '!B:G,6,0)</f>
        <v>Common</v>
      </c>
      <c r="C248" s="54">
        <f>SUMIFS('List of Ledgers '!I:I,'List of Ledgers '!$E:$E,Drs_Crs!$A$173,'List of Ledgers '!$B:$B,Drs_Crs!$A248)</f>
        <v>0</v>
      </c>
      <c r="D248" s="54">
        <f>SUMIFS('List of Ledgers '!J:J,'List of Ledgers '!$E:$E,Drs_Crs!$A$173,'List of Ledgers '!$B:$B,Drs_Crs!$A248)</f>
        <v>0</v>
      </c>
      <c r="E248" s="54">
        <f>SUMIFS('List of Ledgers '!K:K,'List of Ledgers '!$E:$E,Drs_Crs!$A$173,'List of Ledgers '!$B:$B,Drs_Crs!$A248)</f>
        <v>0</v>
      </c>
      <c r="F248" s="54">
        <f>SUMIFS('List of Ledgers '!L:L,'List of Ledgers '!$E:$E,Drs_Crs!$A$173,'List of Ledgers '!$B:$B,Drs_Crs!$A248)</f>
        <v>0</v>
      </c>
      <c r="H248" s="54">
        <f>SUMIFS('List of Ledgers '!N:N,'List of Ledgers '!$E:$E,Drs_Crs!$A$173,'List of Ledgers '!$B:$B,Drs_Crs!$A248)</f>
        <v>0</v>
      </c>
      <c r="I248" s="54">
        <f>SUMIFS('List of Ledgers '!O:O,'List of Ledgers '!$E:$E,Drs_Crs!$A$173,'List of Ledgers '!$B:$B,Drs_Crs!$A248)</f>
        <v>14637.12</v>
      </c>
      <c r="J248" s="54">
        <f>SUMIFS('List of Ledgers '!P:P,'List of Ledgers '!$E:$E,Drs_Crs!$A$173,'List of Ledgers '!$B:$B,Drs_Crs!$A248)</f>
        <v>14637.12</v>
      </c>
      <c r="K248" s="54">
        <f>SUMIFS('List of Ledgers '!Q:Q,'List of Ledgers '!$E:$E,Drs_Crs!$A$173,'List of Ledgers '!$B:$B,Drs_Crs!$A248)</f>
        <v>0</v>
      </c>
    </row>
    <row r="249" spans="1:11" ht="13.9" x14ac:dyDescent="0.25">
      <c r="A249" s="125" t="s">
        <v>551</v>
      </c>
      <c r="B249" s="102" t="str">
        <f>VLOOKUP(A249,'List of Ledgers '!B:G,6,0)</f>
        <v>IT</v>
      </c>
      <c r="C249" s="54">
        <f>SUMIFS('List of Ledgers '!I:I,'List of Ledgers '!$E:$E,Drs_Crs!$A$173,'List of Ledgers '!$B:$B,Drs_Crs!$A249)</f>
        <v>0</v>
      </c>
      <c r="D249" s="54">
        <f>SUMIFS('List of Ledgers '!J:J,'List of Ledgers '!$E:$E,Drs_Crs!$A$173,'List of Ledgers '!$B:$B,Drs_Crs!$A249)</f>
        <v>0</v>
      </c>
      <c r="E249" s="54">
        <f>SUMIFS('List of Ledgers '!K:K,'List of Ledgers '!$E:$E,Drs_Crs!$A$173,'List of Ledgers '!$B:$B,Drs_Crs!$A249)</f>
        <v>0</v>
      </c>
      <c r="F249" s="54">
        <f>SUMIFS('List of Ledgers '!L:L,'List of Ledgers '!$E:$E,Drs_Crs!$A$173,'List of Ledgers '!$B:$B,Drs_Crs!$A249)</f>
        <v>0</v>
      </c>
      <c r="H249" s="54">
        <f>SUMIFS('List of Ledgers '!N:N,'List of Ledgers '!$E:$E,Drs_Crs!$A$173,'List of Ledgers '!$B:$B,Drs_Crs!$A249)</f>
        <v>0</v>
      </c>
      <c r="I249" s="54">
        <f>SUMIFS('List of Ledgers '!O:O,'List of Ledgers '!$E:$E,Drs_Crs!$A$173,'List of Ledgers '!$B:$B,Drs_Crs!$A249)</f>
        <v>0</v>
      </c>
      <c r="J249" s="54">
        <f>SUMIFS('List of Ledgers '!P:P,'List of Ledgers '!$E:$E,Drs_Crs!$A$173,'List of Ledgers '!$B:$B,Drs_Crs!$A249)</f>
        <v>0</v>
      </c>
      <c r="K249" s="54">
        <f>SUMIFS('List of Ledgers '!Q:Q,'List of Ledgers '!$E:$E,Drs_Crs!$A$173,'List of Ledgers '!$B:$B,Drs_Crs!$A249)</f>
        <v>0</v>
      </c>
    </row>
    <row r="250" spans="1:11" ht="13.9" x14ac:dyDescent="0.25">
      <c r="A250" s="125" t="s">
        <v>552</v>
      </c>
      <c r="B250" s="102" t="str">
        <f>VLOOKUP(A250,'List of Ledgers '!B:G,6,0)</f>
        <v>Common</v>
      </c>
      <c r="C250" s="54">
        <f>SUMIFS('List of Ledgers '!I:I,'List of Ledgers '!$E:$E,Drs_Crs!$A$173,'List of Ledgers '!$B:$B,Drs_Crs!$A250)</f>
        <v>0</v>
      </c>
      <c r="D250" s="54">
        <f>SUMIFS('List of Ledgers '!J:J,'List of Ledgers '!$E:$E,Drs_Crs!$A$173,'List of Ledgers '!$B:$B,Drs_Crs!$A250)</f>
        <v>0</v>
      </c>
      <c r="E250" s="54">
        <f>SUMIFS('List of Ledgers '!K:K,'List of Ledgers '!$E:$E,Drs_Crs!$A$173,'List of Ledgers '!$B:$B,Drs_Crs!$A250)</f>
        <v>0</v>
      </c>
      <c r="F250" s="54">
        <f>SUMIFS('List of Ledgers '!L:L,'List of Ledgers '!$E:$E,Drs_Crs!$A$173,'List of Ledgers '!$B:$B,Drs_Crs!$A250)</f>
        <v>0</v>
      </c>
      <c r="H250" s="54">
        <f>SUMIFS('List of Ledgers '!N:N,'List of Ledgers '!$E:$E,Drs_Crs!$A$173,'List of Ledgers '!$B:$B,Drs_Crs!$A250)</f>
        <v>0</v>
      </c>
      <c r="I250" s="54">
        <f>SUMIFS('List of Ledgers '!O:O,'List of Ledgers '!$E:$E,Drs_Crs!$A$173,'List of Ledgers '!$B:$B,Drs_Crs!$A250)</f>
        <v>31186.03</v>
      </c>
      <c r="J250" s="54">
        <f>SUMIFS('List of Ledgers '!P:P,'List of Ledgers '!$E:$E,Drs_Crs!$A$173,'List of Ledgers '!$B:$B,Drs_Crs!$A250)</f>
        <v>31186.03</v>
      </c>
      <c r="K250" s="54">
        <f>SUMIFS('List of Ledgers '!Q:Q,'List of Ledgers '!$E:$E,Drs_Crs!$A$173,'List of Ledgers '!$B:$B,Drs_Crs!$A250)</f>
        <v>0</v>
      </c>
    </row>
    <row r="251" spans="1:11" ht="13.9" x14ac:dyDescent="0.25">
      <c r="A251" s="125" t="s">
        <v>553</v>
      </c>
      <c r="B251" s="102" t="str">
        <f>VLOOKUP(A251,'List of Ledgers '!B:G,6,0)</f>
        <v>Common</v>
      </c>
      <c r="C251" s="54">
        <f>SUMIFS('List of Ledgers '!I:I,'List of Ledgers '!$E:$E,Drs_Crs!$A$173,'List of Ledgers '!$B:$B,Drs_Crs!$A251)</f>
        <v>0</v>
      </c>
      <c r="D251" s="54">
        <f>SUMIFS('List of Ledgers '!J:J,'List of Ledgers '!$E:$E,Drs_Crs!$A$173,'List of Ledgers '!$B:$B,Drs_Crs!$A251)</f>
        <v>0</v>
      </c>
      <c r="E251" s="54">
        <f>SUMIFS('List of Ledgers '!K:K,'List of Ledgers '!$E:$E,Drs_Crs!$A$173,'List of Ledgers '!$B:$B,Drs_Crs!$A251)</f>
        <v>0</v>
      </c>
      <c r="F251" s="54">
        <f>SUMIFS('List of Ledgers '!L:L,'List of Ledgers '!$E:$E,Drs_Crs!$A$173,'List of Ledgers '!$B:$B,Drs_Crs!$A251)</f>
        <v>0</v>
      </c>
      <c r="H251" s="54">
        <f>SUMIFS('List of Ledgers '!N:N,'List of Ledgers '!$E:$E,Drs_Crs!$A$173,'List of Ledgers '!$B:$B,Drs_Crs!$A251)</f>
        <v>0</v>
      </c>
      <c r="I251" s="54">
        <f>SUMIFS('List of Ledgers '!O:O,'List of Ledgers '!$E:$E,Drs_Crs!$A$173,'List of Ledgers '!$B:$B,Drs_Crs!$A251)</f>
        <v>62386</v>
      </c>
      <c r="J251" s="54">
        <f>SUMIFS('List of Ledgers '!P:P,'List of Ledgers '!$E:$E,Drs_Crs!$A$173,'List of Ledgers '!$B:$B,Drs_Crs!$A251)</f>
        <v>62386</v>
      </c>
      <c r="K251" s="54">
        <f>SUMIFS('List of Ledgers '!Q:Q,'List of Ledgers '!$E:$E,Drs_Crs!$A$173,'List of Ledgers '!$B:$B,Drs_Crs!$A251)</f>
        <v>0</v>
      </c>
    </row>
    <row r="252" spans="1:11" ht="13.9" x14ac:dyDescent="0.25">
      <c r="A252" s="125" t="s">
        <v>556</v>
      </c>
      <c r="B252" s="102" t="str">
        <f>VLOOKUP(A252,'List of Ledgers '!B:G,6,0)</f>
        <v>IT</v>
      </c>
      <c r="C252" s="54">
        <f>SUMIFS('List of Ledgers '!I:I,'List of Ledgers '!$E:$E,Drs_Crs!$A$173,'List of Ledgers '!$B:$B,Drs_Crs!$A252)</f>
        <v>0</v>
      </c>
      <c r="D252" s="54">
        <f>SUMIFS('List of Ledgers '!J:J,'List of Ledgers '!$E:$E,Drs_Crs!$A$173,'List of Ledgers '!$B:$B,Drs_Crs!$A252)</f>
        <v>0</v>
      </c>
      <c r="E252" s="54">
        <f>SUMIFS('List of Ledgers '!K:K,'List of Ledgers '!$E:$E,Drs_Crs!$A$173,'List of Ledgers '!$B:$B,Drs_Crs!$A252)</f>
        <v>0</v>
      </c>
      <c r="F252" s="54">
        <f>SUMIFS('List of Ledgers '!L:L,'List of Ledgers '!$E:$E,Drs_Crs!$A$173,'List of Ledgers '!$B:$B,Drs_Crs!$A252)</f>
        <v>0</v>
      </c>
      <c r="H252" s="54">
        <f>SUMIFS('List of Ledgers '!N:N,'List of Ledgers '!$E:$E,Drs_Crs!$A$173,'List of Ledgers '!$B:$B,Drs_Crs!$A252)</f>
        <v>0</v>
      </c>
      <c r="I252" s="54">
        <f>SUMIFS('List of Ledgers '!O:O,'List of Ledgers '!$E:$E,Drs_Crs!$A$173,'List of Ledgers '!$B:$B,Drs_Crs!$A252)</f>
        <v>318600</v>
      </c>
      <c r="J252" s="54">
        <f>SUMIFS('List of Ledgers '!P:P,'List of Ledgers '!$E:$E,Drs_Crs!$A$173,'List of Ledgers '!$B:$B,Drs_Crs!$A252)</f>
        <v>318600</v>
      </c>
      <c r="K252" s="54">
        <f>SUMIFS('List of Ledgers '!Q:Q,'List of Ledgers '!$E:$E,Drs_Crs!$A$173,'List of Ledgers '!$B:$B,Drs_Crs!$A252)</f>
        <v>0</v>
      </c>
    </row>
    <row r="253" spans="1:11" ht="13.9" x14ac:dyDescent="0.25">
      <c r="A253" s="125" t="s">
        <v>555</v>
      </c>
      <c r="B253" s="102" t="str">
        <f>VLOOKUP(A253,'List of Ledgers '!B:G,6,0)</f>
        <v>IT</v>
      </c>
      <c r="C253" s="54">
        <f>SUMIFS('List of Ledgers '!I:I,'List of Ledgers '!$E:$E,Drs_Crs!$A$173,'List of Ledgers '!$B:$B,Drs_Crs!$A253)</f>
        <v>0</v>
      </c>
      <c r="D253" s="54">
        <f>SUMIFS('List of Ledgers '!J:J,'List of Ledgers '!$E:$E,Drs_Crs!$A$173,'List of Ledgers '!$B:$B,Drs_Crs!$A253)</f>
        <v>0</v>
      </c>
      <c r="E253" s="54">
        <f>SUMIFS('List of Ledgers '!K:K,'List of Ledgers '!$E:$E,Drs_Crs!$A$173,'List of Ledgers '!$B:$B,Drs_Crs!$A253)</f>
        <v>0</v>
      </c>
      <c r="F253" s="54">
        <f>SUMIFS('List of Ledgers '!L:L,'List of Ledgers '!$E:$E,Drs_Crs!$A$173,'List of Ledgers '!$B:$B,Drs_Crs!$A253)</f>
        <v>0</v>
      </c>
      <c r="H253" s="54">
        <f>SUMIFS('List of Ledgers '!N:N,'List of Ledgers '!$E:$E,Drs_Crs!$A$173,'List of Ledgers '!$B:$B,Drs_Crs!$A253)</f>
        <v>-22420</v>
      </c>
      <c r="I253" s="54">
        <f>SUMIFS('List of Ledgers '!O:O,'List of Ledgers '!$E:$E,Drs_Crs!$A$173,'List of Ledgers '!$B:$B,Drs_Crs!$A253)</f>
        <v>22420</v>
      </c>
      <c r="J253" s="54">
        <f>SUMIFS('List of Ledgers '!P:P,'List of Ledgers '!$E:$E,Drs_Crs!$A$173,'List of Ledgers '!$B:$B,Drs_Crs!$A253)</f>
        <v>0</v>
      </c>
      <c r="K253" s="54">
        <f>SUMIFS('List of Ledgers '!Q:Q,'List of Ledgers '!$E:$E,Drs_Crs!$A$173,'List of Ledgers '!$B:$B,Drs_Crs!$A253)</f>
        <v>0</v>
      </c>
    </row>
    <row r="254" spans="1:11" ht="13.9" x14ac:dyDescent="0.25">
      <c r="A254" s="125" t="s">
        <v>560</v>
      </c>
      <c r="B254" s="102" t="str">
        <f>VLOOKUP(A254,'List of Ledgers '!B:G,6,0)</f>
        <v>Common</v>
      </c>
      <c r="C254" s="54">
        <f>SUMIFS('List of Ledgers '!I:I,'List of Ledgers '!$E:$E,Drs_Crs!$A$173,'List of Ledgers '!$B:$B,Drs_Crs!$A254)</f>
        <v>0</v>
      </c>
      <c r="D254" s="54">
        <f>SUMIFS('List of Ledgers '!J:J,'List of Ledgers '!$E:$E,Drs_Crs!$A$173,'List of Ledgers '!$B:$B,Drs_Crs!$A254)</f>
        <v>650</v>
      </c>
      <c r="E254" s="54">
        <f>SUMIFS('List of Ledgers '!K:K,'List of Ledgers '!$E:$E,Drs_Crs!$A$173,'List of Ledgers '!$B:$B,Drs_Crs!$A254)</f>
        <v>650</v>
      </c>
      <c r="F254" s="54">
        <f>SUMIFS('List of Ledgers '!L:L,'List of Ledgers '!$E:$E,Drs_Crs!$A$173,'List of Ledgers '!$B:$B,Drs_Crs!$A254)</f>
        <v>0</v>
      </c>
      <c r="H254" s="54">
        <f>SUMIFS('List of Ledgers '!N:N,'List of Ledgers '!$E:$E,Drs_Crs!$A$173,'List of Ledgers '!$B:$B,Drs_Crs!$A254)</f>
        <v>0</v>
      </c>
      <c r="I254" s="54">
        <f>SUMIFS('List of Ledgers '!O:O,'List of Ledgers '!$E:$E,Drs_Crs!$A$173,'List of Ledgers '!$B:$B,Drs_Crs!$A254)</f>
        <v>7800</v>
      </c>
      <c r="J254" s="54">
        <f>SUMIFS('List of Ledgers '!P:P,'List of Ledgers '!$E:$E,Drs_Crs!$A$173,'List of Ledgers '!$B:$B,Drs_Crs!$A254)</f>
        <v>7800</v>
      </c>
      <c r="K254" s="54">
        <f>SUMIFS('List of Ledgers '!Q:Q,'List of Ledgers '!$E:$E,Drs_Crs!$A$173,'List of Ledgers '!$B:$B,Drs_Crs!$A254)</f>
        <v>0</v>
      </c>
    </row>
    <row r="255" spans="1:11" ht="13.9" x14ac:dyDescent="0.25">
      <c r="A255" s="125" t="s">
        <v>570</v>
      </c>
      <c r="B255" s="102" t="str">
        <f>VLOOKUP(A255,'List of Ledgers '!B:G,6,0)</f>
        <v>IT</v>
      </c>
      <c r="C255" s="54">
        <f>SUMIFS('List of Ledgers '!I:I,'List of Ledgers '!$E:$E,Drs_Crs!$A$173,'List of Ledgers '!$B:$B,Drs_Crs!$A255)</f>
        <v>0</v>
      </c>
      <c r="D255" s="54">
        <f>SUMIFS('List of Ledgers '!J:J,'List of Ledgers '!$E:$E,Drs_Crs!$A$173,'List of Ledgers '!$B:$B,Drs_Crs!$A255)</f>
        <v>0</v>
      </c>
      <c r="E255" s="54">
        <f>SUMIFS('List of Ledgers '!K:K,'List of Ledgers '!$E:$E,Drs_Crs!$A$173,'List of Ledgers '!$B:$B,Drs_Crs!$A255)</f>
        <v>0</v>
      </c>
      <c r="F255" s="54">
        <f>SUMIFS('List of Ledgers '!L:L,'List of Ledgers '!$E:$E,Drs_Crs!$A$173,'List of Ledgers '!$B:$B,Drs_Crs!$A255)</f>
        <v>0</v>
      </c>
      <c r="H255" s="54">
        <f>SUMIFS('List of Ledgers '!N:N,'List of Ledgers '!$E:$E,Drs_Crs!$A$173,'List of Ledgers '!$B:$B,Drs_Crs!$A255)</f>
        <v>0</v>
      </c>
      <c r="I255" s="54">
        <f>SUMIFS('List of Ledgers '!O:O,'List of Ledgers '!$E:$E,Drs_Crs!$A$173,'List of Ledgers '!$B:$B,Drs_Crs!$A255)</f>
        <v>58203</v>
      </c>
      <c r="J255" s="54">
        <f>SUMIFS('List of Ledgers '!P:P,'List of Ledgers '!$E:$E,Drs_Crs!$A$173,'List of Ledgers '!$B:$B,Drs_Crs!$A255)</f>
        <v>58203</v>
      </c>
      <c r="K255" s="54">
        <f>SUMIFS('List of Ledgers '!Q:Q,'List of Ledgers '!$E:$E,Drs_Crs!$A$173,'List of Ledgers '!$B:$B,Drs_Crs!$A255)</f>
        <v>0</v>
      </c>
    </row>
    <row r="256" spans="1:11" s="193" customFormat="1" ht="13.9" x14ac:dyDescent="0.25">
      <c r="A256" s="226" t="s">
        <v>503</v>
      </c>
      <c r="B256" s="227" t="str">
        <f>VLOOKUP(A256,'List of Ledgers '!B:G,6,0)</f>
        <v>Common</v>
      </c>
      <c r="C256" s="228">
        <f>SUMIFS('List of Ledgers '!I:I,'List of Ledgers '!$E:$E,Drs_Crs!$A$173,'List of Ledgers '!$B:$B,Drs_Crs!$A256)</f>
        <v>-50009</v>
      </c>
      <c r="D256" s="228">
        <f>SUMIFS('List of Ledgers '!J:J,'List of Ledgers '!$E:$E,Drs_Crs!$A$173,'List of Ledgers '!$B:$B,Drs_Crs!$A256)</f>
        <v>54640</v>
      </c>
      <c r="E256" s="228">
        <f>SUMIFS('List of Ledgers '!K:K,'List of Ledgers '!$E:$E,Drs_Crs!$A$173,'List of Ledgers '!$B:$B,Drs_Crs!$A256)</f>
        <v>54640</v>
      </c>
      <c r="F256" s="228">
        <f>SUMIFS('List of Ledgers '!L:L,'List of Ledgers '!$E:$E,Drs_Crs!$A$173,'List of Ledgers '!$B:$B,Drs_Crs!$A256)</f>
        <v>-50009</v>
      </c>
      <c r="G256" s="197"/>
      <c r="H256" s="228">
        <f>SUMIFS('List of Ledgers '!N:N,'List of Ledgers '!$E:$E,Drs_Crs!$A$173,'List of Ledgers '!$B:$B,Drs_Crs!$A256)</f>
        <v>-52164</v>
      </c>
      <c r="I256" s="228">
        <f>SUMIFS('List of Ledgers '!O:O,'List of Ledgers '!$E:$E,Drs_Crs!$A$173,'List of Ledgers '!$B:$B,Drs_Crs!$A256)</f>
        <v>632063</v>
      </c>
      <c r="J256" s="228">
        <f>SUMIFS('List of Ledgers '!P:P,'List of Ledgers '!$E:$E,Drs_Crs!$A$173,'List of Ledgers '!$B:$B,Drs_Crs!$A256)</f>
        <v>629908</v>
      </c>
      <c r="K256" s="228">
        <f>SUMIFS('List of Ledgers '!Q:Q,'List of Ledgers '!$E:$E,Drs_Crs!$A$173,'List of Ledgers '!$B:$B,Drs_Crs!$A256)</f>
        <v>-50009</v>
      </c>
    </row>
    <row r="257" spans="1:11" ht="13.9" x14ac:dyDescent="0.25">
      <c r="A257" s="125" t="s">
        <v>587</v>
      </c>
      <c r="B257" s="102" t="str">
        <f>VLOOKUP(A257,'List of Ledgers '!B:G,6,0)</f>
        <v>Common</v>
      </c>
      <c r="C257" s="54">
        <f>SUMIFS('List of Ledgers '!I:I,'List of Ledgers '!$E:$E,Drs_Crs!$A$173,'List of Ledgers '!$B:$B,Drs_Crs!$A257)</f>
        <v>0</v>
      </c>
      <c r="D257" s="54">
        <f>SUMIFS('List of Ledgers '!J:J,'List of Ledgers '!$E:$E,Drs_Crs!$A$173,'List of Ledgers '!$B:$B,Drs_Crs!$A257)</f>
        <v>0</v>
      </c>
      <c r="E257" s="54">
        <f>SUMIFS('List of Ledgers '!K:K,'List of Ledgers '!$E:$E,Drs_Crs!$A$173,'List of Ledgers '!$B:$B,Drs_Crs!$A257)</f>
        <v>0</v>
      </c>
      <c r="F257" s="54">
        <f>SUMIFS('List of Ledgers '!L:L,'List of Ledgers '!$E:$E,Drs_Crs!$A$173,'List of Ledgers '!$B:$B,Drs_Crs!$A257)</f>
        <v>0</v>
      </c>
      <c r="H257" s="54">
        <f>SUMIFS('List of Ledgers '!N:N,'List of Ledgers '!$E:$E,Drs_Crs!$A$173,'List of Ledgers '!$B:$B,Drs_Crs!$A257)</f>
        <v>0</v>
      </c>
      <c r="I257" s="54">
        <f>SUMIFS('List of Ledgers '!O:O,'List of Ledgers '!$E:$E,Drs_Crs!$A$173,'List of Ledgers '!$B:$B,Drs_Crs!$A257)</f>
        <v>0</v>
      </c>
      <c r="J257" s="54">
        <f>SUMIFS('List of Ledgers '!P:P,'List of Ledgers '!$E:$E,Drs_Crs!$A$173,'List of Ledgers '!$B:$B,Drs_Crs!$A257)</f>
        <v>0</v>
      </c>
      <c r="K257" s="54">
        <f>SUMIFS('List of Ledgers '!Q:Q,'List of Ledgers '!$E:$E,Drs_Crs!$A$173,'List of Ledgers '!$B:$B,Drs_Crs!$A257)</f>
        <v>0</v>
      </c>
    </row>
    <row r="258" spans="1:11" ht="13.9" x14ac:dyDescent="0.25">
      <c r="A258" s="125" t="s">
        <v>588</v>
      </c>
      <c r="B258" s="102" t="str">
        <f>VLOOKUP(A258,'List of Ledgers '!B:G,6,0)</f>
        <v>Bluestreak</v>
      </c>
      <c r="C258" s="54">
        <f>SUMIFS('List of Ledgers '!I:I,'List of Ledgers '!$E:$E,Drs_Crs!$A$173,'List of Ledgers '!$B:$B,Drs_Crs!$A258)</f>
        <v>0</v>
      </c>
      <c r="D258" s="54">
        <f>SUMIFS('List of Ledgers '!J:J,'List of Ledgers '!$E:$E,Drs_Crs!$A$173,'List of Ledgers '!$B:$B,Drs_Crs!$A258)</f>
        <v>0</v>
      </c>
      <c r="E258" s="54">
        <f>SUMIFS('List of Ledgers '!K:K,'List of Ledgers '!$E:$E,Drs_Crs!$A$173,'List of Ledgers '!$B:$B,Drs_Crs!$A258)</f>
        <v>0</v>
      </c>
      <c r="F258" s="54">
        <f>SUMIFS('List of Ledgers '!L:L,'List of Ledgers '!$E:$E,Drs_Crs!$A$173,'List of Ledgers '!$B:$B,Drs_Crs!$A258)</f>
        <v>0</v>
      </c>
      <c r="H258" s="54">
        <f>SUMIFS('List of Ledgers '!N:N,'List of Ledgers '!$E:$E,Drs_Crs!$A$173,'List of Ledgers '!$B:$B,Drs_Crs!$A258)</f>
        <v>0</v>
      </c>
      <c r="I258" s="54">
        <f>SUMIFS('List of Ledgers '!O:O,'List of Ledgers '!$E:$E,Drs_Crs!$A$173,'List of Ledgers '!$B:$B,Drs_Crs!$A258)</f>
        <v>32487</v>
      </c>
      <c r="J258" s="54">
        <f>SUMIFS('List of Ledgers '!P:P,'List of Ledgers '!$E:$E,Drs_Crs!$A$173,'List of Ledgers '!$B:$B,Drs_Crs!$A258)</f>
        <v>32487</v>
      </c>
      <c r="K258" s="54">
        <f>SUMIFS('List of Ledgers '!Q:Q,'List of Ledgers '!$E:$E,Drs_Crs!$A$173,'List of Ledgers '!$B:$B,Drs_Crs!$A258)</f>
        <v>0</v>
      </c>
    </row>
    <row r="259" spans="1:11" ht="13.9" x14ac:dyDescent="0.25">
      <c r="A259" s="125" t="s">
        <v>589</v>
      </c>
      <c r="B259" s="102" t="str">
        <f>VLOOKUP(A259,'List of Ledgers '!B:G,6,0)</f>
        <v>Common</v>
      </c>
      <c r="C259" s="54">
        <f>SUMIFS('List of Ledgers '!I:I,'List of Ledgers '!$E:$E,Drs_Crs!$A$173,'List of Ledgers '!$B:$B,Drs_Crs!$A259)</f>
        <v>0</v>
      </c>
      <c r="D259" s="54">
        <f>SUMIFS('List of Ledgers '!J:J,'List of Ledgers '!$E:$E,Drs_Crs!$A$173,'List of Ledgers '!$B:$B,Drs_Crs!$A259)</f>
        <v>0</v>
      </c>
      <c r="E259" s="54">
        <f>SUMIFS('List of Ledgers '!K:K,'List of Ledgers '!$E:$E,Drs_Crs!$A$173,'List of Ledgers '!$B:$B,Drs_Crs!$A259)</f>
        <v>0</v>
      </c>
      <c r="F259" s="54">
        <f>SUMIFS('List of Ledgers '!L:L,'List of Ledgers '!$E:$E,Drs_Crs!$A$173,'List of Ledgers '!$B:$B,Drs_Crs!$A259)</f>
        <v>0</v>
      </c>
      <c r="H259" s="54">
        <f>SUMIFS('List of Ledgers '!N:N,'List of Ledgers '!$E:$E,Drs_Crs!$A$173,'List of Ledgers '!$B:$B,Drs_Crs!$A259)</f>
        <v>0</v>
      </c>
      <c r="I259" s="54">
        <f>SUMIFS('List of Ledgers '!O:O,'List of Ledgers '!$E:$E,Drs_Crs!$A$173,'List of Ledgers '!$B:$B,Drs_Crs!$A259)</f>
        <v>96000</v>
      </c>
      <c r="J259" s="54">
        <f>SUMIFS('List of Ledgers '!P:P,'List of Ledgers '!$E:$E,Drs_Crs!$A$173,'List of Ledgers '!$B:$B,Drs_Crs!$A259)</f>
        <v>96000</v>
      </c>
      <c r="K259" s="54">
        <f>SUMIFS('List of Ledgers '!Q:Q,'List of Ledgers '!$E:$E,Drs_Crs!$A$173,'List of Ledgers '!$B:$B,Drs_Crs!$A259)</f>
        <v>0</v>
      </c>
    </row>
    <row r="260" spans="1:11" ht="13.9" x14ac:dyDescent="0.25">
      <c r="A260" s="125" t="s">
        <v>590</v>
      </c>
      <c r="B260" s="102" t="str">
        <f>VLOOKUP(A260,'List of Ledgers '!B:G,6,0)</f>
        <v>IT</v>
      </c>
      <c r="C260" s="54">
        <f>SUMIFS('List of Ledgers '!I:I,'List of Ledgers '!$E:$E,Drs_Crs!$A$173,'List of Ledgers '!$B:$B,Drs_Crs!$A260)</f>
        <v>0</v>
      </c>
      <c r="D260" s="54">
        <f>SUMIFS('List of Ledgers '!J:J,'List of Ledgers '!$E:$E,Drs_Crs!$A$173,'List of Ledgers '!$B:$B,Drs_Crs!$A260)</f>
        <v>0</v>
      </c>
      <c r="E260" s="54">
        <f>SUMIFS('List of Ledgers '!K:K,'List of Ledgers '!$E:$E,Drs_Crs!$A$173,'List of Ledgers '!$B:$B,Drs_Crs!$A260)</f>
        <v>0</v>
      </c>
      <c r="F260" s="54">
        <f>SUMIFS('List of Ledgers '!L:L,'List of Ledgers '!$E:$E,Drs_Crs!$A$173,'List of Ledgers '!$B:$B,Drs_Crs!$A260)</f>
        <v>0</v>
      </c>
      <c r="H260" s="54">
        <f>SUMIFS('List of Ledgers '!N:N,'List of Ledgers '!$E:$E,Drs_Crs!$A$173,'List of Ledgers '!$B:$B,Drs_Crs!$A260)</f>
        <v>0</v>
      </c>
      <c r="I260" s="54">
        <f>SUMIFS('List of Ledgers '!O:O,'List of Ledgers '!$E:$E,Drs_Crs!$A$173,'List of Ledgers '!$B:$B,Drs_Crs!$A260)</f>
        <v>0</v>
      </c>
      <c r="J260" s="54">
        <f>SUMIFS('List of Ledgers '!P:P,'List of Ledgers '!$E:$E,Drs_Crs!$A$173,'List of Ledgers '!$B:$B,Drs_Crs!$A260)</f>
        <v>0</v>
      </c>
      <c r="K260" s="54">
        <f>SUMIFS('List of Ledgers '!Q:Q,'List of Ledgers '!$E:$E,Drs_Crs!$A$173,'List of Ledgers '!$B:$B,Drs_Crs!$A260)</f>
        <v>0</v>
      </c>
    </row>
    <row r="261" spans="1:11" ht="13.9" x14ac:dyDescent="0.25">
      <c r="A261" s="125" t="s">
        <v>591</v>
      </c>
      <c r="B261" s="102" t="str">
        <f>VLOOKUP(A261,'List of Ledgers '!B:G,6,0)</f>
        <v>Bluestreak</v>
      </c>
      <c r="C261" s="54">
        <f>SUMIFS('List of Ledgers '!I:I,'List of Ledgers '!$E:$E,Drs_Crs!$A$173,'List of Ledgers '!$B:$B,Drs_Crs!$A261)</f>
        <v>0</v>
      </c>
      <c r="D261" s="54">
        <f>SUMIFS('List of Ledgers '!J:J,'List of Ledgers '!$E:$E,Drs_Crs!$A$173,'List of Ledgers '!$B:$B,Drs_Crs!$A261)</f>
        <v>0</v>
      </c>
      <c r="E261" s="54">
        <f>SUMIFS('List of Ledgers '!K:K,'List of Ledgers '!$E:$E,Drs_Crs!$A$173,'List of Ledgers '!$B:$B,Drs_Crs!$A261)</f>
        <v>0</v>
      </c>
      <c r="F261" s="54">
        <f>SUMIFS('List of Ledgers '!L:L,'List of Ledgers '!$E:$E,Drs_Crs!$A$173,'List of Ledgers '!$B:$B,Drs_Crs!$A261)</f>
        <v>0</v>
      </c>
      <c r="H261" s="54">
        <f>SUMIFS('List of Ledgers '!N:N,'List of Ledgers '!$E:$E,Drs_Crs!$A$173,'List of Ledgers '!$B:$B,Drs_Crs!$A261)</f>
        <v>-36736</v>
      </c>
      <c r="I261" s="54">
        <f>SUMIFS('List of Ledgers '!O:O,'List of Ledgers '!$E:$E,Drs_Crs!$A$173,'List of Ledgers '!$B:$B,Drs_Crs!$A261)</f>
        <v>77168</v>
      </c>
      <c r="J261" s="54">
        <f>SUMIFS('List of Ledgers '!P:P,'List of Ledgers '!$E:$E,Drs_Crs!$A$173,'List of Ledgers '!$B:$B,Drs_Crs!$A261)</f>
        <v>40432</v>
      </c>
      <c r="K261" s="54">
        <f>SUMIFS('List of Ledgers '!Q:Q,'List of Ledgers '!$E:$E,Drs_Crs!$A$173,'List of Ledgers '!$B:$B,Drs_Crs!$A261)</f>
        <v>0</v>
      </c>
    </row>
    <row r="262" spans="1:11" ht="13.9" x14ac:dyDescent="0.25">
      <c r="A262" s="125" t="s">
        <v>600</v>
      </c>
      <c r="B262" s="102" t="str">
        <f>VLOOKUP(A262,'List of Ledgers '!B:G,6,0)</f>
        <v>Common</v>
      </c>
      <c r="C262" s="54">
        <f>SUMIFS('List of Ledgers '!I:I,'List of Ledgers '!$E:$E,Drs_Crs!$A$173,'List of Ledgers '!$B:$B,Drs_Crs!$A262)</f>
        <v>0</v>
      </c>
      <c r="D262" s="54">
        <f>SUMIFS('List of Ledgers '!J:J,'List of Ledgers '!$E:$E,Drs_Crs!$A$173,'List of Ledgers '!$B:$B,Drs_Crs!$A262)</f>
        <v>0</v>
      </c>
      <c r="E262" s="54">
        <f>SUMIFS('List of Ledgers '!K:K,'List of Ledgers '!$E:$E,Drs_Crs!$A$173,'List of Ledgers '!$B:$B,Drs_Crs!$A262)</f>
        <v>0</v>
      </c>
      <c r="F262" s="54">
        <f>SUMIFS('List of Ledgers '!L:L,'List of Ledgers '!$E:$E,Drs_Crs!$A$173,'List of Ledgers '!$B:$B,Drs_Crs!$A262)</f>
        <v>0</v>
      </c>
      <c r="H262" s="54">
        <f>SUMIFS('List of Ledgers '!N:N,'List of Ledgers '!$E:$E,Drs_Crs!$A$173,'List of Ledgers '!$B:$B,Drs_Crs!$A262)</f>
        <v>0</v>
      </c>
      <c r="I262" s="54">
        <f>SUMIFS('List of Ledgers '!O:O,'List of Ledgers '!$E:$E,Drs_Crs!$A$173,'List of Ledgers '!$B:$B,Drs_Crs!$A262)</f>
        <v>861</v>
      </c>
      <c r="J262" s="54">
        <f>SUMIFS('List of Ledgers '!P:P,'List of Ledgers '!$E:$E,Drs_Crs!$A$173,'List of Ledgers '!$B:$B,Drs_Crs!$A262)</f>
        <v>861</v>
      </c>
      <c r="K262" s="54">
        <f>SUMIFS('List of Ledgers '!Q:Q,'List of Ledgers '!$E:$E,Drs_Crs!$A$173,'List of Ledgers '!$B:$B,Drs_Crs!$A262)</f>
        <v>0</v>
      </c>
    </row>
    <row r="263" spans="1:11" ht="13.9" x14ac:dyDescent="0.25">
      <c r="A263" s="125" t="s">
        <v>622</v>
      </c>
      <c r="B263" s="102" t="str">
        <f>VLOOKUP(A263,'List of Ledgers '!B:G,6,0)</f>
        <v>IT</v>
      </c>
      <c r="C263" s="54">
        <f>SUMIFS('List of Ledgers '!I:I,'List of Ledgers '!$E:$E,Drs_Crs!$A$173,'List of Ledgers '!$B:$B,Drs_Crs!$A263)</f>
        <v>0</v>
      </c>
      <c r="D263" s="54">
        <f>SUMIFS('List of Ledgers '!J:J,'List of Ledgers '!$E:$E,Drs_Crs!$A$173,'List of Ledgers '!$B:$B,Drs_Crs!$A263)</f>
        <v>0</v>
      </c>
      <c r="E263" s="54">
        <f>SUMIFS('List of Ledgers '!K:K,'List of Ledgers '!$E:$E,Drs_Crs!$A$173,'List of Ledgers '!$B:$B,Drs_Crs!$A263)</f>
        <v>0</v>
      </c>
      <c r="F263" s="54">
        <f>SUMIFS('List of Ledgers '!L:L,'List of Ledgers '!$E:$E,Drs_Crs!$A$173,'List of Ledgers '!$B:$B,Drs_Crs!$A263)</f>
        <v>0</v>
      </c>
      <c r="H263" s="54">
        <f>SUMIFS('List of Ledgers '!N:N,'List of Ledgers '!$E:$E,Drs_Crs!$A$173,'List of Ledgers '!$B:$B,Drs_Crs!$A263)</f>
        <v>0</v>
      </c>
      <c r="I263" s="54">
        <f>SUMIFS('List of Ledgers '!O:O,'List of Ledgers '!$E:$E,Drs_Crs!$A$173,'List of Ledgers '!$B:$B,Drs_Crs!$A263)</f>
        <v>320721</v>
      </c>
      <c r="J263" s="54">
        <f>SUMIFS('List of Ledgers '!P:P,'List of Ledgers '!$E:$E,Drs_Crs!$A$173,'List of Ledgers '!$B:$B,Drs_Crs!$A263)</f>
        <v>320721</v>
      </c>
      <c r="K263" s="54">
        <f>SUMIFS('List of Ledgers '!Q:Q,'List of Ledgers '!$E:$E,Drs_Crs!$A$173,'List of Ledgers '!$B:$B,Drs_Crs!$A263)</f>
        <v>0</v>
      </c>
    </row>
    <row r="264" spans="1:11" ht="13.9" x14ac:dyDescent="0.25">
      <c r="A264" s="125" t="s">
        <v>625</v>
      </c>
      <c r="B264" s="102" t="str">
        <f>VLOOKUP(A264,'List of Ledgers '!B:G,6,0)</f>
        <v>Clarus</v>
      </c>
      <c r="C264" s="54">
        <f>SUMIFS('List of Ledgers '!I:I,'List of Ledgers '!$E:$E,Drs_Crs!$A$173,'List of Ledgers '!$B:$B,Drs_Crs!$A264)</f>
        <v>0</v>
      </c>
      <c r="D264" s="54">
        <f>SUMIFS('List of Ledgers '!J:J,'List of Ledgers '!$E:$E,Drs_Crs!$A$173,'List of Ledgers '!$B:$B,Drs_Crs!$A264)</f>
        <v>0</v>
      </c>
      <c r="E264" s="54">
        <f>SUMIFS('List of Ledgers '!K:K,'List of Ledgers '!$E:$E,Drs_Crs!$A$173,'List of Ledgers '!$B:$B,Drs_Crs!$A264)</f>
        <v>0</v>
      </c>
      <c r="F264" s="54">
        <f>SUMIFS('List of Ledgers '!L:L,'List of Ledgers '!$E:$E,Drs_Crs!$A$173,'List of Ledgers '!$B:$B,Drs_Crs!$A264)</f>
        <v>0</v>
      </c>
      <c r="H264" s="54">
        <f>SUMIFS('List of Ledgers '!N:N,'List of Ledgers '!$E:$E,Drs_Crs!$A$173,'List of Ledgers '!$B:$B,Drs_Crs!$A264)</f>
        <v>0</v>
      </c>
      <c r="I264" s="54">
        <f>SUMIFS('List of Ledgers '!O:O,'List of Ledgers '!$E:$E,Drs_Crs!$A$173,'List of Ledgers '!$B:$B,Drs_Crs!$A264)</f>
        <v>0</v>
      </c>
      <c r="J264" s="54">
        <f>SUMIFS('List of Ledgers '!P:P,'List of Ledgers '!$E:$E,Drs_Crs!$A$173,'List of Ledgers '!$B:$B,Drs_Crs!$A264)</f>
        <v>0</v>
      </c>
      <c r="K264" s="54">
        <f>SUMIFS('List of Ledgers '!Q:Q,'List of Ledgers '!$E:$E,Drs_Crs!$A$173,'List of Ledgers '!$B:$B,Drs_Crs!$A264)</f>
        <v>0</v>
      </c>
    </row>
    <row r="265" spans="1:11" ht="13.9" x14ac:dyDescent="0.25">
      <c r="A265" s="125" t="s">
        <v>626</v>
      </c>
      <c r="B265" s="102" t="str">
        <f>VLOOKUP(A265,'List of Ledgers '!B:G,6,0)</f>
        <v>IT</v>
      </c>
      <c r="C265" s="54">
        <f>SUMIFS('List of Ledgers '!I:I,'List of Ledgers '!$E:$E,Drs_Crs!$A$173,'List of Ledgers '!$B:$B,Drs_Crs!$A265)</f>
        <v>0</v>
      </c>
      <c r="D265" s="54">
        <f>SUMIFS('List of Ledgers '!J:J,'List of Ledgers '!$E:$E,Drs_Crs!$A$173,'List of Ledgers '!$B:$B,Drs_Crs!$A265)</f>
        <v>0</v>
      </c>
      <c r="E265" s="54">
        <f>SUMIFS('List of Ledgers '!K:K,'List of Ledgers '!$E:$E,Drs_Crs!$A$173,'List of Ledgers '!$B:$B,Drs_Crs!$A265)</f>
        <v>0</v>
      </c>
      <c r="F265" s="54">
        <f>SUMIFS('List of Ledgers '!L:L,'List of Ledgers '!$E:$E,Drs_Crs!$A$173,'List of Ledgers '!$B:$B,Drs_Crs!$A265)</f>
        <v>0</v>
      </c>
      <c r="H265" s="54">
        <f>SUMIFS('List of Ledgers '!N:N,'List of Ledgers '!$E:$E,Drs_Crs!$A$173,'List of Ledgers '!$B:$B,Drs_Crs!$A265)</f>
        <v>0</v>
      </c>
      <c r="I265" s="54">
        <f>SUMIFS('List of Ledgers '!O:O,'List of Ledgers '!$E:$E,Drs_Crs!$A$173,'List of Ledgers '!$B:$B,Drs_Crs!$A265)</f>
        <v>0</v>
      </c>
      <c r="J265" s="54">
        <f>SUMIFS('List of Ledgers '!P:P,'List of Ledgers '!$E:$E,Drs_Crs!$A$173,'List of Ledgers '!$B:$B,Drs_Crs!$A265)</f>
        <v>0</v>
      </c>
      <c r="K265" s="54">
        <f>SUMIFS('List of Ledgers '!Q:Q,'List of Ledgers '!$E:$E,Drs_Crs!$A$173,'List of Ledgers '!$B:$B,Drs_Crs!$A265)</f>
        <v>0</v>
      </c>
    </row>
    <row r="266" spans="1:11" ht="13.9" x14ac:dyDescent="0.25">
      <c r="A266" s="125" t="s">
        <v>627</v>
      </c>
      <c r="B266" s="102" t="str">
        <f>VLOOKUP(A266,'List of Ledgers '!B:G,6,0)</f>
        <v>Common</v>
      </c>
      <c r="C266" s="54">
        <f>SUMIFS('List of Ledgers '!I:I,'List of Ledgers '!$E:$E,Drs_Crs!$A$173,'List of Ledgers '!$B:$B,Drs_Crs!$A266)</f>
        <v>0</v>
      </c>
      <c r="D266" s="54">
        <f>SUMIFS('List of Ledgers '!J:J,'List of Ledgers '!$E:$E,Drs_Crs!$A$173,'List of Ledgers '!$B:$B,Drs_Crs!$A266)</f>
        <v>0</v>
      </c>
      <c r="E266" s="54">
        <f>SUMIFS('List of Ledgers '!K:K,'List of Ledgers '!$E:$E,Drs_Crs!$A$173,'List of Ledgers '!$B:$B,Drs_Crs!$A266)</f>
        <v>0</v>
      </c>
      <c r="F266" s="54">
        <f>SUMIFS('List of Ledgers '!L:L,'List of Ledgers '!$E:$E,Drs_Crs!$A$173,'List of Ledgers '!$B:$B,Drs_Crs!$A266)</f>
        <v>0</v>
      </c>
      <c r="H266" s="54">
        <f>SUMIFS('List of Ledgers '!N:N,'List of Ledgers '!$E:$E,Drs_Crs!$A$173,'List of Ledgers '!$B:$B,Drs_Crs!$A266)</f>
        <v>0</v>
      </c>
      <c r="I266" s="54">
        <f>SUMIFS('List of Ledgers '!O:O,'List of Ledgers '!$E:$E,Drs_Crs!$A$173,'List of Ledgers '!$B:$B,Drs_Crs!$A266)</f>
        <v>0</v>
      </c>
      <c r="J266" s="54">
        <f>SUMIFS('List of Ledgers '!P:P,'List of Ledgers '!$E:$E,Drs_Crs!$A$173,'List of Ledgers '!$B:$B,Drs_Crs!$A266)</f>
        <v>0</v>
      </c>
      <c r="K266" s="54">
        <f>SUMIFS('List of Ledgers '!Q:Q,'List of Ledgers '!$E:$E,Drs_Crs!$A$173,'List of Ledgers '!$B:$B,Drs_Crs!$A266)</f>
        <v>0</v>
      </c>
    </row>
    <row r="267" spans="1:11" ht="13.9" x14ac:dyDescent="0.25">
      <c r="A267" s="125" t="s">
        <v>632</v>
      </c>
      <c r="B267" s="102" t="str">
        <f>VLOOKUP(A267,'List of Ledgers '!B:G,6,0)</f>
        <v>Bluestreak</v>
      </c>
      <c r="C267" s="54">
        <f>SUMIFS('List of Ledgers '!I:I,'List of Ledgers '!$E:$E,Drs_Crs!$A$173,'List of Ledgers '!$B:$B,Drs_Crs!$A267)</f>
        <v>-23961</v>
      </c>
      <c r="D267" s="54">
        <f>SUMIFS('List of Ledgers '!J:J,'List of Ledgers '!$E:$E,Drs_Crs!$A$173,'List of Ledgers '!$B:$B,Drs_Crs!$A267)</f>
        <v>0</v>
      </c>
      <c r="E267" s="54">
        <f>SUMIFS('List of Ledgers '!K:K,'List of Ledgers '!$E:$E,Drs_Crs!$A$173,'List of Ledgers '!$B:$B,Drs_Crs!$A267)</f>
        <v>0</v>
      </c>
      <c r="F267" s="54">
        <f>SUMIFS('List of Ledgers '!L:L,'List of Ledgers '!$E:$E,Drs_Crs!$A$173,'List of Ledgers '!$B:$B,Drs_Crs!$A267)</f>
        <v>-23961</v>
      </c>
      <c r="H267" s="54">
        <f>SUMIFS('List of Ledgers '!N:N,'List of Ledgers '!$E:$E,Drs_Crs!$A$173,'List of Ledgers '!$B:$B,Drs_Crs!$A267)</f>
        <v>-23961</v>
      </c>
      <c r="I267" s="54">
        <f>SUMIFS('List of Ledgers '!O:O,'List of Ledgers '!$E:$E,Drs_Crs!$A$173,'List of Ledgers '!$B:$B,Drs_Crs!$A267)</f>
        <v>3865</v>
      </c>
      <c r="J267" s="54">
        <f>SUMIFS('List of Ledgers '!P:P,'List of Ledgers '!$E:$E,Drs_Crs!$A$173,'List of Ledgers '!$B:$B,Drs_Crs!$A267)</f>
        <v>3865</v>
      </c>
      <c r="K267" s="54">
        <f>SUMIFS('List of Ledgers '!Q:Q,'List of Ledgers '!$E:$E,Drs_Crs!$A$173,'List of Ledgers '!$B:$B,Drs_Crs!$A267)</f>
        <v>-23961</v>
      </c>
    </row>
    <row r="268" spans="1:11" ht="13.9" x14ac:dyDescent="0.25">
      <c r="A268" s="125" t="s">
        <v>640</v>
      </c>
      <c r="B268" s="102" t="str">
        <f>VLOOKUP(A268,'List of Ledgers '!B:G,6,0)</f>
        <v>Common</v>
      </c>
      <c r="C268" s="54">
        <f>SUMIFS('List of Ledgers '!I:I,'List of Ledgers '!$E:$E,Drs_Crs!$A$173,'List of Ledgers '!$B:$B,Drs_Crs!$A268)</f>
        <v>0</v>
      </c>
      <c r="D268" s="54">
        <f>SUMIFS('List of Ledgers '!J:J,'List of Ledgers '!$E:$E,Drs_Crs!$A$173,'List of Ledgers '!$B:$B,Drs_Crs!$A268)</f>
        <v>0</v>
      </c>
      <c r="E268" s="54">
        <f>SUMIFS('List of Ledgers '!K:K,'List of Ledgers '!$E:$E,Drs_Crs!$A$173,'List of Ledgers '!$B:$B,Drs_Crs!$A268)</f>
        <v>0</v>
      </c>
      <c r="F268" s="54">
        <f>SUMIFS('List of Ledgers '!L:L,'List of Ledgers '!$E:$E,Drs_Crs!$A$173,'List of Ledgers '!$B:$B,Drs_Crs!$A268)</f>
        <v>0</v>
      </c>
      <c r="H268" s="54">
        <f>SUMIFS('List of Ledgers '!N:N,'List of Ledgers '!$E:$E,Drs_Crs!$A$173,'List of Ledgers '!$B:$B,Drs_Crs!$A268)</f>
        <v>0</v>
      </c>
      <c r="I268" s="54">
        <f>SUMIFS('List of Ledgers '!O:O,'List of Ledgers '!$E:$E,Drs_Crs!$A$173,'List of Ledgers '!$B:$B,Drs_Crs!$A268)</f>
        <v>0</v>
      </c>
      <c r="J268" s="54">
        <f>SUMIFS('List of Ledgers '!P:P,'List of Ledgers '!$E:$E,Drs_Crs!$A$173,'List of Ledgers '!$B:$B,Drs_Crs!$A268)</f>
        <v>0</v>
      </c>
      <c r="K268" s="54">
        <f>SUMIFS('List of Ledgers '!Q:Q,'List of Ledgers '!$E:$E,Drs_Crs!$A$173,'List of Ledgers '!$B:$B,Drs_Crs!$A268)</f>
        <v>0</v>
      </c>
    </row>
    <row r="269" spans="1:11" ht="13.9" x14ac:dyDescent="0.25">
      <c r="A269" s="125" t="s">
        <v>512</v>
      </c>
      <c r="B269" s="102" t="s">
        <v>7</v>
      </c>
      <c r="C269" s="54">
        <f>SUMIFS('List of Ledgers '!I:I,'List of Ledgers '!$E:$E,Drs_Crs!$A$173,'List of Ledgers '!$B:$B,Drs_Crs!$A269)</f>
        <v>93</v>
      </c>
      <c r="D269" s="54">
        <f>SUMIFS('List of Ledgers '!J:J,'List of Ledgers '!$E:$E,Drs_Crs!$A$173,'List of Ledgers '!$B:$B,Drs_Crs!$A269)</f>
        <v>29207</v>
      </c>
      <c r="E269" s="54">
        <f>SUMIFS('List of Ledgers '!K:K,'List of Ledgers '!$E:$E,Drs_Crs!$A$173,'List of Ledgers '!$B:$B,Drs_Crs!$A269)</f>
        <v>29300</v>
      </c>
      <c r="F269" s="54">
        <f>SUMIFS('List of Ledgers '!L:L,'List of Ledgers '!$E:$E,Drs_Crs!$A$173,'List of Ledgers '!$B:$B,Drs_Crs!$A269)</f>
        <v>0</v>
      </c>
      <c r="H269" s="54">
        <f>SUMIFS('List of Ledgers '!N:N,'List of Ledgers '!$E:$E,Drs_Crs!$A$173,'List of Ledgers '!$B:$B,Drs_Crs!$A269)</f>
        <v>16750</v>
      </c>
      <c r="I269" s="54">
        <f>SUMIFS('List of Ledgers '!O:O,'List of Ledgers '!$E:$E,Drs_Crs!$A$173,'List of Ledgers '!$B:$B,Drs_Crs!$A269)</f>
        <v>248193</v>
      </c>
      <c r="J269" s="54">
        <f>SUMIFS('List of Ledgers '!P:P,'List of Ledgers '!$E:$E,Drs_Crs!$A$173,'List of Ledgers '!$B:$B,Drs_Crs!$A269)</f>
        <v>264943</v>
      </c>
      <c r="K269" s="54">
        <f>SUMIFS('List of Ledgers '!Q:Q,'List of Ledgers '!$E:$E,Drs_Crs!$A$173,'List of Ledgers '!$B:$B,Drs_Crs!$A269)</f>
        <v>0</v>
      </c>
    </row>
    <row r="270" spans="1:11" ht="13.9" x14ac:dyDescent="0.25">
      <c r="A270" s="125" t="s">
        <v>642</v>
      </c>
      <c r="B270" s="102" t="str">
        <f>VLOOKUP(A270,'List of Ledgers '!B:G,6,0)</f>
        <v>Common</v>
      </c>
      <c r="C270" s="54">
        <f>SUMIFS('List of Ledgers '!I:I,'List of Ledgers '!$E:$E,Drs_Crs!$A$173,'List of Ledgers '!$B:$B,Drs_Crs!$A270)</f>
        <v>0</v>
      </c>
      <c r="D270" s="54">
        <f>SUMIFS('List of Ledgers '!J:J,'List of Ledgers '!$E:$E,Drs_Crs!$A$173,'List of Ledgers '!$B:$B,Drs_Crs!$A270)</f>
        <v>0</v>
      </c>
      <c r="E270" s="54">
        <f>SUMIFS('List of Ledgers '!K:K,'List of Ledgers '!$E:$E,Drs_Crs!$A$173,'List of Ledgers '!$B:$B,Drs_Crs!$A270)</f>
        <v>0</v>
      </c>
      <c r="F270" s="54">
        <f>SUMIFS('List of Ledgers '!L:L,'List of Ledgers '!$E:$E,Drs_Crs!$A$173,'List of Ledgers '!$B:$B,Drs_Crs!$A270)</f>
        <v>0</v>
      </c>
      <c r="H270" s="54">
        <f>SUMIFS('List of Ledgers '!N:N,'List of Ledgers '!$E:$E,Drs_Crs!$A$173,'List of Ledgers '!$B:$B,Drs_Crs!$A270)</f>
        <v>0</v>
      </c>
      <c r="I270" s="54">
        <f>SUMIFS('List of Ledgers '!O:O,'List of Ledgers '!$E:$E,Drs_Crs!$A$173,'List of Ledgers '!$B:$B,Drs_Crs!$A270)</f>
        <v>9523</v>
      </c>
      <c r="J270" s="54">
        <f>SUMIFS('List of Ledgers '!P:P,'List of Ledgers '!$E:$E,Drs_Crs!$A$173,'List of Ledgers '!$B:$B,Drs_Crs!$A270)</f>
        <v>9523</v>
      </c>
      <c r="K270" s="54">
        <f>SUMIFS('List of Ledgers '!Q:Q,'List of Ledgers '!$E:$E,Drs_Crs!$A$173,'List of Ledgers '!$B:$B,Drs_Crs!$A270)</f>
        <v>0</v>
      </c>
    </row>
    <row r="271" spans="1:11" ht="13.9" x14ac:dyDescent="0.25">
      <c r="A271" s="125" t="s">
        <v>645</v>
      </c>
      <c r="B271" s="102" t="str">
        <f>VLOOKUP(A271,'List of Ledgers '!B:G,6,0)</f>
        <v>Common</v>
      </c>
      <c r="C271" s="54">
        <f>SUMIFS('List of Ledgers '!I:I,'List of Ledgers '!$E:$E,Drs_Crs!$A$173,'List of Ledgers '!$B:$B,Drs_Crs!$A271)</f>
        <v>0</v>
      </c>
      <c r="D271" s="54">
        <f>SUMIFS('List of Ledgers '!J:J,'List of Ledgers '!$E:$E,Drs_Crs!$A$173,'List of Ledgers '!$B:$B,Drs_Crs!$A271)</f>
        <v>0</v>
      </c>
      <c r="E271" s="54">
        <f>SUMIFS('List of Ledgers '!K:K,'List of Ledgers '!$E:$E,Drs_Crs!$A$173,'List of Ledgers '!$B:$B,Drs_Crs!$A271)</f>
        <v>0</v>
      </c>
      <c r="F271" s="54">
        <f>SUMIFS('List of Ledgers '!L:L,'List of Ledgers '!$E:$E,Drs_Crs!$A$173,'List of Ledgers '!$B:$B,Drs_Crs!$A271)</f>
        <v>0</v>
      </c>
      <c r="H271" s="54">
        <f>SUMIFS('List of Ledgers '!N:N,'List of Ledgers '!$E:$E,Drs_Crs!$A$173,'List of Ledgers '!$B:$B,Drs_Crs!$A271)</f>
        <v>0</v>
      </c>
      <c r="I271" s="54">
        <f>SUMIFS('List of Ledgers '!O:O,'List of Ledgers '!$E:$E,Drs_Crs!$A$173,'List of Ledgers '!$B:$B,Drs_Crs!$A271)</f>
        <v>0</v>
      </c>
      <c r="J271" s="54">
        <f>SUMIFS('List of Ledgers '!P:P,'List of Ledgers '!$E:$E,Drs_Crs!$A$173,'List of Ledgers '!$B:$B,Drs_Crs!$A271)</f>
        <v>0</v>
      </c>
      <c r="K271" s="54">
        <f>SUMIFS('List of Ledgers '!Q:Q,'List of Ledgers '!$E:$E,Drs_Crs!$A$173,'List of Ledgers '!$B:$B,Drs_Crs!$A271)</f>
        <v>0</v>
      </c>
    </row>
    <row r="272" spans="1:11" ht="13.9" x14ac:dyDescent="0.25">
      <c r="A272" s="125" t="s">
        <v>586</v>
      </c>
      <c r="B272" s="102" t="str">
        <f>VLOOKUP(A272,'List of Ledgers '!B:G,6,0)</f>
        <v>Common</v>
      </c>
      <c r="C272" s="54">
        <f>SUMIFS('List of Ledgers '!I:I,'List of Ledgers '!$E:$E,Drs_Crs!$A$173,'List of Ledgers '!$B:$B,Drs_Crs!$A272)</f>
        <v>0</v>
      </c>
      <c r="D272" s="54">
        <f>SUMIFS('List of Ledgers '!J:J,'List of Ledgers '!$E:$E,Drs_Crs!$A$173,'List of Ledgers '!$B:$B,Drs_Crs!$A272)</f>
        <v>0</v>
      </c>
      <c r="E272" s="54">
        <f>SUMIFS('List of Ledgers '!K:K,'List of Ledgers '!$E:$E,Drs_Crs!$A$173,'List of Ledgers '!$B:$B,Drs_Crs!$A272)</f>
        <v>0</v>
      </c>
      <c r="F272" s="54">
        <f>SUMIFS('List of Ledgers '!L:L,'List of Ledgers '!$E:$E,Drs_Crs!$A$173,'List of Ledgers '!$B:$B,Drs_Crs!$A272)</f>
        <v>0</v>
      </c>
      <c r="H272" s="54">
        <f>SUMIFS('List of Ledgers '!N:N,'List of Ledgers '!$E:$E,Drs_Crs!$A$173,'List of Ledgers '!$B:$B,Drs_Crs!$A272)</f>
        <v>-538</v>
      </c>
      <c r="I272" s="54">
        <f>SUMIFS('List of Ledgers '!O:O,'List of Ledgers '!$E:$E,Drs_Crs!$A$173,'List of Ledgers '!$B:$B,Drs_Crs!$A272)</f>
        <v>1075.7</v>
      </c>
      <c r="J272" s="54">
        <f>SUMIFS('List of Ledgers '!P:P,'List of Ledgers '!$E:$E,Drs_Crs!$A$173,'List of Ledgers '!$B:$B,Drs_Crs!$A272)</f>
        <v>537.70000000000005</v>
      </c>
      <c r="K272" s="54">
        <f>SUMIFS('List of Ledgers '!Q:Q,'List of Ledgers '!$E:$E,Drs_Crs!$A$173,'List of Ledgers '!$B:$B,Drs_Crs!$A272)</f>
        <v>0</v>
      </c>
    </row>
    <row r="273" spans="1:11" ht="13.9" x14ac:dyDescent="0.25">
      <c r="A273" s="125" t="s">
        <v>650</v>
      </c>
      <c r="B273" s="102" t="str">
        <f>VLOOKUP(A273,'List of Ledgers '!B:G,6,0)</f>
        <v>Common</v>
      </c>
      <c r="C273" s="54">
        <f>SUMIFS('List of Ledgers '!I:I,'List of Ledgers '!$E:$E,Drs_Crs!$A$173,'List of Ledgers '!$B:$B,Drs_Crs!$A273)</f>
        <v>0</v>
      </c>
      <c r="D273" s="54">
        <f>SUMIFS('List of Ledgers '!J:J,'List of Ledgers '!$E:$E,Drs_Crs!$A$173,'List of Ledgers '!$B:$B,Drs_Crs!$A273)</f>
        <v>18510</v>
      </c>
      <c r="E273" s="54">
        <f>SUMIFS('List of Ledgers '!K:K,'List of Ledgers '!$E:$E,Drs_Crs!$A$173,'List of Ledgers '!$B:$B,Drs_Crs!$A273)</f>
        <v>18510</v>
      </c>
      <c r="F273" s="54">
        <f>SUMIFS('List of Ledgers '!L:L,'List of Ledgers '!$E:$E,Drs_Crs!$A$173,'List of Ledgers '!$B:$B,Drs_Crs!$A273)</f>
        <v>0</v>
      </c>
      <c r="H273" s="54">
        <f>SUMIFS('List of Ledgers '!N:N,'List of Ledgers '!$E:$E,Drs_Crs!$A$173,'List of Ledgers '!$B:$B,Drs_Crs!$A273)</f>
        <v>0</v>
      </c>
      <c r="I273" s="54">
        <f>SUMIFS('List of Ledgers '!O:O,'List of Ledgers '!$E:$E,Drs_Crs!$A$173,'List of Ledgers '!$B:$B,Drs_Crs!$A273)</f>
        <v>60190</v>
      </c>
      <c r="J273" s="54">
        <f>SUMIFS('List of Ledgers '!P:P,'List of Ledgers '!$E:$E,Drs_Crs!$A$173,'List of Ledgers '!$B:$B,Drs_Crs!$A273)</f>
        <v>60190</v>
      </c>
      <c r="K273" s="54">
        <f>SUMIFS('List of Ledgers '!Q:Q,'List of Ledgers '!$E:$E,Drs_Crs!$A$173,'List of Ledgers '!$B:$B,Drs_Crs!$A273)</f>
        <v>0</v>
      </c>
    </row>
    <row r="274" spans="1:11" ht="13.9" x14ac:dyDescent="0.25">
      <c r="A274" s="125" t="s">
        <v>651</v>
      </c>
      <c r="B274" s="102" t="str">
        <f>VLOOKUP(A274,'List of Ledgers '!B:G,6,0)</f>
        <v>Common</v>
      </c>
      <c r="C274" s="54">
        <f>SUMIFS('List of Ledgers '!I:I,'List of Ledgers '!$E:$E,Drs_Crs!$A$173,'List of Ledgers '!$B:$B,Drs_Crs!$A274)</f>
        <v>0</v>
      </c>
      <c r="D274" s="54">
        <f>SUMIFS('List of Ledgers '!J:J,'List of Ledgers '!$E:$E,Drs_Crs!$A$173,'List of Ledgers '!$B:$B,Drs_Crs!$A274)</f>
        <v>0</v>
      </c>
      <c r="E274" s="54">
        <f>SUMIFS('List of Ledgers '!K:K,'List of Ledgers '!$E:$E,Drs_Crs!$A$173,'List of Ledgers '!$B:$B,Drs_Crs!$A274)</f>
        <v>0</v>
      </c>
      <c r="F274" s="54">
        <f>SUMIFS('List of Ledgers '!L:L,'List of Ledgers '!$E:$E,Drs_Crs!$A$173,'List of Ledgers '!$B:$B,Drs_Crs!$A274)</f>
        <v>0</v>
      </c>
      <c r="H274" s="54">
        <f>SUMIFS('List of Ledgers '!N:N,'List of Ledgers '!$E:$E,Drs_Crs!$A$173,'List of Ledgers '!$B:$B,Drs_Crs!$A274)</f>
        <v>0</v>
      </c>
      <c r="I274" s="54">
        <f>SUMIFS('List of Ledgers '!O:O,'List of Ledgers '!$E:$E,Drs_Crs!$A$173,'List of Ledgers '!$B:$B,Drs_Crs!$A274)</f>
        <v>0</v>
      </c>
      <c r="J274" s="54">
        <f>SUMIFS('List of Ledgers '!P:P,'List of Ledgers '!$E:$E,Drs_Crs!$A$173,'List of Ledgers '!$B:$B,Drs_Crs!$A274)</f>
        <v>0</v>
      </c>
      <c r="K274" s="54">
        <f>SUMIFS('List of Ledgers '!Q:Q,'List of Ledgers '!$E:$E,Drs_Crs!$A$173,'List of Ledgers '!$B:$B,Drs_Crs!$A274)</f>
        <v>0</v>
      </c>
    </row>
    <row r="275" spans="1:11" ht="13.9" x14ac:dyDescent="0.25">
      <c r="A275" s="125" t="s">
        <v>660</v>
      </c>
      <c r="B275" s="102" t="str">
        <f>VLOOKUP(A275,'List of Ledgers '!B:G,6,0)</f>
        <v>Bluestreak</v>
      </c>
      <c r="C275" s="54">
        <f>SUMIFS('List of Ledgers '!I:I,'List of Ledgers '!$E:$E,Drs_Crs!$A$173,'List of Ledgers '!$B:$B,Drs_Crs!$A275)</f>
        <v>0</v>
      </c>
      <c r="D275" s="54">
        <f>SUMIFS('List of Ledgers '!J:J,'List of Ledgers '!$E:$E,Drs_Crs!$A$173,'List of Ledgers '!$B:$B,Drs_Crs!$A275)</f>
        <v>0</v>
      </c>
      <c r="E275" s="54">
        <f>SUMIFS('List of Ledgers '!K:K,'List of Ledgers '!$E:$E,Drs_Crs!$A$173,'List of Ledgers '!$B:$B,Drs_Crs!$A275)</f>
        <v>0</v>
      </c>
      <c r="F275" s="54">
        <f>SUMIFS('List of Ledgers '!L:L,'List of Ledgers '!$E:$E,Drs_Crs!$A$173,'List of Ledgers '!$B:$B,Drs_Crs!$A275)</f>
        <v>0</v>
      </c>
      <c r="H275" s="54">
        <f>SUMIFS('List of Ledgers '!N:N,'List of Ledgers '!$E:$E,Drs_Crs!$A$173,'List of Ledgers '!$B:$B,Drs_Crs!$A275)</f>
        <v>0</v>
      </c>
      <c r="I275" s="54">
        <f>SUMIFS('List of Ledgers '!O:O,'List of Ledgers '!$E:$E,Drs_Crs!$A$173,'List of Ledgers '!$B:$B,Drs_Crs!$A275)</f>
        <v>0</v>
      </c>
      <c r="J275" s="54">
        <f>SUMIFS('List of Ledgers '!P:P,'List of Ledgers '!$E:$E,Drs_Crs!$A$173,'List of Ledgers '!$B:$B,Drs_Crs!$A275)</f>
        <v>0</v>
      </c>
      <c r="K275" s="54">
        <f>SUMIFS('List of Ledgers '!Q:Q,'List of Ledgers '!$E:$E,Drs_Crs!$A$173,'List of Ledgers '!$B:$B,Drs_Crs!$A275)</f>
        <v>0</v>
      </c>
    </row>
    <row r="276" spans="1:11" ht="13.9" x14ac:dyDescent="0.25">
      <c r="A276" s="125" t="s">
        <v>661</v>
      </c>
      <c r="B276" s="102" t="str">
        <f>VLOOKUP(A276,'List of Ledgers '!B:G,6,0)</f>
        <v>IT</v>
      </c>
      <c r="C276" s="54">
        <f>SUMIFS('List of Ledgers '!I:I,'List of Ledgers '!$E:$E,Drs_Crs!$A$173,'List of Ledgers '!$B:$B,Drs_Crs!$A276)</f>
        <v>21588</v>
      </c>
      <c r="D276" s="54">
        <f>SUMIFS('List of Ledgers '!J:J,'List of Ledgers '!$E:$E,Drs_Crs!$A$173,'List of Ledgers '!$B:$B,Drs_Crs!$A276)</f>
        <v>617630</v>
      </c>
      <c r="E276" s="54">
        <f>SUMIFS('List of Ledgers '!K:K,'List of Ledgers '!$E:$E,Drs_Crs!$A$173,'List of Ledgers '!$B:$B,Drs_Crs!$A276)</f>
        <v>1199284</v>
      </c>
      <c r="F276" s="54">
        <f>SUMIFS('List of Ledgers '!L:L,'List of Ledgers '!$E:$E,Drs_Crs!$A$173,'List of Ledgers '!$B:$B,Drs_Crs!$A276)</f>
        <v>-560066</v>
      </c>
      <c r="H276" s="54">
        <f>SUMIFS('List of Ledgers '!N:N,'List of Ledgers '!$E:$E,Drs_Crs!$A$173,'List of Ledgers '!$B:$B,Drs_Crs!$A276)</f>
        <v>0</v>
      </c>
      <c r="I276" s="54">
        <f>SUMIFS('List of Ledgers '!O:O,'List of Ledgers '!$E:$E,Drs_Crs!$A$173,'List of Ledgers '!$B:$B,Drs_Crs!$A276)</f>
        <v>4092498</v>
      </c>
      <c r="J276" s="54">
        <f>SUMIFS('List of Ledgers '!P:P,'List of Ledgers '!$E:$E,Drs_Crs!$A$173,'List of Ledgers '!$B:$B,Drs_Crs!$A276)</f>
        <v>4652564</v>
      </c>
      <c r="K276" s="54">
        <f>SUMIFS('List of Ledgers '!Q:Q,'List of Ledgers '!$E:$E,Drs_Crs!$A$173,'List of Ledgers '!$B:$B,Drs_Crs!$A276)</f>
        <v>-560066</v>
      </c>
    </row>
    <row r="277" spans="1:11" ht="13.9" x14ac:dyDescent="0.25">
      <c r="A277" s="125" t="s">
        <v>662</v>
      </c>
      <c r="B277" s="102" t="str">
        <f>VLOOKUP(A277,'List of Ledgers '!B:G,6,0)</f>
        <v>Common</v>
      </c>
      <c r="C277" s="54">
        <f>SUMIFS('List of Ledgers '!I:I,'List of Ledgers '!$E:$E,Drs_Crs!$A$173,'List of Ledgers '!$B:$B,Drs_Crs!$A277)</f>
        <v>0</v>
      </c>
      <c r="D277" s="54">
        <f>SUMIFS('List of Ledgers '!J:J,'List of Ledgers '!$E:$E,Drs_Crs!$A$173,'List of Ledgers '!$B:$B,Drs_Crs!$A277)</f>
        <v>0</v>
      </c>
      <c r="E277" s="54">
        <f>SUMIFS('List of Ledgers '!K:K,'List of Ledgers '!$E:$E,Drs_Crs!$A$173,'List of Ledgers '!$B:$B,Drs_Crs!$A277)</f>
        <v>0</v>
      </c>
      <c r="F277" s="54">
        <f>SUMIFS('List of Ledgers '!L:L,'List of Ledgers '!$E:$E,Drs_Crs!$A$173,'List of Ledgers '!$B:$B,Drs_Crs!$A277)</f>
        <v>0</v>
      </c>
      <c r="H277" s="54">
        <f>SUMIFS('List of Ledgers '!N:N,'List of Ledgers '!$E:$E,Drs_Crs!$A$173,'List of Ledgers '!$B:$B,Drs_Crs!$A277)</f>
        <v>-0.08</v>
      </c>
      <c r="I277" s="54">
        <f>SUMIFS('List of Ledgers '!O:O,'List of Ledgers '!$E:$E,Drs_Crs!$A$173,'List of Ledgers '!$B:$B,Drs_Crs!$A277)</f>
        <v>0.08</v>
      </c>
      <c r="J277" s="54">
        <f>SUMIFS('List of Ledgers '!P:P,'List of Ledgers '!$E:$E,Drs_Crs!$A$173,'List of Ledgers '!$B:$B,Drs_Crs!$A277)</f>
        <v>0</v>
      </c>
      <c r="K277" s="54">
        <f>SUMIFS('List of Ledgers '!Q:Q,'List of Ledgers '!$E:$E,Drs_Crs!$A$173,'List of Ledgers '!$B:$B,Drs_Crs!$A277)</f>
        <v>0</v>
      </c>
    </row>
    <row r="278" spans="1:11" ht="13.9" x14ac:dyDescent="0.25">
      <c r="A278" s="125" t="s">
        <v>663</v>
      </c>
      <c r="B278" s="102" t="str">
        <f>VLOOKUP(A278,'List of Ledgers '!B:G,6,0)</f>
        <v>Common</v>
      </c>
      <c r="C278" s="54">
        <f>SUMIFS('List of Ledgers '!I:I,'List of Ledgers '!$E:$E,Drs_Crs!$A$173,'List of Ledgers '!$B:$B,Drs_Crs!$A278)</f>
        <v>0</v>
      </c>
      <c r="D278" s="54">
        <f>SUMIFS('List of Ledgers '!J:J,'List of Ledgers '!$E:$E,Drs_Crs!$A$173,'List of Ledgers '!$B:$B,Drs_Crs!$A278)</f>
        <v>0</v>
      </c>
      <c r="E278" s="54">
        <f>SUMIFS('List of Ledgers '!K:K,'List of Ledgers '!$E:$E,Drs_Crs!$A$173,'List of Ledgers '!$B:$B,Drs_Crs!$A278)</f>
        <v>0</v>
      </c>
      <c r="F278" s="54">
        <f>SUMIFS('List of Ledgers '!L:L,'List of Ledgers '!$E:$E,Drs_Crs!$A$173,'List of Ledgers '!$B:$B,Drs_Crs!$A278)</f>
        <v>0</v>
      </c>
      <c r="H278" s="54">
        <f>SUMIFS('List of Ledgers '!N:N,'List of Ledgers '!$E:$E,Drs_Crs!$A$173,'List of Ledgers '!$B:$B,Drs_Crs!$A278)</f>
        <v>0</v>
      </c>
      <c r="I278" s="54">
        <f>SUMIFS('List of Ledgers '!O:O,'List of Ledgers '!$E:$E,Drs_Crs!$A$173,'List of Ledgers '!$B:$B,Drs_Crs!$A278)</f>
        <v>0</v>
      </c>
      <c r="J278" s="54">
        <f>SUMIFS('List of Ledgers '!P:P,'List of Ledgers '!$E:$E,Drs_Crs!$A$173,'List of Ledgers '!$B:$B,Drs_Crs!$A278)</f>
        <v>0</v>
      </c>
      <c r="K278" s="54">
        <f>SUMIFS('List of Ledgers '!Q:Q,'List of Ledgers '!$E:$E,Drs_Crs!$A$173,'List of Ledgers '!$B:$B,Drs_Crs!$A278)</f>
        <v>0</v>
      </c>
    </row>
    <row r="279" spans="1:11" ht="13.9" x14ac:dyDescent="0.25">
      <c r="A279" s="125" t="s">
        <v>664</v>
      </c>
      <c r="B279" s="102" t="str">
        <f>VLOOKUP(A279,'List of Ledgers '!B:G,6,0)</f>
        <v>IT</v>
      </c>
      <c r="C279" s="54">
        <f>SUMIFS('List of Ledgers '!I:I,'List of Ledgers '!$E:$E,Drs_Crs!$A$173,'List of Ledgers '!$B:$B,Drs_Crs!$A279)</f>
        <v>0</v>
      </c>
      <c r="D279" s="54">
        <f>SUMIFS('List of Ledgers '!J:J,'List of Ledgers '!$E:$E,Drs_Crs!$A$173,'List of Ledgers '!$B:$B,Drs_Crs!$A279)</f>
        <v>0</v>
      </c>
      <c r="E279" s="54">
        <f>SUMIFS('List of Ledgers '!K:K,'List of Ledgers '!$E:$E,Drs_Crs!$A$173,'List of Ledgers '!$B:$B,Drs_Crs!$A279)</f>
        <v>0</v>
      </c>
      <c r="F279" s="54">
        <f>SUMIFS('List of Ledgers '!L:L,'List of Ledgers '!$E:$E,Drs_Crs!$A$173,'List of Ledgers '!$B:$B,Drs_Crs!$A279)</f>
        <v>0</v>
      </c>
      <c r="H279" s="54">
        <f>SUMIFS('List of Ledgers '!N:N,'List of Ledgers '!$E:$E,Drs_Crs!$A$173,'List of Ledgers '!$B:$B,Drs_Crs!$A279)</f>
        <v>0</v>
      </c>
      <c r="I279" s="54">
        <f>SUMIFS('List of Ledgers '!O:O,'List of Ledgers '!$E:$E,Drs_Crs!$A$173,'List of Ledgers '!$B:$B,Drs_Crs!$A279)</f>
        <v>0</v>
      </c>
      <c r="J279" s="54">
        <f>SUMIFS('List of Ledgers '!P:P,'List of Ledgers '!$E:$E,Drs_Crs!$A$173,'List of Ledgers '!$B:$B,Drs_Crs!$A279)</f>
        <v>0</v>
      </c>
      <c r="K279" s="54">
        <f>SUMIFS('List of Ledgers '!Q:Q,'List of Ledgers '!$E:$E,Drs_Crs!$A$173,'List of Ledgers '!$B:$B,Drs_Crs!$A279)</f>
        <v>0</v>
      </c>
    </row>
    <row r="280" spans="1:11" ht="13.9" x14ac:dyDescent="0.25">
      <c r="A280" s="125" t="s">
        <v>674</v>
      </c>
      <c r="B280" s="102" t="str">
        <f>VLOOKUP(A280,'List of Ledgers '!B:G,6,0)</f>
        <v>Common</v>
      </c>
      <c r="C280" s="54">
        <f>SUMIFS('List of Ledgers '!I:I,'List of Ledgers '!$E:$E,Drs_Crs!$A$173,'List of Ledgers '!$B:$B,Drs_Crs!$A280)</f>
        <v>0</v>
      </c>
      <c r="D280" s="54">
        <f>SUMIFS('List of Ledgers '!J:J,'List of Ledgers '!$E:$E,Drs_Crs!$A$173,'List of Ledgers '!$B:$B,Drs_Crs!$A280)</f>
        <v>0</v>
      </c>
      <c r="E280" s="54">
        <f>SUMIFS('List of Ledgers '!K:K,'List of Ledgers '!$E:$E,Drs_Crs!$A$173,'List of Ledgers '!$B:$B,Drs_Crs!$A280)</f>
        <v>0</v>
      </c>
      <c r="F280" s="54">
        <f>SUMIFS('List of Ledgers '!L:L,'List of Ledgers '!$E:$E,Drs_Crs!$A$173,'List of Ledgers '!$B:$B,Drs_Crs!$A280)</f>
        <v>0</v>
      </c>
      <c r="H280" s="54">
        <f>SUMIFS('List of Ledgers '!N:N,'List of Ledgers '!$E:$E,Drs_Crs!$A$173,'List of Ledgers '!$B:$B,Drs_Crs!$A280)</f>
        <v>0</v>
      </c>
      <c r="I280" s="54">
        <f>SUMIFS('List of Ledgers '!O:O,'List of Ledgers '!$E:$E,Drs_Crs!$A$173,'List of Ledgers '!$B:$B,Drs_Crs!$A280)</f>
        <v>0</v>
      </c>
      <c r="J280" s="54">
        <f>SUMIFS('List of Ledgers '!P:P,'List of Ledgers '!$E:$E,Drs_Crs!$A$173,'List of Ledgers '!$B:$B,Drs_Crs!$A280)</f>
        <v>0</v>
      </c>
      <c r="K280" s="54">
        <f>SUMIFS('List of Ledgers '!Q:Q,'List of Ledgers '!$E:$E,Drs_Crs!$A$173,'List of Ledgers '!$B:$B,Drs_Crs!$A280)</f>
        <v>0</v>
      </c>
    </row>
    <row r="281" spans="1:11" ht="13.9" x14ac:dyDescent="0.25">
      <c r="A281" s="125" t="s">
        <v>677</v>
      </c>
      <c r="B281" s="102" t="str">
        <f>VLOOKUP(A281,'List of Ledgers '!B:G,6,0)</f>
        <v>IT</v>
      </c>
      <c r="C281" s="54">
        <f>SUMIFS('List of Ledgers '!I:I,'List of Ledgers '!$E:$E,Drs_Crs!$A$173,'List of Ledgers '!$B:$B,Drs_Crs!$A281)</f>
        <v>0</v>
      </c>
      <c r="D281" s="54">
        <f>SUMIFS('List of Ledgers '!J:J,'List of Ledgers '!$E:$E,Drs_Crs!$A$173,'List of Ledgers '!$B:$B,Drs_Crs!$A281)</f>
        <v>0</v>
      </c>
      <c r="E281" s="54">
        <f>SUMIFS('List of Ledgers '!K:K,'List of Ledgers '!$E:$E,Drs_Crs!$A$173,'List of Ledgers '!$B:$B,Drs_Crs!$A281)</f>
        <v>0</v>
      </c>
      <c r="F281" s="54">
        <f>SUMIFS('List of Ledgers '!L:L,'List of Ledgers '!$E:$E,Drs_Crs!$A$173,'List of Ledgers '!$B:$B,Drs_Crs!$A281)</f>
        <v>0</v>
      </c>
      <c r="H281" s="54">
        <f>SUMIFS('List of Ledgers '!N:N,'List of Ledgers '!$E:$E,Drs_Crs!$A$173,'List of Ledgers '!$B:$B,Drs_Crs!$A281)</f>
        <v>0</v>
      </c>
      <c r="I281" s="54">
        <f>SUMIFS('List of Ledgers '!O:O,'List of Ledgers '!$E:$E,Drs_Crs!$A$173,'List of Ledgers '!$B:$B,Drs_Crs!$A281)</f>
        <v>0</v>
      </c>
      <c r="J281" s="54">
        <f>SUMIFS('List of Ledgers '!P:P,'List of Ledgers '!$E:$E,Drs_Crs!$A$173,'List of Ledgers '!$B:$B,Drs_Crs!$A281)</f>
        <v>0</v>
      </c>
      <c r="K281" s="54">
        <f>SUMIFS('List of Ledgers '!Q:Q,'List of Ledgers '!$E:$E,Drs_Crs!$A$173,'List of Ledgers '!$B:$B,Drs_Crs!$A281)</f>
        <v>0</v>
      </c>
    </row>
    <row r="282" spans="1:11" ht="13.9" x14ac:dyDescent="0.25">
      <c r="A282" s="125" t="s">
        <v>678</v>
      </c>
      <c r="B282" s="102" t="str">
        <f>VLOOKUP(A282,'List of Ledgers '!B:G,6,0)</f>
        <v>Common</v>
      </c>
      <c r="C282" s="54">
        <f>SUMIFS('List of Ledgers '!I:I,'List of Ledgers '!$E:$E,Drs_Crs!$A$173,'List of Ledgers '!$B:$B,Drs_Crs!$A282)</f>
        <v>0</v>
      </c>
      <c r="D282" s="54">
        <f>SUMIFS('List of Ledgers '!J:J,'List of Ledgers '!$E:$E,Drs_Crs!$A$173,'List of Ledgers '!$B:$B,Drs_Crs!$A282)</f>
        <v>0</v>
      </c>
      <c r="E282" s="54">
        <f>SUMIFS('List of Ledgers '!K:K,'List of Ledgers '!$E:$E,Drs_Crs!$A$173,'List of Ledgers '!$B:$B,Drs_Crs!$A282)</f>
        <v>0</v>
      </c>
      <c r="F282" s="54">
        <f>SUMIFS('List of Ledgers '!L:L,'List of Ledgers '!$E:$E,Drs_Crs!$A$173,'List of Ledgers '!$B:$B,Drs_Crs!$A282)</f>
        <v>0</v>
      </c>
      <c r="H282" s="54">
        <f>SUMIFS('List of Ledgers '!N:N,'List of Ledgers '!$E:$E,Drs_Crs!$A$173,'List of Ledgers '!$B:$B,Drs_Crs!$A282)</f>
        <v>0</v>
      </c>
      <c r="I282" s="54">
        <f>SUMIFS('List of Ledgers '!O:O,'List of Ledgers '!$E:$E,Drs_Crs!$A$173,'List of Ledgers '!$B:$B,Drs_Crs!$A282)</f>
        <v>0</v>
      </c>
      <c r="J282" s="54">
        <f>SUMIFS('List of Ledgers '!P:P,'List of Ledgers '!$E:$E,Drs_Crs!$A$173,'List of Ledgers '!$B:$B,Drs_Crs!$A282)</f>
        <v>0</v>
      </c>
      <c r="K282" s="54">
        <f>SUMIFS('List of Ledgers '!Q:Q,'List of Ledgers '!$E:$E,Drs_Crs!$A$173,'List of Ledgers '!$B:$B,Drs_Crs!$A282)</f>
        <v>0</v>
      </c>
    </row>
    <row r="283" spans="1:11" ht="13.9" x14ac:dyDescent="0.25">
      <c r="A283" s="125" t="s">
        <v>692</v>
      </c>
      <c r="B283" s="102" t="str">
        <f>VLOOKUP(A283,'List of Ledgers '!B:G,6,0)</f>
        <v>IT</v>
      </c>
      <c r="C283" s="54">
        <f>SUMIFS('List of Ledgers '!I:I,'List of Ledgers '!$E:$E,Drs_Crs!$A$173,'List of Ledgers '!$B:$B,Drs_Crs!$A283)</f>
        <v>0</v>
      </c>
      <c r="D283" s="54">
        <f>SUMIFS('List of Ledgers '!J:J,'List of Ledgers '!$E:$E,Drs_Crs!$A$173,'List of Ledgers '!$B:$B,Drs_Crs!$A283)</f>
        <v>2360</v>
      </c>
      <c r="E283" s="54">
        <f>SUMIFS('List of Ledgers '!K:K,'List of Ledgers '!$E:$E,Drs_Crs!$A$173,'List of Ledgers '!$B:$B,Drs_Crs!$A283)</f>
        <v>4720</v>
      </c>
      <c r="F283" s="54">
        <f>SUMIFS('List of Ledgers '!L:L,'List of Ledgers '!$E:$E,Drs_Crs!$A$173,'List of Ledgers '!$B:$B,Drs_Crs!$A283)</f>
        <v>-2360</v>
      </c>
      <c r="H283" s="54">
        <f>SUMIFS('List of Ledgers '!N:N,'List of Ledgers '!$E:$E,Drs_Crs!$A$173,'List of Ledgers '!$B:$B,Drs_Crs!$A283)</f>
        <v>0</v>
      </c>
      <c r="I283" s="54">
        <f>SUMIFS('List of Ledgers '!O:O,'List of Ledgers '!$E:$E,Drs_Crs!$A$173,'List of Ledgers '!$B:$B,Drs_Crs!$A283)</f>
        <v>47200</v>
      </c>
      <c r="J283" s="54">
        <f>SUMIFS('List of Ledgers '!P:P,'List of Ledgers '!$E:$E,Drs_Crs!$A$173,'List of Ledgers '!$B:$B,Drs_Crs!$A283)</f>
        <v>49560</v>
      </c>
      <c r="K283" s="54">
        <f>SUMIFS('List of Ledgers '!Q:Q,'List of Ledgers '!$E:$E,Drs_Crs!$A$173,'List of Ledgers '!$B:$B,Drs_Crs!$A283)</f>
        <v>-2360</v>
      </c>
    </row>
    <row r="284" spans="1:11" ht="13.9" x14ac:dyDescent="0.25">
      <c r="A284" s="125" t="s">
        <v>694</v>
      </c>
      <c r="B284" s="102" t="str">
        <f>VLOOKUP(A284,'List of Ledgers '!B:G,6,0)</f>
        <v>Bluestreak</v>
      </c>
      <c r="C284" s="54">
        <f>SUMIFS('List of Ledgers '!I:I,'List of Ledgers '!$E:$E,Drs_Crs!$A$173,'List of Ledgers '!$B:$B,Drs_Crs!$A284)</f>
        <v>0</v>
      </c>
      <c r="D284" s="54">
        <f>SUMIFS('List of Ledgers '!J:J,'List of Ledgers '!$E:$E,Drs_Crs!$A$173,'List of Ledgers '!$B:$B,Drs_Crs!$A284)</f>
        <v>0</v>
      </c>
      <c r="E284" s="54">
        <f>SUMIFS('List of Ledgers '!K:K,'List of Ledgers '!$E:$E,Drs_Crs!$A$173,'List of Ledgers '!$B:$B,Drs_Crs!$A284)</f>
        <v>0</v>
      </c>
      <c r="F284" s="54">
        <f>SUMIFS('List of Ledgers '!L:L,'List of Ledgers '!$E:$E,Drs_Crs!$A$173,'List of Ledgers '!$B:$B,Drs_Crs!$A284)</f>
        <v>0</v>
      </c>
      <c r="H284" s="54">
        <f>SUMIFS('List of Ledgers '!N:N,'List of Ledgers '!$E:$E,Drs_Crs!$A$173,'List of Ledgers '!$B:$B,Drs_Crs!$A284)</f>
        <v>-164407</v>
      </c>
      <c r="I284" s="54">
        <f>SUMIFS('List of Ledgers '!O:O,'List of Ledgers '!$E:$E,Drs_Crs!$A$173,'List of Ledgers '!$B:$B,Drs_Crs!$A284)</f>
        <v>551166</v>
      </c>
      <c r="J284" s="54">
        <f>SUMIFS('List of Ledgers '!P:P,'List of Ledgers '!$E:$E,Drs_Crs!$A$173,'List of Ledgers '!$B:$B,Drs_Crs!$A284)</f>
        <v>386759</v>
      </c>
      <c r="K284" s="54">
        <f>SUMIFS('List of Ledgers '!Q:Q,'List of Ledgers '!$E:$E,Drs_Crs!$A$173,'List of Ledgers '!$B:$B,Drs_Crs!$A284)</f>
        <v>0</v>
      </c>
    </row>
    <row r="285" spans="1:11" ht="13.9" x14ac:dyDescent="0.25">
      <c r="A285" s="125" t="s">
        <v>700</v>
      </c>
      <c r="B285" s="102" t="str">
        <f>VLOOKUP(A285,'List of Ledgers '!B:G,6,0)</f>
        <v>Bluestreak</v>
      </c>
      <c r="C285" s="54">
        <f>SUMIFS('List of Ledgers '!I:I,'List of Ledgers '!$E:$E,Drs_Crs!$A$173,'List of Ledgers '!$B:$B,Drs_Crs!$A285)</f>
        <v>0</v>
      </c>
      <c r="D285" s="54">
        <f>SUMIFS('List of Ledgers '!J:J,'List of Ledgers '!$E:$E,Drs_Crs!$A$173,'List of Ledgers '!$B:$B,Drs_Crs!$A285)</f>
        <v>0</v>
      </c>
      <c r="E285" s="54">
        <f>SUMIFS('List of Ledgers '!K:K,'List of Ledgers '!$E:$E,Drs_Crs!$A$173,'List of Ledgers '!$B:$B,Drs_Crs!$A285)</f>
        <v>0</v>
      </c>
      <c r="F285" s="54">
        <f>SUMIFS('List of Ledgers '!L:L,'List of Ledgers '!$E:$E,Drs_Crs!$A$173,'List of Ledgers '!$B:$B,Drs_Crs!$A285)</f>
        <v>0</v>
      </c>
      <c r="H285" s="54">
        <f>SUMIFS('List of Ledgers '!N:N,'List of Ledgers '!$E:$E,Drs_Crs!$A$173,'List of Ledgers '!$B:$B,Drs_Crs!$A285)</f>
        <v>-115487.2</v>
      </c>
      <c r="I285" s="54">
        <f>SUMIFS('List of Ledgers '!O:O,'List of Ledgers '!$E:$E,Drs_Crs!$A$173,'List of Ledgers '!$B:$B,Drs_Crs!$A285)</f>
        <v>115487.2</v>
      </c>
      <c r="J285" s="54">
        <f>SUMIFS('List of Ledgers '!P:P,'List of Ledgers '!$E:$E,Drs_Crs!$A$173,'List of Ledgers '!$B:$B,Drs_Crs!$A285)</f>
        <v>0</v>
      </c>
      <c r="K285" s="54">
        <f>SUMIFS('List of Ledgers '!Q:Q,'List of Ledgers '!$E:$E,Drs_Crs!$A$173,'List of Ledgers '!$B:$B,Drs_Crs!$A285)</f>
        <v>0</v>
      </c>
    </row>
    <row r="286" spans="1:11" ht="13.9" x14ac:dyDescent="0.25">
      <c r="A286" s="125" t="s">
        <v>702</v>
      </c>
      <c r="B286" s="102" t="str">
        <f>VLOOKUP(A286,'List of Ledgers '!B:G,6,0)</f>
        <v>Clarus</v>
      </c>
      <c r="C286" s="54">
        <f>SUMIFS('List of Ledgers '!I:I,'List of Ledgers '!$E:$E,Drs_Crs!$A$173,'List of Ledgers '!$B:$B,Drs_Crs!$A286)</f>
        <v>0</v>
      </c>
      <c r="D286" s="54">
        <f>SUMIFS('List of Ledgers '!J:J,'List of Ledgers '!$E:$E,Drs_Crs!$A$173,'List of Ledgers '!$B:$B,Drs_Crs!$A286)</f>
        <v>0</v>
      </c>
      <c r="E286" s="54">
        <f>SUMIFS('List of Ledgers '!K:K,'List of Ledgers '!$E:$E,Drs_Crs!$A$173,'List of Ledgers '!$B:$B,Drs_Crs!$A286)</f>
        <v>0</v>
      </c>
      <c r="F286" s="54">
        <f>SUMIFS('List of Ledgers '!L:L,'List of Ledgers '!$E:$E,Drs_Crs!$A$173,'List of Ledgers '!$B:$B,Drs_Crs!$A286)</f>
        <v>0</v>
      </c>
      <c r="H286" s="54">
        <f>SUMIFS('List of Ledgers '!N:N,'List of Ledgers '!$E:$E,Drs_Crs!$A$173,'List of Ledgers '!$B:$B,Drs_Crs!$A286)</f>
        <v>-2124</v>
      </c>
      <c r="I286" s="54">
        <f>SUMIFS('List of Ledgers '!O:O,'List of Ledgers '!$E:$E,Drs_Crs!$A$173,'List of Ledgers '!$B:$B,Drs_Crs!$A286)</f>
        <v>2124</v>
      </c>
      <c r="J286" s="54">
        <f>SUMIFS('List of Ledgers '!P:P,'List of Ledgers '!$E:$E,Drs_Crs!$A$173,'List of Ledgers '!$B:$B,Drs_Crs!$A286)</f>
        <v>0</v>
      </c>
      <c r="K286" s="54">
        <f>SUMIFS('List of Ledgers '!Q:Q,'List of Ledgers '!$E:$E,Drs_Crs!$A$173,'List of Ledgers '!$B:$B,Drs_Crs!$A286)</f>
        <v>0</v>
      </c>
    </row>
    <row r="287" spans="1:11" ht="13.9" x14ac:dyDescent="0.25">
      <c r="A287" s="125" t="s">
        <v>734</v>
      </c>
      <c r="B287" s="102" t="str">
        <f>VLOOKUP(A287,'List of Ledgers '!B:G,6,0)</f>
        <v>Common</v>
      </c>
      <c r="C287" s="54">
        <f>SUMIFS('List of Ledgers '!I:I,'List of Ledgers '!$E:$E,Drs_Crs!$A$173,'List of Ledgers '!$B:$B,Drs_Crs!$A287)</f>
        <v>0</v>
      </c>
      <c r="D287" s="54">
        <f>SUMIFS('List of Ledgers '!J:J,'List of Ledgers '!$E:$E,Drs_Crs!$A$173,'List of Ledgers '!$B:$B,Drs_Crs!$A287)</f>
        <v>0</v>
      </c>
      <c r="E287" s="54">
        <f>SUMIFS('List of Ledgers '!K:K,'List of Ledgers '!$E:$E,Drs_Crs!$A$173,'List of Ledgers '!$B:$B,Drs_Crs!$A287)</f>
        <v>0</v>
      </c>
      <c r="F287" s="54">
        <f>SUMIFS('List of Ledgers '!L:L,'List of Ledgers '!$E:$E,Drs_Crs!$A$173,'List of Ledgers '!$B:$B,Drs_Crs!$A287)</f>
        <v>0</v>
      </c>
      <c r="H287" s="54">
        <f>SUMIFS('List of Ledgers '!N:N,'List of Ledgers '!$E:$E,Drs_Crs!$A$173,'List of Ledgers '!$B:$B,Drs_Crs!$A287)</f>
        <v>0</v>
      </c>
      <c r="I287" s="54">
        <f>SUMIFS('List of Ledgers '!O:O,'List of Ledgers '!$E:$E,Drs_Crs!$A$173,'List of Ledgers '!$B:$B,Drs_Crs!$A287)</f>
        <v>38232</v>
      </c>
      <c r="J287" s="54">
        <f>SUMIFS('List of Ledgers '!P:P,'List of Ledgers '!$E:$E,Drs_Crs!$A$173,'List of Ledgers '!$B:$B,Drs_Crs!$A287)</f>
        <v>38232</v>
      </c>
      <c r="K287" s="54">
        <f>SUMIFS('List of Ledgers '!Q:Q,'List of Ledgers '!$E:$E,Drs_Crs!$A$173,'List of Ledgers '!$B:$B,Drs_Crs!$A287)</f>
        <v>0</v>
      </c>
    </row>
    <row r="288" spans="1:11" ht="13.9" x14ac:dyDescent="0.25">
      <c r="A288" s="125" t="s">
        <v>735</v>
      </c>
      <c r="B288" s="102" t="str">
        <f>VLOOKUP(A288,'List of Ledgers '!B:G,6,0)</f>
        <v>Common</v>
      </c>
      <c r="C288" s="54">
        <f>SUMIFS('List of Ledgers '!I:I,'List of Ledgers '!$E:$E,Drs_Crs!$A$173,'List of Ledgers '!$B:$B,Drs_Crs!$A288)</f>
        <v>0</v>
      </c>
      <c r="D288" s="54">
        <f>SUMIFS('List of Ledgers '!J:J,'List of Ledgers '!$E:$E,Drs_Crs!$A$173,'List of Ledgers '!$B:$B,Drs_Crs!$A288)</f>
        <v>0</v>
      </c>
      <c r="E288" s="54">
        <f>SUMIFS('List of Ledgers '!K:K,'List of Ledgers '!$E:$E,Drs_Crs!$A$173,'List of Ledgers '!$B:$B,Drs_Crs!$A288)</f>
        <v>0</v>
      </c>
      <c r="F288" s="54">
        <f>SUMIFS('List of Ledgers '!L:L,'List of Ledgers '!$E:$E,Drs_Crs!$A$173,'List of Ledgers '!$B:$B,Drs_Crs!$A288)</f>
        <v>0</v>
      </c>
      <c r="H288" s="54">
        <f>SUMIFS('List of Ledgers '!N:N,'List of Ledgers '!$E:$E,Drs_Crs!$A$173,'List of Ledgers '!$B:$B,Drs_Crs!$A288)</f>
        <v>0</v>
      </c>
      <c r="I288" s="54">
        <f>SUMIFS('List of Ledgers '!O:O,'List of Ledgers '!$E:$E,Drs_Crs!$A$173,'List of Ledgers '!$B:$B,Drs_Crs!$A288)</f>
        <v>0</v>
      </c>
      <c r="J288" s="54">
        <f>SUMIFS('List of Ledgers '!P:P,'List of Ledgers '!$E:$E,Drs_Crs!$A$173,'List of Ledgers '!$B:$B,Drs_Crs!$A288)</f>
        <v>0</v>
      </c>
      <c r="K288" s="54">
        <f>SUMIFS('List of Ledgers '!Q:Q,'List of Ledgers '!$E:$E,Drs_Crs!$A$173,'List of Ledgers '!$B:$B,Drs_Crs!$A288)</f>
        <v>0</v>
      </c>
    </row>
    <row r="289" spans="1:11" ht="13.9" x14ac:dyDescent="0.25">
      <c r="A289" s="125" t="s">
        <v>736</v>
      </c>
      <c r="B289" s="102" t="str">
        <f>VLOOKUP(A289,'List of Ledgers '!B:G,6,0)</f>
        <v>Common</v>
      </c>
      <c r="C289" s="54">
        <f>SUMIFS('List of Ledgers '!I:I,'List of Ledgers '!$E:$E,Drs_Crs!$A$173,'List of Ledgers '!$B:$B,Drs_Crs!$A289)</f>
        <v>0</v>
      </c>
      <c r="D289" s="54">
        <f>SUMIFS('List of Ledgers '!J:J,'List of Ledgers '!$E:$E,Drs_Crs!$A$173,'List of Ledgers '!$B:$B,Drs_Crs!$A289)</f>
        <v>0</v>
      </c>
      <c r="E289" s="54">
        <f>SUMIFS('List of Ledgers '!K:K,'List of Ledgers '!$E:$E,Drs_Crs!$A$173,'List of Ledgers '!$B:$B,Drs_Crs!$A289)</f>
        <v>0</v>
      </c>
      <c r="F289" s="54">
        <f>SUMIFS('List of Ledgers '!L:L,'List of Ledgers '!$E:$E,Drs_Crs!$A$173,'List of Ledgers '!$B:$B,Drs_Crs!$A289)</f>
        <v>0</v>
      </c>
      <c r="H289" s="54">
        <f>SUMIFS('List of Ledgers '!N:N,'List of Ledgers '!$E:$E,Drs_Crs!$A$173,'List of Ledgers '!$B:$B,Drs_Crs!$A289)</f>
        <v>0</v>
      </c>
      <c r="I289" s="54">
        <f>SUMIFS('List of Ledgers '!O:O,'List of Ledgers '!$E:$E,Drs_Crs!$A$173,'List of Ledgers '!$B:$B,Drs_Crs!$A289)</f>
        <v>0</v>
      </c>
      <c r="J289" s="54">
        <f>SUMIFS('List of Ledgers '!P:P,'List of Ledgers '!$E:$E,Drs_Crs!$A$173,'List of Ledgers '!$B:$B,Drs_Crs!$A289)</f>
        <v>0</v>
      </c>
      <c r="K289" s="54">
        <f>SUMIFS('List of Ledgers '!Q:Q,'List of Ledgers '!$E:$E,Drs_Crs!$A$173,'List of Ledgers '!$B:$B,Drs_Crs!$A289)</f>
        <v>0</v>
      </c>
    </row>
    <row r="290" spans="1:11" ht="13.9" x14ac:dyDescent="0.25">
      <c r="A290" s="125" t="s">
        <v>738</v>
      </c>
      <c r="B290" s="102" t="str">
        <f>VLOOKUP(A290,'List of Ledgers '!B:G,6,0)</f>
        <v>Common</v>
      </c>
      <c r="C290" s="54">
        <f>SUMIFS('List of Ledgers '!I:I,'List of Ledgers '!$E:$E,Drs_Crs!$A$173,'List of Ledgers '!$B:$B,Drs_Crs!$A290)</f>
        <v>0</v>
      </c>
      <c r="D290" s="54">
        <f>SUMIFS('List of Ledgers '!J:J,'List of Ledgers '!$E:$E,Drs_Crs!$A$173,'List of Ledgers '!$B:$B,Drs_Crs!$A290)</f>
        <v>0</v>
      </c>
      <c r="E290" s="54">
        <f>SUMIFS('List of Ledgers '!K:K,'List of Ledgers '!$E:$E,Drs_Crs!$A$173,'List of Ledgers '!$B:$B,Drs_Crs!$A290)</f>
        <v>0</v>
      </c>
      <c r="F290" s="54">
        <f>SUMIFS('List of Ledgers '!L:L,'List of Ledgers '!$E:$E,Drs_Crs!$A$173,'List of Ledgers '!$B:$B,Drs_Crs!$A290)</f>
        <v>0</v>
      </c>
      <c r="H290" s="54">
        <f>SUMIFS('List of Ledgers '!N:N,'List of Ledgers '!$E:$E,Drs_Crs!$A$173,'List of Ledgers '!$B:$B,Drs_Crs!$A290)</f>
        <v>0</v>
      </c>
      <c r="I290" s="54">
        <f>SUMIFS('List of Ledgers '!O:O,'List of Ledgers '!$E:$E,Drs_Crs!$A$173,'List of Ledgers '!$B:$B,Drs_Crs!$A290)</f>
        <v>0</v>
      </c>
      <c r="J290" s="54">
        <f>SUMIFS('List of Ledgers '!P:P,'List of Ledgers '!$E:$E,Drs_Crs!$A$173,'List of Ledgers '!$B:$B,Drs_Crs!$A290)</f>
        <v>0</v>
      </c>
      <c r="K290" s="54">
        <f>SUMIFS('List of Ledgers '!Q:Q,'List of Ledgers '!$E:$E,Drs_Crs!$A$173,'List of Ledgers '!$B:$B,Drs_Crs!$A290)</f>
        <v>0</v>
      </c>
    </row>
    <row r="291" spans="1:11" ht="13.9" x14ac:dyDescent="0.25">
      <c r="A291" s="125" t="s">
        <v>740</v>
      </c>
      <c r="B291" s="102" t="str">
        <f>VLOOKUP(A291,'List of Ledgers '!B:G,6,0)</f>
        <v>Common</v>
      </c>
      <c r="C291" s="54">
        <f>SUMIFS('List of Ledgers '!I:I,'List of Ledgers '!$E:$E,Drs_Crs!$A$173,'List of Ledgers '!$B:$B,Drs_Crs!$A291)</f>
        <v>0</v>
      </c>
      <c r="D291" s="54">
        <f>SUMIFS('List of Ledgers '!J:J,'List of Ledgers '!$E:$E,Drs_Crs!$A$173,'List of Ledgers '!$B:$B,Drs_Crs!$A291)</f>
        <v>0</v>
      </c>
      <c r="E291" s="54">
        <f>SUMIFS('List of Ledgers '!K:K,'List of Ledgers '!$E:$E,Drs_Crs!$A$173,'List of Ledgers '!$B:$B,Drs_Crs!$A291)</f>
        <v>0</v>
      </c>
      <c r="F291" s="54">
        <f>SUMIFS('List of Ledgers '!L:L,'List of Ledgers '!$E:$E,Drs_Crs!$A$173,'List of Ledgers '!$B:$B,Drs_Crs!$A291)</f>
        <v>0</v>
      </c>
      <c r="H291" s="54">
        <f>SUMIFS('List of Ledgers '!N:N,'List of Ledgers '!$E:$E,Drs_Crs!$A$173,'List of Ledgers '!$B:$B,Drs_Crs!$A291)</f>
        <v>0</v>
      </c>
      <c r="I291" s="54">
        <f>SUMIFS('List of Ledgers '!O:O,'List of Ledgers '!$E:$E,Drs_Crs!$A$173,'List of Ledgers '!$B:$B,Drs_Crs!$A291)</f>
        <v>0</v>
      </c>
      <c r="J291" s="54">
        <f>SUMIFS('List of Ledgers '!P:P,'List of Ledgers '!$E:$E,Drs_Crs!$A$173,'List of Ledgers '!$B:$B,Drs_Crs!$A291)</f>
        <v>0</v>
      </c>
      <c r="K291" s="54">
        <f>SUMIFS('List of Ledgers '!Q:Q,'List of Ledgers '!$E:$E,Drs_Crs!$A$173,'List of Ledgers '!$B:$B,Drs_Crs!$A291)</f>
        <v>0</v>
      </c>
    </row>
    <row r="292" spans="1:11" ht="13.9" x14ac:dyDescent="0.25">
      <c r="A292" s="125" t="s">
        <v>744</v>
      </c>
      <c r="B292" s="102" t="str">
        <f>VLOOKUP(A292,'List of Ledgers '!B:G,6,0)</f>
        <v>Common</v>
      </c>
      <c r="C292" s="54">
        <f>SUMIFS('List of Ledgers '!I:I,'List of Ledgers '!$E:$E,Drs_Crs!$A$173,'List of Ledgers '!$B:$B,Drs_Crs!$A292)</f>
        <v>-43120</v>
      </c>
      <c r="D292" s="54">
        <f>SUMIFS('List of Ledgers '!J:J,'List of Ledgers '!$E:$E,Drs_Crs!$A$173,'List of Ledgers '!$B:$B,Drs_Crs!$A292)</f>
        <v>43120</v>
      </c>
      <c r="E292" s="54">
        <f>SUMIFS('List of Ledgers '!K:K,'List of Ledgers '!$E:$E,Drs_Crs!$A$173,'List of Ledgers '!$B:$B,Drs_Crs!$A292)</f>
        <v>0</v>
      </c>
      <c r="F292" s="54">
        <f>SUMIFS('List of Ledgers '!L:L,'List of Ledgers '!$E:$E,Drs_Crs!$A$173,'List of Ledgers '!$B:$B,Drs_Crs!$A292)</f>
        <v>0</v>
      </c>
      <c r="H292" s="54">
        <f>SUMIFS('List of Ledgers '!N:N,'List of Ledgers '!$E:$E,Drs_Crs!$A$173,'List of Ledgers '!$B:$B,Drs_Crs!$A292)</f>
        <v>0</v>
      </c>
      <c r="I292" s="54">
        <f>SUMIFS('List of Ledgers '!O:O,'List of Ledgers '!$E:$E,Drs_Crs!$A$173,'List of Ledgers '!$B:$B,Drs_Crs!$A292)</f>
        <v>409644</v>
      </c>
      <c r="J292" s="54">
        <f>SUMIFS('List of Ledgers '!P:P,'List of Ledgers '!$E:$E,Drs_Crs!$A$173,'List of Ledgers '!$B:$B,Drs_Crs!$A292)</f>
        <v>409644</v>
      </c>
      <c r="K292" s="54">
        <f>SUMIFS('List of Ledgers '!Q:Q,'List of Ledgers '!$E:$E,Drs_Crs!$A$173,'List of Ledgers '!$B:$B,Drs_Crs!$A292)</f>
        <v>0</v>
      </c>
    </row>
    <row r="293" spans="1:11" ht="13.9" x14ac:dyDescent="0.25">
      <c r="A293" s="125" t="s">
        <v>745</v>
      </c>
      <c r="B293" s="102" t="str">
        <f>VLOOKUP(A293,'List of Ledgers '!B:G,6,0)</f>
        <v>Common</v>
      </c>
      <c r="C293" s="54">
        <f>SUMIFS('List of Ledgers '!I:I,'List of Ledgers '!$E:$E,Drs_Crs!$A$173,'List of Ledgers '!$B:$B,Drs_Crs!$A293)</f>
        <v>0</v>
      </c>
      <c r="D293" s="54">
        <f>SUMIFS('List of Ledgers '!J:J,'List of Ledgers '!$E:$E,Drs_Crs!$A$173,'List of Ledgers '!$B:$B,Drs_Crs!$A293)</f>
        <v>0</v>
      </c>
      <c r="E293" s="54">
        <f>SUMIFS('List of Ledgers '!K:K,'List of Ledgers '!$E:$E,Drs_Crs!$A$173,'List of Ledgers '!$B:$B,Drs_Crs!$A293)</f>
        <v>0</v>
      </c>
      <c r="F293" s="54">
        <f>SUMIFS('List of Ledgers '!L:L,'List of Ledgers '!$E:$E,Drs_Crs!$A$173,'List of Ledgers '!$B:$B,Drs_Crs!$A293)</f>
        <v>0</v>
      </c>
      <c r="H293" s="54">
        <f>SUMIFS('List of Ledgers '!N:N,'List of Ledgers '!$E:$E,Drs_Crs!$A$173,'List of Ledgers '!$B:$B,Drs_Crs!$A293)</f>
        <v>0</v>
      </c>
      <c r="I293" s="54">
        <f>SUMIFS('List of Ledgers '!O:O,'List of Ledgers '!$E:$E,Drs_Crs!$A$173,'List of Ledgers '!$B:$B,Drs_Crs!$A293)</f>
        <v>18673</v>
      </c>
      <c r="J293" s="54">
        <f>SUMIFS('List of Ledgers '!P:P,'List of Ledgers '!$E:$E,Drs_Crs!$A$173,'List of Ledgers '!$B:$B,Drs_Crs!$A293)</f>
        <v>18673</v>
      </c>
      <c r="K293" s="54">
        <f>SUMIFS('List of Ledgers '!Q:Q,'List of Ledgers '!$E:$E,Drs_Crs!$A$173,'List of Ledgers '!$B:$B,Drs_Crs!$A293)</f>
        <v>0</v>
      </c>
    </row>
    <row r="294" spans="1:11" ht="13.9" x14ac:dyDescent="0.25">
      <c r="A294" s="125" t="s">
        <v>746</v>
      </c>
      <c r="B294" s="102" t="str">
        <f>VLOOKUP(A294,'List of Ledgers '!B:G,6,0)</f>
        <v>Common</v>
      </c>
      <c r="C294" s="54">
        <f>SUMIFS('List of Ledgers '!I:I,'List of Ledgers '!$E:$E,Drs_Crs!$A$173,'List of Ledgers '!$B:$B,Drs_Crs!$A294)</f>
        <v>0</v>
      </c>
      <c r="D294" s="54">
        <f>SUMIFS('List of Ledgers '!J:J,'List of Ledgers '!$E:$E,Drs_Crs!$A$173,'List of Ledgers '!$B:$B,Drs_Crs!$A294)</f>
        <v>115000</v>
      </c>
      <c r="E294" s="54">
        <f>SUMIFS('List of Ledgers '!K:K,'List of Ledgers '!$E:$E,Drs_Crs!$A$173,'List of Ledgers '!$B:$B,Drs_Crs!$A294)</f>
        <v>129999</v>
      </c>
      <c r="F294" s="54">
        <f>SUMIFS('List of Ledgers '!L:L,'List of Ledgers '!$E:$E,Drs_Crs!$A$173,'List of Ledgers '!$B:$B,Drs_Crs!$A294)</f>
        <v>-14999</v>
      </c>
      <c r="H294" s="54">
        <f>SUMIFS('List of Ledgers '!N:N,'List of Ledgers '!$E:$E,Drs_Crs!$A$173,'List of Ledgers '!$B:$B,Drs_Crs!$A294)</f>
        <v>0</v>
      </c>
      <c r="I294" s="54">
        <f>SUMIFS('List of Ledgers '!O:O,'List of Ledgers '!$E:$E,Drs_Crs!$A$173,'List of Ledgers '!$B:$B,Drs_Crs!$A294)</f>
        <v>175000</v>
      </c>
      <c r="J294" s="54">
        <f>SUMIFS('List of Ledgers '!P:P,'List of Ledgers '!$E:$E,Drs_Crs!$A$173,'List of Ledgers '!$B:$B,Drs_Crs!$A294)</f>
        <v>189999</v>
      </c>
      <c r="K294" s="54">
        <f>SUMIFS('List of Ledgers '!Q:Q,'List of Ledgers '!$E:$E,Drs_Crs!$A$173,'List of Ledgers '!$B:$B,Drs_Crs!$A294)</f>
        <v>-14999</v>
      </c>
    </row>
    <row r="295" spans="1:11" ht="13.9" x14ac:dyDescent="0.25">
      <c r="A295" s="125" t="s">
        <v>747</v>
      </c>
      <c r="B295" s="102" t="str">
        <f>VLOOKUP(A295,'List of Ledgers '!B:G,6,0)</f>
        <v>Common</v>
      </c>
      <c r="C295" s="54">
        <f>SUMIFS('List of Ledgers '!I:I,'List of Ledgers '!$E:$E,Drs_Crs!$A$173,'List of Ledgers '!$B:$B,Drs_Crs!$A295)</f>
        <v>0</v>
      </c>
      <c r="D295" s="54">
        <f>SUMIFS('List of Ledgers '!J:J,'List of Ledgers '!$E:$E,Drs_Crs!$A$173,'List of Ledgers '!$B:$B,Drs_Crs!$A295)</f>
        <v>0</v>
      </c>
      <c r="E295" s="54">
        <f>SUMIFS('List of Ledgers '!K:K,'List of Ledgers '!$E:$E,Drs_Crs!$A$173,'List of Ledgers '!$B:$B,Drs_Crs!$A295)</f>
        <v>0</v>
      </c>
      <c r="F295" s="54">
        <f>SUMIFS('List of Ledgers '!L:L,'List of Ledgers '!$E:$E,Drs_Crs!$A$173,'List of Ledgers '!$B:$B,Drs_Crs!$A295)</f>
        <v>0</v>
      </c>
      <c r="H295" s="54">
        <f>SUMIFS('List of Ledgers '!N:N,'List of Ledgers '!$E:$E,Drs_Crs!$A$173,'List of Ledgers '!$B:$B,Drs_Crs!$A295)</f>
        <v>0</v>
      </c>
      <c r="I295" s="54">
        <f>SUMIFS('List of Ledgers '!O:O,'List of Ledgers '!$E:$E,Drs_Crs!$A$173,'List of Ledgers '!$B:$B,Drs_Crs!$A295)</f>
        <v>12638</v>
      </c>
      <c r="J295" s="54">
        <f>SUMIFS('List of Ledgers '!P:P,'List of Ledgers '!$E:$E,Drs_Crs!$A$173,'List of Ledgers '!$B:$B,Drs_Crs!$A295)</f>
        <v>12638</v>
      </c>
      <c r="K295" s="54">
        <f>SUMIFS('List of Ledgers '!Q:Q,'List of Ledgers '!$E:$E,Drs_Crs!$A$173,'List of Ledgers '!$B:$B,Drs_Crs!$A295)</f>
        <v>0</v>
      </c>
    </row>
    <row r="296" spans="1:11" ht="13.9" x14ac:dyDescent="0.25">
      <c r="A296" s="125" t="s">
        <v>641</v>
      </c>
      <c r="B296" s="102" t="str">
        <f>VLOOKUP(A296,'List of Ledgers '!B:G,6,0)</f>
        <v>Common</v>
      </c>
      <c r="C296" s="54">
        <f>SUMIFS('List of Ledgers '!I:I,'List of Ledgers '!$E:$E,Drs_Crs!$A$173,'List of Ledgers '!$B:$B,Drs_Crs!$A296)</f>
        <v>-26320</v>
      </c>
      <c r="D296" s="54">
        <f>SUMIFS('List of Ledgers '!J:J,'List of Ledgers '!$E:$E,Drs_Crs!$A$173,'List of Ledgers '!$B:$B,Drs_Crs!$A296)</f>
        <v>452520</v>
      </c>
      <c r="E296" s="54">
        <f>SUMIFS('List of Ledgers '!K:K,'List of Ledgers '!$E:$E,Drs_Crs!$A$173,'List of Ledgers '!$B:$B,Drs_Crs!$A296)</f>
        <v>447800</v>
      </c>
      <c r="F296" s="54">
        <f>SUMIFS('List of Ledgers '!L:L,'List of Ledgers '!$E:$E,Drs_Crs!$A$173,'List of Ledgers '!$B:$B,Drs_Crs!$A296)</f>
        <v>-21600</v>
      </c>
      <c r="H296" s="54">
        <f>SUMIFS('List of Ledgers '!N:N,'List of Ledgers '!$E:$E,Drs_Crs!$A$173,'List of Ledgers '!$B:$B,Drs_Crs!$A296)</f>
        <v>-21600</v>
      </c>
      <c r="I296" s="54">
        <f>SUMIFS('List of Ledgers '!O:O,'List of Ledgers '!$E:$E,Drs_Crs!$A$173,'List of Ledgers '!$B:$B,Drs_Crs!$A296)</f>
        <v>712120</v>
      </c>
      <c r="J296" s="54">
        <f>SUMIFS('List of Ledgers '!P:P,'List of Ledgers '!$E:$E,Drs_Crs!$A$173,'List of Ledgers '!$B:$B,Drs_Crs!$A296)</f>
        <v>712120</v>
      </c>
      <c r="K296" s="54">
        <f>SUMIFS('List of Ledgers '!Q:Q,'List of Ledgers '!$E:$E,Drs_Crs!$A$173,'List of Ledgers '!$B:$B,Drs_Crs!$A296)</f>
        <v>-21600</v>
      </c>
    </row>
    <row r="297" spans="1:11" ht="13.9" x14ac:dyDescent="0.25">
      <c r="A297" s="125" t="s">
        <v>749</v>
      </c>
      <c r="B297" s="102" t="str">
        <f>VLOOKUP(A297,'List of Ledgers '!B:G,6,0)</f>
        <v>Common</v>
      </c>
      <c r="C297" s="54">
        <f>SUMIFS('List of Ledgers '!I:I,'List of Ledgers '!$E:$E,Drs_Crs!$A$173,'List of Ledgers '!$B:$B,Drs_Crs!$A297)</f>
        <v>0</v>
      </c>
      <c r="D297" s="54">
        <f>SUMIFS('List of Ledgers '!J:J,'List of Ledgers '!$E:$E,Drs_Crs!$A$173,'List of Ledgers '!$B:$B,Drs_Crs!$A297)</f>
        <v>942.82</v>
      </c>
      <c r="E297" s="54">
        <f>SUMIFS('List of Ledgers '!K:K,'List of Ledgers '!$E:$E,Drs_Crs!$A$173,'List of Ledgers '!$B:$B,Drs_Crs!$A297)</f>
        <v>942.82</v>
      </c>
      <c r="F297" s="54">
        <f>SUMIFS('List of Ledgers '!L:L,'List of Ledgers '!$E:$E,Drs_Crs!$A$173,'List of Ledgers '!$B:$B,Drs_Crs!$A297)</f>
        <v>0</v>
      </c>
      <c r="H297" s="54">
        <f>SUMIFS('List of Ledgers '!N:N,'List of Ledgers '!$E:$E,Drs_Crs!$A$173,'List of Ledgers '!$B:$B,Drs_Crs!$A297)</f>
        <v>0</v>
      </c>
      <c r="I297" s="54">
        <f>SUMIFS('List of Ledgers '!O:O,'List of Ledgers '!$E:$E,Drs_Crs!$A$173,'List of Ledgers '!$B:$B,Drs_Crs!$A297)</f>
        <v>9411.6200000000008</v>
      </c>
      <c r="J297" s="54">
        <f>SUMIFS('List of Ledgers '!P:P,'List of Ledgers '!$E:$E,Drs_Crs!$A$173,'List of Ledgers '!$B:$B,Drs_Crs!$A297)</f>
        <v>9411.6200000000008</v>
      </c>
      <c r="K297" s="54">
        <f>SUMIFS('List of Ledgers '!Q:Q,'List of Ledgers '!$E:$E,Drs_Crs!$A$173,'List of Ledgers '!$B:$B,Drs_Crs!$A297)</f>
        <v>0</v>
      </c>
    </row>
    <row r="298" spans="1:11" ht="13.9" x14ac:dyDescent="0.25">
      <c r="A298" s="125" t="s">
        <v>750</v>
      </c>
      <c r="B298" s="102" t="str">
        <f>VLOOKUP(A298,'List of Ledgers '!B:G,6,0)</f>
        <v>Common</v>
      </c>
      <c r="C298" s="54">
        <f>SUMIFS('List of Ledgers '!I:I,'List of Ledgers '!$E:$E,Drs_Crs!$A$173,'List of Ledgers '!$B:$B,Drs_Crs!$A298)</f>
        <v>0</v>
      </c>
      <c r="D298" s="54">
        <f>SUMIFS('List of Ledgers '!J:J,'List of Ledgers '!$E:$E,Drs_Crs!$A$173,'List of Ledgers '!$B:$B,Drs_Crs!$A298)</f>
        <v>0</v>
      </c>
      <c r="E298" s="54">
        <f>SUMIFS('List of Ledgers '!K:K,'List of Ledgers '!$E:$E,Drs_Crs!$A$173,'List of Ledgers '!$B:$B,Drs_Crs!$A298)</f>
        <v>0</v>
      </c>
      <c r="F298" s="54">
        <f>SUMIFS('List of Ledgers '!L:L,'List of Ledgers '!$E:$E,Drs_Crs!$A$173,'List of Ledgers '!$B:$B,Drs_Crs!$A298)</f>
        <v>0</v>
      </c>
      <c r="H298" s="54">
        <f>SUMIFS('List of Ledgers '!N:N,'List of Ledgers '!$E:$E,Drs_Crs!$A$173,'List of Ledgers '!$B:$B,Drs_Crs!$A298)</f>
        <v>0</v>
      </c>
      <c r="I298" s="54">
        <f>SUMIFS('List of Ledgers '!O:O,'List of Ledgers '!$E:$E,Drs_Crs!$A$173,'List of Ledgers '!$B:$B,Drs_Crs!$A298)</f>
        <v>0</v>
      </c>
      <c r="J298" s="54">
        <f>SUMIFS('List of Ledgers '!P:P,'List of Ledgers '!$E:$E,Drs_Crs!$A$173,'List of Ledgers '!$B:$B,Drs_Crs!$A298)</f>
        <v>0</v>
      </c>
      <c r="K298" s="54">
        <f>SUMIFS('List of Ledgers '!Q:Q,'List of Ledgers '!$E:$E,Drs_Crs!$A$173,'List of Ledgers '!$B:$B,Drs_Crs!$A298)</f>
        <v>0</v>
      </c>
    </row>
    <row r="299" spans="1:11" ht="13.9" x14ac:dyDescent="0.25">
      <c r="A299" s="125" t="s">
        <v>758</v>
      </c>
      <c r="B299" s="102" t="str">
        <f>VLOOKUP(A299,'List of Ledgers '!B:G,6,0)</f>
        <v>Common</v>
      </c>
      <c r="C299" s="54">
        <f>SUMIFS('List of Ledgers '!I:I,'List of Ledgers '!$E:$E,Drs_Crs!$A$173,'List of Ledgers '!$B:$B,Drs_Crs!$A299)</f>
        <v>0</v>
      </c>
      <c r="D299" s="54">
        <f>SUMIFS('List of Ledgers '!J:J,'List of Ledgers '!$E:$E,Drs_Crs!$A$173,'List of Ledgers '!$B:$B,Drs_Crs!$A299)</f>
        <v>0</v>
      </c>
      <c r="E299" s="54">
        <f>SUMIFS('List of Ledgers '!K:K,'List of Ledgers '!$E:$E,Drs_Crs!$A$173,'List of Ledgers '!$B:$B,Drs_Crs!$A299)</f>
        <v>0</v>
      </c>
      <c r="F299" s="54">
        <f>SUMIFS('List of Ledgers '!L:L,'List of Ledgers '!$E:$E,Drs_Crs!$A$173,'List of Ledgers '!$B:$B,Drs_Crs!$A299)</f>
        <v>0</v>
      </c>
      <c r="H299" s="54">
        <f>SUMIFS('List of Ledgers '!N:N,'List of Ledgers '!$E:$E,Drs_Crs!$A$173,'List of Ledgers '!$B:$B,Drs_Crs!$A299)</f>
        <v>0</v>
      </c>
      <c r="I299" s="54">
        <f>SUMIFS('List of Ledgers '!O:O,'List of Ledgers '!$E:$E,Drs_Crs!$A$173,'List of Ledgers '!$B:$B,Drs_Crs!$A299)</f>
        <v>2469</v>
      </c>
      <c r="J299" s="54">
        <f>SUMIFS('List of Ledgers '!P:P,'List of Ledgers '!$E:$E,Drs_Crs!$A$173,'List of Ledgers '!$B:$B,Drs_Crs!$A299)</f>
        <v>2469</v>
      </c>
      <c r="K299" s="54">
        <f>SUMIFS('List of Ledgers '!Q:Q,'List of Ledgers '!$E:$E,Drs_Crs!$A$173,'List of Ledgers '!$B:$B,Drs_Crs!$A299)</f>
        <v>0</v>
      </c>
    </row>
    <row r="300" spans="1:11" ht="13.9" x14ac:dyDescent="0.25">
      <c r="A300" s="125" t="s">
        <v>762</v>
      </c>
      <c r="B300" s="102" t="str">
        <f>VLOOKUP(A300,'List of Ledgers '!B:G,6,0)</f>
        <v>Bluestreak</v>
      </c>
      <c r="C300" s="54">
        <f>SUMIFS('List of Ledgers '!I:I,'List of Ledgers '!$E:$E,Drs_Crs!$A$173,'List of Ledgers '!$B:$B,Drs_Crs!$A300)</f>
        <v>0</v>
      </c>
      <c r="D300" s="54">
        <f>SUMIFS('List of Ledgers '!J:J,'List of Ledgers '!$E:$E,Drs_Crs!$A$173,'List of Ledgers '!$B:$B,Drs_Crs!$A300)</f>
        <v>0</v>
      </c>
      <c r="E300" s="54">
        <f>SUMIFS('List of Ledgers '!K:K,'List of Ledgers '!$E:$E,Drs_Crs!$A$173,'List of Ledgers '!$B:$B,Drs_Crs!$A300)</f>
        <v>0</v>
      </c>
      <c r="F300" s="54">
        <f>SUMIFS('List of Ledgers '!L:L,'List of Ledgers '!$E:$E,Drs_Crs!$A$173,'List of Ledgers '!$B:$B,Drs_Crs!$A300)</f>
        <v>0</v>
      </c>
      <c r="H300" s="54">
        <f>SUMIFS('List of Ledgers '!N:N,'List of Ledgers '!$E:$E,Drs_Crs!$A$173,'List of Ledgers '!$B:$B,Drs_Crs!$A300)</f>
        <v>-29394</v>
      </c>
      <c r="I300" s="54">
        <f>SUMIFS('List of Ledgers '!O:O,'List of Ledgers '!$E:$E,Drs_Crs!$A$173,'List of Ledgers '!$B:$B,Drs_Crs!$A300)</f>
        <v>29394</v>
      </c>
      <c r="J300" s="54">
        <f>SUMIFS('List of Ledgers '!P:P,'List of Ledgers '!$E:$E,Drs_Crs!$A$173,'List of Ledgers '!$B:$B,Drs_Crs!$A300)</f>
        <v>0</v>
      </c>
      <c r="K300" s="54">
        <f>SUMIFS('List of Ledgers '!Q:Q,'List of Ledgers '!$E:$E,Drs_Crs!$A$173,'List of Ledgers '!$B:$B,Drs_Crs!$A300)</f>
        <v>0</v>
      </c>
    </row>
    <row r="301" spans="1:11" ht="13.9" x14ac:dyDescent="0.25">
      <c r="A301" s="125" t="s">
        <v>648</v>
      </c>
      <c r="B301" s="102" t="str">
        <f>VLOOKUP(A301,'List of Ledgers '!B:G,6,0)</f>
        <v>Common</v>
      </c>
      <c r="C301" s="54">
        <f>SUMIFS('List of Ledgers '!I:I,'List of Ledgers '!$E:$E,Drs_Crs!$A$173,'List of Ledgers '!$B:$B,Drs_Crs!$A301)</f>
        <v>0</v>
      </c>
      <c r="D301" s="54">
        <f>SUMIFS('List of Ledgers '!J:J,'List of Ledgers '!$E:$E,Drs_Crs!$A$173,'List of Ledgers '!$B:$B,Drs_Crs!$A301)</f>
        <v>0</v>
      </c>
      <c r="E301" s="54">
        <f>SUMIFS('List of Ledgers '!K:K,'List of Ledgers '!$E:$E,Drs_Crs!$A$173,'List of Ledgers '!$B:$B,Drs_Crs!$A301)</f>
        <v>0</v>
      </c>
      <c r="F301" s="54">
        <f>SUMIFS('List of Ledgers '!L:L,'List of Ledgers '!$E:$E,Drs_Crs!$A$173,'List of Ledgers '!$B:$B,Drs_Crs!$A301)</f>
        <v>0</v>
      </c>
      <c r="H301" s="54">
        <f>SUMIFS('List of Ledgers '!N:N,'List of Ledgers '!$E:$E,Drs_Crs!$A$173,'List of Ledgers '!$B:$B,Drs_Crs!$A301)</f>
        <v>-1947</v>
      </c>
      <c r="I301" s="54">
        <f>SUMIFS('List of Ledgers '!O:O,'List of Ledgers '!$E:$E,Drs_Crs!$A$173,'List of Ledgers '!$B:$B,Drs_Crs!$A301)</f>
        <v>1947</v>
      </c>
      <c r="J301" s="54">
        <f>SUMIFS('List of Ledgers '!P:P,'List of Ledgers '!$E:$E,Drs_Crs!$A$173,'List of Ledgers '!$B:$B,Drs_Crs!$A301)</f>
        <v>0</v>
      </c>
      <c r="K301" s="54">
        <f>SUMIFS('List of Ledgers '!Q:Q,'List of Ledgers '!$E:$E,Drs_Crs!$A$173,'List of Ledgers '!$B:$B,Drs_Crs!$A301)</f>
        <v>0</v>
      </c>
    </row>
    <row r="302" spans="1:11" s="193" customFormat="1" ht="13.9" x14ac:dyDescent="0.25">
      <c r="A302" s="226" t="s">
        <v>748</v>
      </c>
      <c r="B302" s="227" t="str">
        <f>VLOOKUP(A302,'List of Ledgers '!B:G,6,0)</f>
        <v>Common</v>
      </c>
      <c r="C302" s="228">
        <f>SUMIFS('List of Ledgers '!I:I,'List of Ledgers '!$E:$E,Drs_Crs!$A$173,'List of Ledgers '!$B:$B,Drs_Crs!$A302)</f>
        <v>293.82</v>
      </c>
      <c r="D302" s="228">
        <f>SUMIFS('List of Ledgers '!J:J,'List of Ledgers '!$E:$E,Drs_Crs!$A$173,'List of Ledgers '!$B:$B,Drs_Crs!$A302)</f>
        <v>1491.94</v>
      </c>
      <c r="E302" s="228">
        <f>SUMIFS('List of Ledgers '!K:K,'List of Ledgers '!$E:$E,Drs_Crs!$A$173,'List of Ledgers '!$B:$B,Drs_Crs!$A302)</f>
        <v>1491.94</v>
      </c>
      <c r="F302" s="228">
        <f>SUMIFS('List of Ledgers '!L:L,'List of Ledgers '!$E:$E,Drs_Crs!$A$173,'List of Ledgers '!$B:$B,Drs_Crs!$A302)</f>
        <v>293.82</v>
      </c>
      <c r="G302" s="197"/>
      <c r="H302" s="228">
        <f>SUMIFS('List of Ledgers '!N:N,'List of Ledgers '!$E:$E,Drs_Crs!$A$173,'List of Ledgers '!$B:$B,Drs_Crs!$A302)</f>
        <v>-2251.44</v>
      </c>
      <c r="I302" s="228">
        <f>SUMIFS('List of Ledgers '!O:O,'List of Ledgers '!$E:$E,Drs_Crs!$A$173,'List of Ledgers '!$B:$B,Drs_Crs!$A302)</f>
        <v>24882.21</v>
      </c>
      <c r="J302" s="228">
        <f>SUMIFS('List of Ledgers '!P:P,'List of Ledgers '!$E:$E,Drs_Crs!$A$173,'List of Ledgers '!$B:$B,Drs_Crs!$A302)</f>
        <v>22336.95</v>
      </c>
      <c r="K302" s="228">
        <f>SUMIFS('List of Ledgers '!Q:Q,'List of Ledgers '!$E:$E,Drs_Crs!$A$173,'List of Ledgers '!$B:$B,Drs_Crs!$A302)</f>
        <v>293.82</v>
      </c>
    </row>
    <row r="303" spans="1:11" ht="13.9" x14ac:dyDescent="0.25">
      <c r="A303" s="125" t="s">
        <v>786</v>
      </c>
      <c r="B303" s="102" t="str">
        <f>VLOOKUP(A303,'List of Ledgers '!B:G,6,0)</f>
        <v>IT</v>
      </c>
      <c r="C303" s="54">
        <f>SUMIFS('List of Ledgers '!I:I,'List of Ledgers '!$E:$E,Drs_Crs!$A$173,'List of Ledgers '!$B:$B,Drs_Crs!$A303)</f>
        <v>0</v>
      </c>
      <c r="D303" s="54">
        <f>SUMIFS('List of Ledgers '!J:J,'List of Ledgers '!$E:$E,Drs_Crs!$A$173,'List of Ledgers '!$B:$B,Drs_Crs!$A303)</f>
        <v>0</v>
      </c>
      <c r="E303" s="54">
        <f>SUMIFS('List of Ledgers '!K:K,'List of Ledgers '!$E:$E,Drs_Crs!$A$173,'List of Ledgers '!$B:$B,Drs_Crs!$A303)</f>
        <v>0</v>
      </c>
      <c r="F303" s="54">
        <f>SUMIFS('List of Ledgers '!L:L,'List of Ledgers '!$E:$E,Drs_Crs!$A$173,'List of Ledgers '!$B:$B,Drs_Crs!$A303)</f>
        <v>0</v>
      </c>
      <c r="H303" s="54">
        <f>SUMIFS('List of Ledgers '!N:N,'List of Ledgers '!$E:$E,Drs_Crs!$A$173,'List of Ledgers '!$B:$B,Drs_Crs!$A303)</f>
        <v>0</v>
      </c>
      <c r="I303" s="54">
        <f>SUMIFS('List of Ledgers '!O:O,'List of Ledgers '!$E:$E,Drs_Crs!$A$173,'List of Ledgers '!$B:$B,Drs_Crs!$A303)</f>
        <v>0</v>
      </c>
      <c r="J303" s="54">
        <f>SUMIFS('List of Ledgers '!P:P,'List of Ledgers '!$E:$E,Drs_Crs!$A$173,'List of Ledgers '!$B:$B,Drs_Crs!$A303)</f>
        <v>0</v>
      </c>
      <c r="K303" s="54">
        <f>SUMIFS('List of Ledgers '!Q:Q,'List of Ledgers '!$E:$E,Drs_Crs!$A$173,'List of Ledgers '!$B:$B,Drs_Crs!$A303)</f>
        <v>0</v>
      </c>
    </row>
    <row r="304" spans="1:11" ht="13.9" x14ac:dyDescent="0.25">
      <c r="A304" s="125" t="s">
        <v>787</v>
      </c>
      <c r="B304" s="102" t="str">
        <f>VLOOKUP(A304,'List of Ledgers '!B:G,6,0)</f>
        <v>Bluestreak</v>
      </c>
      <c r="C304" s="54">
        <f>SUMIFS('List of Ledgers '!I:I,'List of Ledgers '!$E:$E,Drs_Crs!$A$173,'List of Ledgers '!$B:$B,Drs_Crs!$A304)</f>
        <v>0</v>
      </c>
      <c r="D304" s="54">
        <f>SUMIFS('List of Ledgers '!J:J,'List of Ledgers '!$E:$E,Drs_Crs!$A$173,'List of Ledgers '!$B:$B,Drs_Crs!$A304)</f>
        <v>0</v>
      </c>
      <c r="E304" s="54">
        <f>SUMIFS('List of Ledgers '!K:K,'List of Ledgers '!$E:$E,Drs_Crs!$A$173,'List of Ledgers '!$B:$B,Drs_Crs!$A304)</f>
        <v>0</v>
      </c>
      <c r="F304" s="54">
        <f>SUMIFS('List of Ledgers '!L:L,'List of Ledgers '!$E:$E,Drs_Crs!$A$173,'List of Ledgers '!$B:$B,Drs_Crs!$A304)</f>
        <v>0</v>
      </c>
      <c r="H304" s="54">
        <f>SUMIFS('List of Ledgers '!N:N,'List of Ledgers '!$E:$E,Drs_Crs!$A$173,'List of Ledgers '!$B:$B,Drs_Crs!$A304)</f>
        <v>0</v>
      </c>
      <c r="I304" s="54">
        <f>SUMIFS('List of Ledgers '!O:O,'List of Ledgers '!$E:$E,Drs_Crs!$A$173,'List of Ledgers '!$B:$B,Drs_Crs!$A304)</f>
        <v>4189</v>
      </c>
      <c r="J304" s="54">
        <f>SUMIFS('List of Ledgers '!P:P,'List of Ledgers '!$E:$E,Drs_Crs!$A$173,'List of Ledgers '!$B:$B,Drs_Crs!$A304)</f>
        <v>4189</v>
      </c>
      <c r="K304" s="54">
        <f>SUMIFS('List of Ledgers '!Q:Q,'List of Ledgers '!$E:$E,Drs_Crs!$A$173,'List of Ledgers '!$B:$B,Drs_Crs!$A304)</f>
        <v>0</v>
      </c>
    </row>
    <row r="305" spans="1:11" ht="13.9" x14ac:dyDescent="0.25">
      <c r="A305" s="125" t="s">
        <v>797</v>
      </c>
      <c r="B305" s="102" t="str">
        <f>VLOOKUP(A305,'List of Ledgers '!B:G,6,0)</f>
        <v>Clarus</v>
      </c>
      <c r="C305" s="54">
        <f>SUMIFS('List of Ledgers '!I:I,'List of Ledgers '!$E:$E,Drs_Crs!$A$173,'List of Ledgers '!$B:$B,Drs_Crs!$A305)</f>
        <v>0</v>
      </c>
      <c r="D305" s="54">
        <f>SUMIFS('List of Ledgers '!J:J,'List of Ledgers '!$E:$E,Drs_Crs!$A$173,'List of Ledgers '!$B:$B,Drs_Crs!$A305)</f>
        <v>0</v>
      </c>
      <c r="E305" s="54">
        <f>SUMIFS('List of Ledgers '!K:K,'List of Ledgers '!$E:$E,Drs_Crs!$A$173,'List of Ledgers '!$B:$B,Drs_Crs!$A305)</f>
        <v>0</v>
      </c>
      <c r="F305" s="54">
        <f>SUMIFS('List of Ledgers '!L:L,'List of Ledgers '!$E:$E,Drs_Crs!$A$173,'List of Ledgers '!$B:$B,Drs_Crs!$A305)</f>
        <v>0</v>
      </c>
      <c r="H305" s="54">
        <f>SUMIFS('List of Ledgers '!N:N,'List of Ledgers '!$E:$E,Drs_Crs!$A$173,'List of Ledgers '!$B:$B,Drs_Crs!$A305)</f>
        <v>0</v>
      </c>
      <c r="I305" s="54">
        <f>SUMIFS('List of Ledgers '!O:O,'List of Ledgers '!$E:$E,Drs_Crs!$A$173,'List of Ledgers '!$B:$B,Drs_Crs!$A305)</f>
        <v>0</v>
      </c>
      <c r="J305" s="54">
        <f>SUMIFS('List of Ledgers '!P:P,'List of Ledgers '!$E:$E,Drs_Crs!$A$173,'List of Ledgers '!$B:$B,Drs_Crs!$A305)</f>
        <v>0</v>
      </c>
      <c r="K305" s="54">
        <f>SUMIFS('List of Ledgers '!Q:Q,'List of Ledgers '!$E:$E,Drs_Crs!$A$173,'List of Ledgers '!$B:$B,Drs_Crs!$A305)</f>
        <v>0</v>
      </c>
    </row>
    <row r="306" spans="1:11" ht="13.9" x14ac:dyDescent="0.25">
      <c r="A306" s="125" t="s">
        <v>846</v>
      </c>
      <c r="B306" s="102" t="str">
        <f>VLOOKUP(A306,'List of Ledgers '!B:G,6,0)</f>
        <v>Common</v>
      </c>
      <c r="C306" s="54">
        <f>SUMIFS('List of Ledgers '!I:I,'List of Ledgers '!$E:$E,Drs_Crs!$A$173,'List of Ledgers '!$B:$B,Drs_Crs!$A306)</f>
        <v>0</v>
      </c>
      <c r="D306" s="54">
        <f>SUMIFS('List of Ledgers '!J:J,'List of Ledgers '!$E:$E,Drs_Crs!$A$173,'List of Ledgers '!$B:$B,Drs_Crs!$A306)</f>
        <v>0</v>
      </c>
      <c r="E306" s="54">
        <f>SUMIFS('List of Ledgers '!K:K,'List of Ledgers '!$E:$E,Drs_Crs!$A$173,'List of Ledgers '!$B:$B,Drs_Crs!$A306)</f>
        <v>0</v>
      </c>
      <c r="F306" s="54">
        <f>SUMIFS('List of Ledgers '!L:L,'List of Ledgers '!$E:$E,Drs_Crs!$A$173,'List of Ledgers '!$B:$B,Drs_Crs!$A306)</f>
        <v>0</v>
      </c>
      <c r="H306" s="54">
        <f>SUMIFS('List of Ledgers '!N:N,'List of Ledgers '!$E:$E,Drs_Crs!$A$173,'List of Ledgers '!$B:$B,Drs_Crs!$A306)</f>
        <v>0</v>
      </c>
      <c r="I306" s="54">
        <f>SUMIFS('List of Ledgers '!O:O,'List of Ledgers '!$E:$E,Drs_Crs!$A$173,'List of Ledgers '!$B:$B,Drs_Crs!$A306)</f>
        <v>9440</v>
      </c>
      <c r="J306" s="54">
        <f>SUMIFS('List of Ledgers '!P:P,'List of Ledgers '!$E:$E,Drs_Crs!$A$173,'List of Ledgers '!$B:$B,Drs_Crs!$A306)</f>
        <v>9440</v>
      </c>
      <c r="K306" s="54">
        <f>SUMIFS('List of Ledgers '!Q:Q,'List of Ledgers '!$E:$E,Drs_Crs!$A$173,'List of Ledgers '!$B:$B,Drs_Crs!$A306)</f>
        <v>0</v>
      </c>
    </row>
    <row r="307" spans="1:11" ht="13.9" x14ac:dyDescent="0.25">
      <c r="A307" s="125" t="s">
        <v>769</v>
      </c>
      <c r="B307" s="102" t="str">
        <f>VLOOKUP(A307,'List of Ledgers '!B:G,6,0)</f>
        <v>Common</v>
      </c>
      <c r="C307" s="54">
        <f>SUMIFS('List of Ledgers '!I:I,'List of Ledgers '!$E:$E,Drs_Crs!$A$173,'List of Ledgers '!$B:$B,Drs_Crs!$A307)</f>
        <v>0</v>
      </c>
      <c r="D307" s="54">
        <f>SUMIFS('List of Ledgers '!J:J,'List of Ledgers '!$E:$E,Drs_Crs!$A$173,'List of Ledgers '!$B:$B,Drs_Crs!$A307)</f>
        <v>0</v>
      </c>
      <c r="E307" s="54">
        <f>SUMIFS('List of Ledgers '!K:K,'List of Ledgers '!$E:$E,Drs_Crs!$A$173,'List of Ledgers '!$B:$B,Drs_Crs!$A307)</f>
        <v>0</v>
      </c>
      <c r="F307" s="54">
        <f>SUMIFS('List of Ledgers '!L:L,'List of Ledgers '!$E:$E,Drs_Crs!$A$173,'List of Ledgers '!$B:$B,Drs_Crs!$A307)</f>
        <v>0</v>
      </c>
      <c r="H307" s="54">
        <f>SUMIFS('List of Ledgers '!N:N,'List of Ledgers '!$E:$E,Drs_Crs!$A$173,'List of Ledgers '!$B:$B,Drs_Crs!$A307)</f>
        <v>-3899.63</v>
      </c>
      <c r="I307" s="54">
        <f>SUMIFS('List of Ledgers '!O:O,'List of Ledgers '!$E:$E,Drs_Crs!$A$173,'List of Ledgers '!$B:$B,Drs_Crs!$A307)</f>
        <v>5125</v>
      </c>
      <c r="J307" s="54">
        <f>SUMIFS('List of Ledgers '!P:P,'List of Ledgers '!$E:$E,Drs_Crs!$A$173,'List of Ledgers '!$B:$B,Drs_Crs!$A307)</f>
        <v>1225.3699999999999</v>
      </c>
      <c r="K307" s="54">
        <f>SUMIFS('List of Ledgers '!Q:Q,'List of Ledgers '!$E:$E,Drs_Crs!$A$173,'List of Ledgers '!$B:$B,Drs_Crs!$A307)</f>
        <v>0</v>
      </c>
    </row>
    <row r="308" spans="1:11" s="193" customFormat="1" ht="13.9" x14ac:dyDescent="0.25">
      <c r="A308" s="226" t="s">
        <v>771</v>
      </c>
      <c r="B308" s="227" t="str">
        <f>VLOOKUP(A308,'List of Ledgers '!B:G,6,0)</f>
        <v>Common</v>
      </c>
      <c r="C308" s="228">
        <f>SUMIFS('List of Ledgers '!I:I,'List of Ledgers '!$E:$E,Drs_Crs!$A$173,'List of Ledgers '!$B:$B,Drs_Crs!$A308)</f>
        <v>-1000</v>
      </c>
      <c r="D308" s="228">
        <f>SUMIFS('List of Ledgers '!J:J,'List of Ledgers '!$E:$E,Drs_Crs!$A$173,'List of Ledgers '!$B:$B,Drs_Crs!$A308)</f>
        <v>2000</v>
      </c>
      <c r="E308" s="228">
        <f>SUMIFS('List of Ledgers '!K:K,'List of Ledgers '!$E:$E,Drs_Crs!$A$173,'List of Ledgers '!$B:$B,Drs_Crs!$A308)</f>
        <v>2000</v>
      </c>
      <c r="F308" s="228">
        <f>SUMIFS('List of Ledgers '!L:L,'List of Ledgers '!$E:$E,Drs_Crs!$A$173,'List of Ledgers '!$B:$B,Drs_Crs!$A308)</f>
        <v>-1000</v>
      </c>
      <c r="G308" s="197" t="s">
        <v>1414</v>
      </c>
      <c r="H308" s="228">
        <f>SUMIFS('List of Ledgers '!N:N,'List of Ledgers '!$E:$E,Drs_Crs!$A$173,'List of Ledgers '!$B:$B,Drs_Crs!$A308)</f>
        <v>-1000</v>
      </c>
      <c r="I308" s="228">
        <f>SUMIFS('List of Ledgers '!O:O,'List of Ledgers '!$E:$E,Drs_Crs!$A$173,'List of Ledgers '!$B:$B,Drs_Crs!$A308)</f>
        <v>12000</v>
      </c>
      <c r="J308" s="228">
        <f>SUMIFS('List of Ledgers '!P:P,'List of Ledgers '!$E:$E,Drs_Crs!$A$173,'List of Ledgers '!$B:$B,Drs_Crs!$A308)</f>
        <v>12000</v>
      </c>
      <c r="K308" s="228">
        <f>SUMIFS('List of Ledgers '!Q:Q,'List of Ledgers '!$E:$E,Drs_Crs!$A$173,'List of Ledgers '!$B:$B,Drs_Crs!$A308)</f>
        <v>-1000</v>
      </c>
    </row>
    <row r="309" spans="1:11" ht="13.9" x14ac:dyDescent="0.25">
      <c r="A309" s="125" t="s">
        <v>843</v>
      </c>
      <c r="B309" s="102" t="str">
        <f>VLOOKUP(A309,'List of Ledgers '!B:G,6,0)</f>
        <v>Common</v>
      </c>
      <c r="C309" s="54">
        <f>SUMIFS('List of Ledgers '!I:I,'List of Ledgers '!$E:$E,Drs_Crs!$A$173,'List of Ledgers '!$B:$B,Drs_Crs!$A309)</f>
        <v>0</v>
      </c>
      <c r="D309" s="54">
        <f>SUMIFS('List of Ledgers '!J:J,'List of Ledgers '!$E:$E,Drs_Crs!$A$173,'List of Ledgers '!$B:$B,Drs_Crs!$A309)</f>
        <v>0</v>
      </c>
      <c r="E309" s="54">
        <f>SUMIFS('List of Ledgers '!K:K,'List of Ledgers '!$E:$E,Drs_Crs!$A$173,'List of Ledgers '!$B:$B,Drs_Crs!$A309)</f>
        <v>0</v>
      </c>
      <c r="F309" s="54">
        <f>SUMIFS('List of Ledgers '!L:L,'List of Ledgers '!$E:$E,Drs_Crs!$A$173,'List of Ledgers '!$B:$B,Drs_Crs!$A309)</f>
        <v>0</v>
      </c>
      <c r="H309" s="54">
        <f>SUMIFS('List of Ledgers '!N:N,'List of Ledgers '!$E:$E,Drs_Crs!$A$173,'List of Ledgers '!$B:$B,Drs_Crs!$A309)</f>
        <v>-618</v>
      </c>
      <c r="I309" s="54">
        <f>SUMIFS('List of Ledgers '!O:O,'List of Ledgers '!$E:$E,Drs_Crs!$A$173,'List of Ledgers '!$B:$B,Drs_Crs!$A309)</f>
        <v>618</v>
      </c>
      <c r="J309" s="54">
        <f>SUMIFS('List of Ledgers '!P:P,'List of Ledgers '!$E:$E,Drs_Crs!$A$173,'List of Ledgers '!$B:$B,Drs_Crs!$A309)</f>
        <v>0</v>
      </c>
      <c r="K309" s="54">
        <f>SUMIFS('List of Ledgers '!Q:Q,'List of Ledgers '!$E:$E,Drs_Crs!$A$173,'List of Ledgers '!$B:$B,Drs_Crs!$A309)</f>
        <v>0</v>
      </c>
    </row>
    <row r="310" spans="1:11" ht="13.9" x14ac:dyDescent="0.25">
      <c r="A310" s="125" t="s">
        <v>844</v>
      </c>
      <c r="B310" s="102" t="str">
        <f>VLOOKUP(A310,'List of Ledgers '!B:G,6,0)</f>
        <v>Common</v>
      </c>
      <c r="C310" s="54">
        <f>SUMIFS('List of Ledgers '!I:I,'List of Ledgers '!$E:$E,Drs_Crs!$A$173,'List of Ledgers '!$B:$B,Drs_Crs!$A310)</f>
        <v>0</v>
      </c>
      <c r="D310" s="54">
        <f>SUMIFS('List of Ledgers '!J:J,'List of Ledgers '!$E:$E,Drs_Crs!$A$173,'List of Ledgers '!$B:$B,Drs_Crs!$A310)</f>
        <v>0</v>
      </c>
      <c r="E310" s="54">
        <f>SUMIFS('List of Ledgers '!K:K,'List of Ledgers '!$E:$E,Drs_Crs!$A$173,'List of Ledgers '!$B:$B,Drs_Crs!$A310)</f>
        <v>0</v>
      </c>
      <c r="F310" s="54">
        <f>SUMIFS('List of Ledgers '!L:L,'List of Ledgers '!$E:$E,Drs_Crs!$A$173,'List of Ledgers '!$B:$B,Drs_Crs!$A310)</f>
        <v>0</v>
      </c>
      <c r="H310" s="54">
        <f>SUMIFS('List of Ledgers '!N:N,'List of Ledgers '!$E:$E,Drs_Crs!$A$173,'List of Ledgers '!$B:$B,Drs_Crs!$A310)</f>
        <v>-1235</v>
      </c>
      <c r="I310" s="54">
        <f>SUMIFS('List of Ledgers '!O:O,'List of Ledgers '!$E:$E,Drs_Crs!$A$173,'List of Ledgers '!$B:$B,Drs_Crs!$A310)</f>
        <v>1235</v>
      </c>
      <c r="J310" s="54">
        <f>SUMIFS('List of Ledgers '!P:P,'List of Ledgers '!$E:$E,Drs_Crs!$A$173,'List of Ledgers '!$B:$B,Drs_Crs!$A310)</f>
        <v>0</v>
      </c>
      <c r="K310" s="54">
        <f>SUMIFS('List of Ledgers '!Q:Q,'List of Ledgers '!$E:$E,Drs_Crs!$A$173,'List of Ledgers '!$B:$B,Drs_Crs!$A310)</f>
        <v>0</v>
      </c>
    </row>
    <row r="311" spans="1:11" ht="13.9" x14ac:dyDescent="0.25">
      <c r="A311" s="125" t="s">
        <v>858</v>
      </c>
      <c r="B311" s="102" t="str">
        <f>VLOOKUP(A311,'List of Ledgers '!B:G,6,0)</f>
        <v>IT</v>
      </c>
      <c r="C311" s="54">
        <f>SUMIFS('List of Ledgers '!I:I,'List of Ledgers '!$E:$E,Drs_Crs!$A$173,'List of Ledgers '!$B:$B,Drs_Crs!$A311)</f>
        <v>-10000</v>
      </c>
      <c r="D311" s="54">
        <f>SUMIFS('List of Ledgers '!J:J,'List of Ledgers '!$E:$E,Drs_Crs!$A$173,'List of Ledgers '!$B:$B,Drs_Crs!$A311)</f>
        <v>10000</v>
      </c>
      <c r="E311" s="54">
        <f>SUMIFS('List of Ledgers '!K:K,'List of Ledgers '!$E:$E,Drs_Crs!$A$173,'List of Ledgers '!$B:$B,Drs_Crs!$A311)</f>
        <v>0</v>
      </c>
      <c r="F311" s="54">
        <f>SUMIFS('List of Ledgers '!L:L,'List of Ledgers '!$E:$E,Drs_Crs!$A$173,'List of Ledgers '!$B:$B,Drs_Crs!$A311)</f>
        <v>0</v>
      </c>
      <c r="H311" s="54">
        <f>SUMIFS('List of Ledgers '!N:N,'List of Ledgers '!$E:$E,Drs_Crs!$A$173,'List of Ledgers '!$B:$B,Drs_Crs!$A311)</f>
        <v>-10000</v>
      </c>
      <c r="I311" s="54">
        <f>SUMIFS('List of Ledgers '!O:O,'List of Ledgers '!$E:$E,Drs_Crs!$A$173,'List of Ledgers '!$B:$B,Drs_Crs!$A311)</f>
        <v>120000</v>
      </c>
      <c r="J311" s="54">
        <f>SUMIFS('List of Ledgers '!P:P,'List of Ledgers '!$E:$E,Drs_Crs!$A$173,'List of Ledgers '!$B:$B,Drs_Crs!$A311)</f>
        <v>110000</v>
      </c>
      <c r="K311" s="54">
        <f>SUMIFS('List of Ledgers '!Q:Q,'List of Ledgers '!$E:$E,Drs_Crs!$A$173,'List of Ledgers '!$B:$B,Drs_Crs!$A311)</f>
        <v>0</v>
      </c>
    </row>
    <row r="312" spans="1:11" ht="13.9" x14ac:dyDescent="0.25">
      <c r="A312" s="125" t="s">
        <v>864</v>
      </c>
      <c r="B312" s="102" t="str">
        <f>VLOOKUP(A312,'List of Ledgers '!B:G,6,0)</f>
        <v>Clarus</v>
      </c>
      <c r="C312" s="54">
        <f>SUMIFS('List of Ledgers '!I:I,'List of Ledgers '!$E:$E,Drs_Crs!$A$173,'List of Ledgers '!$B:$B,Drs_Crs!$A312)</f>
        <v>0</v>
      </c>
      <c r="D312" s="54">
        <f>SUMIFS('List of Ledgers '!J:J,'List of Ledgers '!$E:$E,Drs_Crs!$A$173,'List of Ledgers '!$B:$B,Drs_Crs!$A312)</f>
        <v>0</v>
      </c>
      <c r="E312" s="54">
        <f>SUMIFS('List of Ledgers '!K:K,'List of Ledgers '!$E:$E,Drs_Crs!$A$173,'List of Ledgers '!$B:$B,Drs_Crs!$A312)</f>
        <v>0</v>
      </c>
      <c r="F312" s="54">
        <f>SUMIFS('List of Ledgers '!L:L,'List of Ledgers '!$E:$E,Drs_Crs!$A$173,'List of Ledgers '!$B:$B,Drs_Crs!$A312)</f>
        <v>0</v>
      </c>
      <c r="H312" s="54">
        <f>SUMIFS('List of Ledgers '!N:N,'List of Ledgers '!$E:$E,Drs_Crs!$A$173,'List of Ledgers '!$B:$B,Drs_Crs!$A312)</f>
        <v>0</v>
      </c>
      <c r="I312" s="54">
        <f>SUMIFS('List of Ledgers '!O:O,'List of Ledgers '!$E:$E,Drs_Crs!$A$173,'List of Ledgers '!$B:$B,Drs_Crs!$A312)</f>
        <v>0</v>
      </c>
      <c r="J312" s="54">
        <f>SUMIFS('List of Ledgers '!P:P,'List of Ledgers '!$E:$E,Drs_Crs!$A$173,'List of Ledgers '!$B:$B,Drs_Crs!$A312)</f>
        <v>0</v>
      </c>
      <c r="K312" s="54">
        <f>SUMIFS('List of Ledgers '!Q:Q,'List of Ledgers '!$E:$E,Drs_Crs!$A$173,'List of Ledgers '!$B:$B,Drs_Crs!$A312)</f>
        <v>0</v>
      </c>
    </row>
    <row r="313" spans="1:11" ht="13.9" x14ac:dyDescent="0.25">
      <c r="A313" s="125" t="s">
        <v>863</v>
      </c>
      <c r="B313" s="102" t="str">
        <f>VLOOKUP(A313,'List of Ledgers '!B:G,6,0)</f>
        <v>IT</v>
      </c>
      <c r="C313" s="54">
        <f>SUMIFS('List of Ledgers '!I:I,'List of Ledgers '!$E:$E,Drs_Crs!$A$173,'List of Ledgers '!$B:$B,Drs_Crs!$A313)</f>
        <v>0</v>
      </c>
      <c r="D313" s="54">
        <f>SUMIFS('List of Ledgers '!J:J,'List of Ledgers '!$E:$E,Drs_Crs!$A$173,'List of Ledgers '!$B:$B,Drs_Crs!$A313)</f>
        <v>0</v>
      </c>
      <c r="E313" s="54">
        <f>SUMIFS('List of Ledgers '!K:K,'List of Ledgers '!$E:$E,Drs_Crs!$A$173,'List of Ledgers '!$B:$B,Drs_Crs!$A313)</f>
        <v>0</v>
      </c>
      <c r="F313" s="54">
        <f>SUMIFS('List of Ledgers '!L:L,'List of Ledgers '!$E:$E,Drs_Crs!$A$173,'List of Ledgers '!$B:$B,Drs_Crs!$A313)</f>
        <v>0</v>
      </c>
      <c r="H313" s="54">
        <f>SUMIFS('List of Ledgers '!N:N,'List of Ledgers '!$E:$E,Drs_Crs!$A$173,'List of Ledgers '!$B:$B,Drs_Crs!$A313)</f>
        <v>0</v>
      </c>
      <c r="I313" s="54">
        <f>SUMIFS('List of Ledgers '!O:O,'List of Ledgers '!$E:$E,Drs_Crs!$A$173,'List of Ledgers '!$B:$B,Drs_Crs!$A313)</f>
        <v>111628</v>
      </c>
      <c r="J313" s="54">
        <f>SUMIFS('List of Ledgers '!P:P,'List of Ledgers '!$E:$E,Drs_Crs!$A$173,'List of Ledgers '!$B:$B,Drs_Crs!$A313)</f>
        <v>111628</v>
      </c>
      <c r="K313" s="54">
        <f>SUMIFS('List of Ledgers '!Q:Q,'List of Ledgers '!$E:$E,Drs_Crs!$A$173,'List of Ledgers '!$B:$B,Drs_Crs!$A313)</f>
        <v>0</v>
      </c>
    </row>
    <row r="314" spans="1:11" ht="13.9" x14ac:dyDescent="0.25">
      <c r="A314" s="125" t="s">
        <v>865</v>
      </c>
      <c r="B314" s="102" t="str">
        <f>VLOOKUP(A314,'List of Ledgers '!B:G,6,0)</f>
        <v>Bluestreak</v>
      </c>
      <c r="C314" s="54">
        <f>SUMIFS('List of Ledgers '!I:I,'List of Ledgers '!$E:$E,Drs_Crs!$A$173,'List of Ledgers '!$B:$B,Drs_Crs!$A314)</f>
        <v>0</v>
      </c>
      <c r="D314" s="54">
        <f>SUMIFS('List of Ledgers '!J:J,'List of Ledgers '!$E:$E,Drs_Crs!$A$173,'List of Ledgers '!$B:$B,Drs_Crs!$A314)</f>
        <v>0</v>
      </c>
      <c r="E314" s="54">
        <f>SUMIFS('List of Ledgers '!K:K,'List of Ledgers '!$E:$E,Drs_Crs!$A$173,'List of Ledgers '!$B:$B,Drs_Crs!$A314)</f>
        <v>0</v>
      </c>
      <c r="F314" s="54">
        <f>SUMIFS('List of Ledgers '!L:L,'List of Ledgers '!$E:$E,Drs_Crs!$A$173,'List of Ledgers '!$B:$B,Drs_Crs!$A314)</f>
        <v>0</v>
      </c>
      <c r="H314" s="54">
        <f>SUMIFS('List of Ledgers '!N:N,'List of Ledgers '!$E:$E,Drs_Crs!$A$173,'List of Ledgers '!$B:$B,Drs_Crs!$A314)</f>
        <v>0</v>
      </c>
      <c r="I314" s="54">
        <f>SUMIFS('List of Ledgers '!O:O,'List of Ledgers '!$E:$E,Drs_Crs!$A$173,'List of Ledgers '!$B:$B,Drs_Crs!$A314)</f>
        <v>0</v>
      </c>
      <c r="J314" s="54">
        <f>SUMIFS('List of Ledgers '!P:P,'List of Ledgers '!$E:$E,Drs_Crs!$A$173,'List of Ledgers '!$B:$B,Drs_Crs!$A314)</f>
        <v>0</v>
      </c>
      <c r="K314" s="54">
        <f>SUMIFS('List of Ledgers '!Q:Q,'List of Ledgers '!$E:$E,Drs_Crs!$A$173,'List of Ledgers '!$B:$B,Drs_Crs!$A314)</f>
        <v>0</v>
      </c>
    </row>
    <row r="315" spans="1:11" ht="13.9" x14ac:dyDescent="0.25">
      <c r="A315" s="125" t="s">
        <v>868</v>
      </c>
      <c r="B315" s="102" t="str">
        <f>VLOOKUP(A315,'List of Ledgers '!B:G,6,0)</f>
        <v>Common</v>
      </c>
      <c r="C315" s="54">
        <f>SUMIFS('List of Ledgers '!I:I,'List of Ledgers '!$E:$E,Drs_Crs!$A$173,'List of Ledgers '!$B:$B,Drs_Crs!$A315)</f>
        <v>0</v>
      </c>
      <c r="D315" s="54">
        <f>SUMIFS('List of Ledgers '!J:J,'List of Ledgers '!$E:$E,Drs_Crs!$A$173,'List of Ledgers '!$B:$B,Drs_Crs!$A315)</f>
        <v>0</v>
      </c>
      <c r="E315" s="54">
        <f>SUMIFS('List of Ledgers '!K:K,'List of Ledgers '!$E:$E,Drs_Crs!$A$173,'List of Ledgers '!$B:$B,Drs_Crs!$A315)</f>
        <v>0</v>
      </c>
      <c r="F315" s="54">
        <f>SUMIFS('List of Ledgers '!L:L,'List of Ledgers '!$E:$E,Drs_Crs!$A$173,'List of Ledgers '!$B:$B,Drs_Crs!$A315)</f>
        <v>0</v>
      </c>
      <c r="H315" s="54">
        <f>SUMIFS('List of Ledgers '!N:N,'List of Ledgers '!$E:$E,Drs_Crs!$A$173,'List of Ledgers '!$B:$B,Drs_Crs!$A315)</f>
        <v>0</v>
      </c>
      <c r="I315" s="54">
        <f>SUMIFS('List of Ledgers '!O:O,'List of Ledgers '!$E:$E,Drs_Crs!$A$173,'List of Ledgers '!$B:$B,Drs_Crs!$A315)</f>
        <v>0</v>
      </c>
      <c r="J315" s="54">
        <f>SUMIFS('List of Ledgers '!P:P,'List of Ledgers '!$E:$E,Drs_Crs!$A$173,'List of Ledgers '!$B:$B,Drs_Crs!$A315)</f>
        <v>0</v>
      </c>
      <c r="K315" s="54">
        <f>SUMIFS('List of Ledgers '!Q:Q,'List of Ledgers '!$E:$E,Drs_Crs!$A$173,'List of Ledgers '!$B:$B,Drs_Crs!$A315)</f>
        <v>0</v>
      </c>
    </row>
    <row r="316" spans="1:11" ht="13.9" x14ac:dyDescent="0.25">
      <c r="A316" s="125" t="s">
        <v>870</v>
      </c>
      <c r="B316" s="102" t="str">
        <f>VLOOKUP(A316,'List of Ledgers '!B:G,6,0)</f>
        <v>IT</v>
      </c>
      <c r="C316" s="54">
        <f>SUMIFS('List of Ledgers '!I:I,'List of Ledgers '!$E:$E,Drs_Crs!$A$173,'List of Ledgers '!$B:$B,Drs_Crs!$A316)</f>
        <v>0</v>
      </c>
      <c r="D316" s="54">
        <f>SUMIFS('List of Ledgers '!J:J,'List of Ledgers '!$E:$E,Drs_Crs!$A$173,'List of Ledgers '!$B:$B,Drs_Crs!$A316)</f>
        <v>0</v>
      </c>
      <c r="E316" s="54">
        <f>SUMIFS('List of Ledgers '!K:K,'List of Ledgers '!$E:$E,Drs_Crs!$A$173,'List of Ledgers '!$B:$B,Drs_Crs!$A316)</f>
        <v>0</v>
      </c>
      <c r="F316" s="54">
        <f>SUMIFS('List of Ledgers '!L:L,'List of Ledgers '!$E:$E,Drs_Crs!$A$173,'List of Ledgers '!$B:$B,Drs_Crs!$A316)</f>
        <v>0</v>
      </c>
      <c r="H316" s="54">
        <f>SUMIFS('List of Ledgers '!N:N,'List of Ledgers '!$E:$E,Drs_Crs!$A$173,'List of Ledgers '!$B:$B,Drs_Crs!$A316)</f>
        <v>0</v>
      </c>
      <c r="I316" s="54">
        <f>SUMIFS('List of Ledgers '!O:O,'List of Ledgers '!$E:$E,Drs_Crs!$A$173,'List of Ledgers '!$B:$B,Drs_Crs!$A316)</f>
        <v>45500</v>
      </c>
      <c r="J316" s="54">
        <f>SUMIFS('List of Ledgers '!P:P,'List of Ledgers '!$E:$E,Drs_Crs!$A$173,'List of Ledgers '!$B:$B,Drs_Crs!$A316)</f>
        <v>45500</v>
      </c>
      <c r="K316" s="54">
        <f>SUMIFS('List of Ledgers '!Q:Q,'List of Ledgers '!$E:$E,Drs_Crs!$A$173,'List of Ledgers '!$B:$B,Drs_Crs!$A316)</f>
        <v>0</v>
      </c>
    </row>
    <row r="317" spans="1:11" ht="13.9" x14ac:dyDescent="0.25">
      <c r="A317" s="125" t="s">
        <v>877</v>
      </c>
      <c r="B317" s="102" t="str">
        <f>VLOOKUP(A317,'List of Ledgers '!B:G,6,0)</f>
        <v>IT</v>
      </c>
      <c r="C317" s="54">
        <f>SUMIFS('List of Ledgers '!I:I,'List of Ledgers '!$E:$E,Drs_Crs!$A$173,'List of Ledgers '!$B:$B,Drs_Crs!$A317)</f>
        <v>0</v>
      </c>
      <c r="D317" s="54">
        <f>SUMIFS('List of Ledgers '!J:J,'List of Ledgers '!$E:$E,Drs_Crs!$A$173,'List of Ledgers '!$B:$B,Drs_Crs!$A317)</f>
        <v>0</v>
      </c>
      <c r="E317" s="54">
        <f>SUMIFS('List of Ledgers '!K:K,'List of Ledgers '!$E:$E,Drs_Crs!$A$173,'List of Ledgers '!$B:$B,Drs_Crs!$A317)</f>
        <v>0</v>
      </c>
      <c r="F317" s="54">
        <f>SUMIFS('List of Ledgers '!L:L,'List of Ledgers '!$E:$E,Drs_Crs!$A$173,'List of Ledgers '!$B:$B,Drs_Crs!$A317)</f>
        <v>0</v>
      </c>
      <c r="H317" s="54">
        <f>SUMIFS('List of Ledgers '!N:N,'List of Ledgers '!$E:$E,Drs_Crs!$A$173,'List of Ledgers '!$B:$B,Drs_Crs!$A317)</f>
        <v>0</v>
      </c>
      <c r="I317" s="54">
        <f>SUMIFS('List of Ledgers '!O:O,'List of Ledgers '!$E:$E,Drs_Crs!$A$173,'List of Ledgers '!$B:$B,Drs_Crs!$A317)</f>
        <v>0</v>
      </c>
      <c r="J317" s="54">
        <f>SUMIFS('List of Ledgers '!P:P,'List of Ledgers '!$E:$E,Drs_Crs!$A$173,'List of Ledgers '!$B:$B,Drs_Crs!$A317)</f>
        <v>0</v>
      </c>
      <c r="K317" s="54">
        <f>SUMIFS('List of Ledgers '!Q:Q,'List of Ledgers '!$E:$E,Drs_Crs!$A$173,'List of Ledgers '!$B:$B,Drs_Crs!$A317)</f>
        <v>0</v>
      </c>
    </row>
    <row r="318" spans="1:11" ht="13.9" x14ac:dyDescent="0.25">
      <c r="A318" s="125" t="s">
        <v>878</v>
      </c>
      <c r="B318" s="102" t="str">
        <f>VLOOKUP(A318,'List of Ledgers '!B:G,6,0)</f>
        <v>IT</v>
      </c>
      <c r="C318" s="54">
        <f>SUMIFS('List of Ledgers '!I:I,'List of Ledgers '!$E:$E,Drs_Crs!$A$173,'List of Ledgers '!$B:$B,Drs_Crs!$A318)</f>
        <v>0</v>
      </c>
      <c r="D318" s="54">
        <f>SUMIFS('List of Ledgers '!J:J,'List of Ledgers '!$E:$E,Drs_Crs!$A$173,'List of Ledgers '!$B:$B,Drs_Crs!$A318)</f>
        <v>211575.85</v>
      </c>
      <c r="E318" s="54">
        <f>SUMIFS('List of Ledgers '!K:K,'List of Ledgers '!$E:$E,Drs_Crs!$A$173,'List of Ledgers '!$B:$B,Drs_Crs!$A318)</f>
        <v>211575.85</v>
      </c>
      <c r="F318" s="54">
        <f>SUMIFS('List of Ledgers '!L:L,'List of Ledgers '!$E:$E,Drs_Crs!$A$173,'List of Ledgers '!$B:$B,Drs_Crs!$A318)</f>
        <v>0</v>
      </c>
      <c r="H318" s="54">
        <f>SUMIFS('List of Ledgers '!N:N,'List of Ledgers '!$E:$E,Drs_Crs!$A$173,'List of Ledgers '!$B:$B,Drs_Crs!$A318)</f>
        <v>0</v>
      </c>
      <c r="I318" s="54">
        <f>SUMIFS('List of Ledgers '!O:O,'List of Ledgers '!$E:$E,Drs_Crs!$A$173,'List of Ledgers '!$B:$B,Drs_Crs!$A318)</f>
        <v>1812500.73</v>
      </c>
      <c r="J318" s="54">
        <f>SUMIFS('List of Ledgers '!P:P,'List of Ledgers '!$E:$E,Drs_Crs!$A$173,'List of Ledgers '!$B:$B,Drs_Crs!$A318)</f>
        <v>1812500.73</v>
      </c>
      <c r="K318" s="54">
        <f>SUMIFS('List of Ledgers '!Q:Q,'List of Ledgers '!$E:$E,Drs_Crs!$A$173,'List of Ledgers '!$B:$B,Drs_Crs!$A318)</f>
        <v>0</v>
      </c>
    </row>
    <row r="319" spans="1:11" ht="13.9" x14ac:dyDescent="0.25">
      <c r="A319" s="125" t="s">
        <v>896</v>
      </c>
      <c r="B319" s="102" t="str">
        <f>VLOOKUP(A319,'List of Ledgers '!B:G,6,0)</f>
        <v>Common</v>
      </c>
      <c r="C319" s="54">
        <f>SUMIFS('List of Ledgers '!I:I,'List of Ledgers '!$E:$E,Drs_Crs!$A$173,'List of Ledgers '!$B:$B,Drs_Crs!$A319)</f>
        <v>0</v>
      </c>
      <c r="D319" s="54">
        <f>SUMIFS('List of Ledgers '!J:J,'List of Ledgers '!$E:$E,Drs_Crs!$A$173,'List of Ledgers '!$B:$B,Drs_Crs!$A319)</f>
        <v>0</v>
      </c>
      <c r="E319" s="54">
        <f>SUMIFS('List of Ledgers '!K:K,'List of Ledgers '!$E:$E,Drs_Crs!$A$173,'List of Ledgers '!$B:$B,Drs_Crs!$A319)</f>
        <v>0</v>
      </c>
      <c r="F319" s="54">
        <f>SUMIFS('List of Ledgers '!L:L,'List of Ledgers '!$E:$E,Drs_Crs!$A$173,'List of Ledgers '!$B:$B,Drs_Crs!$A319)</f>
        <v>0</v>
      </c>
      <c r="H319" s="54">
        <f>SUMIFS('List of Ledgers '!N:N,'List of Ledgers '!$E:$E,Drs_Crs!$A$173,'List of Ledgers '!$B:$B,Drs_Crs!$A319)</f>
        <v>0</v>
      </c>
      <c r="I319" s="54">
        <f>SUMIFS('List of Ledgers '!O:O,'List of Ledgers '!$E:$E,Drs_Crs!$A$173,'List of Ledgers '!$B:$B,Drs_Crs!$A319)</f>
        <v>0</v>
      </c>
      <c r="J319" s="54">
        <f>SUMIFS('List of Ledgers '!P:P,'List of Ledgers '!$E:$E,Drs_Crs!$A$173,'List of Ledgers '!$B:$B,Drs_Crs!$A319)</f>
        <v>0</v>
      </c>
      <c r="K319" s="54">
        <f>SUMIFS('List of Ledgers '!Q:Q,'List of Ledgers '!$E:$E,Drs_Crs!$A$173,'List of Ledgers '!$B:$B,Drs_Crs!$A319)</f>
        <v>0</v>
      </c>
    </row>
    <row r="320" spans="1:11" ht="13.9" x14ac:dyDescent="0.25">
      <c r="A320" s="125" t="s">
        <v>969</v>
      </c>
      <c r="B320" s="102" t="str">
        <f>VLOOKUP(A320,'List of Ledgers '!B:G,6,0)</f>
        <v>IT</v>
      </c>
      <c r="C320" s="54">
        <f>SUMIFS('List of Ledgers '!I:I,'List of Ledgers '!$E:$E,Drs_Crs!$A$173,'List of Ledgers '!$B:$B,Drs_Crs!$A320)</f>
        <v>0</v>
      </c>
      <c r="D320" s="54">
        <f>SUMIFS('List of Ledgers '!J:J,'List of Ledgers '!$E:$E,Drs_Crs!$A$173,'List of Ledgers '!$B:$B,Drs_Crs!$A320)</f>
        <v>0</v>
      </c>
      <c r="E320" s="54">
        <f>SUMIFS('List of Ledgers '!K:K,'List of Ledgers '!$E:$E,Drs_Crs!$A$173,'List of Ledgers '!$B:$B,Drs_Crs!$A320)</f>
        <v>0</v>
      </c>
      <c r="F320" s="54">
        <f>SUMIFS('List of Ledgers '!L:L,'List of Ledgers '!$E:$E,Drs_Crs!$A$173,'List of Ledgers '!$B:$B,Drs_Crs!$A320)</f>
        <v>0</v>
      </c>
      <c r="H320" s="54">
        <f>SUMIFS('List of Ledgers '!N:N,'List of Ledgers '!$E:$E,Drs_Crs!$A$173,'List of Ledgers '!$B:$B,Drs_Crs!$A320)</f>
        <v>0</v>
      </c>
      <c r="I320" s="54">
        <f>SUMIFS('List of Ledgers '!O:O,'List of Ledgers '!$E:$E,Drs_Crs!$A$173,'List of Ledgers '!$B:$B,Drs_Crs!$A320)</f>
        <v>1048430</v>
      </c>
      <c r="J320" s="54">
        <f>SUMIFS('List of Ledgers '!P:P,'List of Ledgers '!$E:$E,Drs_Crs!$A$173,'List of Ledgers '!$B:$B,Drs_Crs!$A320)</f>
        <v>1048430</v>
      </c>
      <c r="K320" s="54">
        <f>SUMIFS('List of Ledgers '!Q:Q,'List of Ledgers '!$E:$E,Drs_Crs!$A$173,'List of Ledgers '!$B:$B,Drs_Crs!$A320)</f>
        <v>0</v>
      </c>
    </row>
    <row r="321" spans="1:11" ht="13.9" x14ac:dyDescent="0.25">
      <c r="A321" s="125" t="s">
        <v>970</v>
      </c>
      <c r="B321" s="102" t="str">
        <f>VLOOKUP(A321,'List of Ledgers '!B:G,6,0)</f>
        <v>IT</v>
      </c>
      <c r="C321" s="54">
        <f>SUMIFS('List of Ledgers '!I:I,'List of Ledgers '!$E:$E,Drs_Crs!$A$173,'List of Ledgers '!$B:$B,Drs_Crs!$A321)</f>
        <v>0</v>
      </c>
      <c r="D321" s="54">
        <f>SUMIFS('List of Ledgers '!J:J,'List of Ledgers '!$E:$E,Drs_Crs!$A$173,'List of Ledgers '!$B:$B,Drs_Crs!$A321)</f>
        <v>0</v>
      </c>
      <c r="E321" s="54">
        <f>SUMIFS('List of Ledgers '!K:K,'List of Ledgers '!$E:$E,Drs_Crs!$A$173,'List of Ledgers '!$B:$B,Drs_Crs!$A321)</f>
        <v>0</v>
      </c>
      <c r="F321" s="54">
        <f>SUMIFS('List of Ledgers '!L:L,'List of Ledgers '!$E:$E,Drs_Crs!$A$173,'List of Ledgers '!$B:$B,Drs_Crs!$A321)</f>
        <v>0</v>
      </c>
      <c r="H321" s="54">
        <f>SUMIFS('List of Ledgers '!N:N,'List of Ledgers '!$E:$E,Drs_Crs!$A$173,'List of Ledgers '!$B:$B,Drs_Crs!$A321)</f>
        <v>-180</v>
      </c>
      <c r="I321" s="54">
        <f>SUMIFS('List of Ledgers '!O:O,'List of Ledgers '!$E:$E,Drs_Crs!$A$173,'List of Ledgers '!$B:$B,Drs_Crs!$A321)</f>
        <v>45624</v>
      </c>
      <c r="J321" s="54">
        <f>SUMIFS('List of Ledgers '!P:P,'List of Ledgers '!$E:$E,Drs_Crs!$A$173,'List of Ledgers '!$B:$B,Drs_Crs!$A321)</f>
        <v>45444</v>
      </c>
      <c r="K321" s="54">
        <f>SUMIFS('List of Ledgers '!Q:Q,'List of Ledgers '!$E:$E,Drs_Crs!$A$173,'List of Ledgers '!$B:$B,Drs_Crs!$A321)</f>
        <v>0</v>
      </c>
    </row>
    <row r="322" spans="1:11" s="193" customFormat="1" ht="13.9" x14ac:dyDescent="0.25">
      <c r="A322" s="226" t="s">
        <v>981</v>
      </c>
      <c r="B322" s="227" t="str">
        <f>VLOOKUP(A322,'List of Ledgers '!B:G,6,0)</f>
        <v>Clarus</v>
      </c>
      <c r="C322" s="228">
        <f>SUMIFS('List of Ledgers '!I:I,'List of Ledgers '!$E:$E,Drs_Crs!$A$173,'List of Ledgers '!$B:$B,Drs_Crs!$A322)</f>
        <v>113723</v>
      </c>
      <c r="D322" s="228">
        <f>SUMIFS('List of Ledgers '!J:J,'List of Ledgers '!$E:$E,Drs_Crs!$A$173,'List of Ledgers '!$B:$B,Drs_Crs!$A322)</f>
        <v>0</v>
      </c>
      <c r="E322" s="228">
        <f>SUMIFS('List of Ledgers '!K:K,'List of Ledgers '!$E:$E,Drs_Crs!$A$173,'List of Ledgers '!$B:$B,Drs_Crs!$A322)</f>
        <v>0</v>
      </c>
      <c r="F322" s="228">
        <f>SUMIFS('List of Ledgers '!L:L,'List of Ledgers '!$E:$E,Drs_Crs!$A$173,'List of Ledgers '!$B:$B,Drs_Crs!$A322)</f>
        <v>113723</v>
      </c>
      <c r="G322" s="197"/>
      <c r="H322" s="228">
        <f>SUMIFS('List of Ledgers '!N:N,'List of Ledgers '!$E:$E,Drs_Crs!$A$173,'List of Ledgers '!$B:$B,Drs_Crs!$A322)</f>
        <v>113723</v>
      </c>
      <c r="I322" s="228">
        <f>SUMIFS('List of Ledgers '!O:O,'List of Ledgers '!$E:$E,Drs_Crs!$A$173,'List of Ledgers '!$B:$B,Drs_Crs!$A322)</f>
        <v>0</v>
      </c>
      <c r="J322" s="228">
        <f>SUMIFS('List of Ledgers '!P:P,'List of Ledgers '!$E:$E,Drs_Crs!$A$173,'List of Ledgers '!$B:$B,Drs_Crs!$A322)</f>
        <v>0</v>
      </c>
      <c r="K322" s="228">
        <f>SUMIFS('List of Ledgers '!Q:Q,'List of Ledgers '!$E:$E,Drs_Crs!$A$173,'List of Ledgers '!$B:$B,Drs_Crs!$A322)</f>
        <v>113723</v>
      </c>
    </row>
    <row r="323" spans="1:11" ht="13.9" x14ac:dyDescent="0.25">
      <c r="A323" s="125" t="s">
        <v>982</v>
      </c>
      <c r="B323" s="102" t="str">
        <f>VLOOKUP(A323,'List of Ledgers '!B:G,6,0)</f>
        <v>Common</v>
      </c>
      <c r="C323" s="54">
        <f>SUMIFS('List of Ledgers '!I:I,'List of Ledgers '!$E:$E,Drs_Crs!$A$173,'List of Ledgers '!$B:$B,Drs_Crs!$A323)</f>
        <v>0</v>
      </c>
      <c r="D323" s="54">
        <f>SUMIFS('List of Ledgers '!J:J,'List of Ledgers '!$E:$E,Drs_Crs!$A$173,'List of Ledgers '!$B:$B,Drs_Crs!$A323)</f>
        <v>0</v>
      </c>
      <c r="E323" s="54">
        <f>SUMIFS('List of Ledgers '!K:K,'List of Ledgers '!$E:$E,Drs_Crs!$A$173,'List of Ledgers '!$B:$B,Drs_Crs!$A323)</f>
        <v>0</v>
      </c>
      <c r="F323" s="54">
        <f>SUMIFS('List of Ledgers '!L:L,'List of Ledgers '!$E:$E,Drs_Crs!$A$173,'List of Ledgers '!$B:$B,Drs_Crs!$A323)</f>
        <v>0</v>
      </c>
      <c r="H323" s="54">
        <f>SUMIFS('List of Ledgers '!N:N,'List of Ledgers '!$E:$E,Drs_Crs!$A$173,'List of Ledgers '!$B:$B,Drs_Crs!$A323)</f>
        <v>0</v>
      </c>
      <c r="I323" s="54">
        <f>SUMIFS('List of Ledgers '!O:O,'List of Ledgers '!$E:$E,Drs_Crs!$A$173,'List of Ledgers '!$B:$B,Drs_Crs!$A323)</f>
        <v>0</v>
      </c>
      <c r="J323" s="54">
        <f>SUMIFS('List of Ledgers '!P:P,'List of Ledgers '!$E:$E,Drs_Crs!$A$173,'List of Ledgers '!$B:$B,Drs_Crs!$A323)</f>
        <v>0</v>
      </c>
      <c r="K323" s="54">
        <f>SUMIFS('List of Ledgers '!Q:Q,'List of Ledgers '!$E:$E,Drs_Crs!$A$173,'List of Ledgers '!$B:$B,Drs_Crs!$A323)</f>
        <v>0</v>
      </c>
    </row>
    <row r="324" spans="1:11" ht="13.9" x14ac:dyDescent="0.25">
      <c r="A324" s="125" t="s">
        <v>984</v>
      </c>
      <c r="B324" s="102" t="str">
        <f>VLOOKUP(A324,'List of Ledgers '!B:G,6,0)</f>
        <v>Clarus</v>
      </c>
      <c r="C324" s="54">
        <f>SUMIFS('List of Ledgers '!I:I,'List of Ledgers '!$E:$E,Drs_Crs!$A$173,'List of Ledgers '!$B:$B,Drs_Crs!$A324)</f>
        <v>0</v>
      </c>
      <c r="D324" s="54">
        <f>SUMIFS('List of Ledgers '!J:J,'List of Ledgers '!$E:$E,Drs_Crs!$A$173,'List of Ledgers '!$B:$B,Drs_Crs!$A324)</f>
        <v>0</v>
      </c>
      <c r="E324" s="54">
        <f>SUMIFS('List of Ledgers '!K:K,'List of Ledgers '!$E:$E,Drs_Crs!$A$173,'List of Ledgers '!$B:$B,Drs_Crs!$A324)</f>
        <v>0</v>
      </c>
      <c r="F324" s="54">
        <f>SUMIFS('List of Ledgers '!L:L,'List of Ledgers '!$E:$E,Drs_Crs!$A$173,'List of Ledgers '!$B:$B,Drs_Crs!$A324)</f>
        <v>0</v>
      </c>
      <c r="H324" s="54">
        <f>SUMIFS('List of Ledgers '!N:N,'List of Ledgers '!$E:$E,Drs_Crs!$A$173,'List of Ledgers '!$B:$B,Drs_Crs!$A324)</f>
        <v>0</v>
      </c>
      <c r="I324" s="54">
        <f>SUMIFS('List of Ledgers '!O:O,'List of Ledgers '!$E:$E,Drs_Crs!$A$173,'List of Ledgers '!$B:$B,Drs_Crs!$A324)</f>
        <v>0</v>
      </c>
      <c r="J324" s="54">
        <f>SUMIFS('List of Ledgers '!P:P,'List of Ledgers '!$E:$E,Drs_Crs!$A$173,'List of Ledgers '!$B:$B,Drs_Crs!$A324)</f>
        <v>0</v>
      </c>
      <c r="K324" s="54">
        <f>SUMIFS('List of Ledgers '!Q:Q,'List of Ledgers '!$E:$E,Drs_Crs!$A$173,'List of Ledgers '!$B:$B,Drs_Crs!$A324)</f>
        <v>0</v>
      </c>
    </row>
    <row r="325" spans="1:11" ht="13.9" x14ac:dyDescent="0.25">
      <c r="A325" s="125" t="s">
        <v>992</v>
      </c>
      <c r="B325" s="102" t="str">
        <f>VLOOKUP(A325,'List of Ledgers '!B:G,6,0)</f>
        <v>Common</v>
      </c>
      <c r="C325" s="54">
        <f>SUMIFS('List of Ledgers '!I:I,'List of Ledgers '!$E:$E,Drs_Crs!$A$173,'List of Ledgers '!$B:$B,Drs_Crs!$A325)</f>
        <v>0</v>
      </c>
      <c r="D325" s="54">
        <f>SUMIFS('List of Ledgers '!J:J,'List of Ledgers '!$E:$E,Drs_Crs!$A$173,'List of Ledgers '!$B:$B,Drs_Crs!$A325)</f>
        <v>0</v>
      </c>
      <c r="E325" s="54">
        <f>SUMIFS('List of Ledgers '!K:K,'List of Ledgers '!$E:$E,Drs_Crs!$A$173,'List of Ledgers '!$B:$B,Drs_Crs!$A325)</f>
        <v>0</v>
      </c>
      <c r="F325" s="54">
        <f>SUMIFS('List of Ledgers '!L:L,'List of Ledgers '!$E:$E,Drs_Crs!$A$173,'List of Ledgers '!$B:$B,Drs_Crs!$A325)</f>
        <v>0</v>
      </c>
      <c r="H325" s="54">
        <f>SUMIFS('List of Ledgers '!N:N,'List of Ledgers '!$E:$E,Drs_Crs!$A$173,'List of Ledgers '!$B:$B,Drs_Crs!$A325)</f>
        <v>0</v>
      </c>
      <c r="I325" s="54">
        <f>SUMIFS('List of Ledgers '!O:O,'List of Ledgers '!$E:$E,Drs_Crs!$A$173,'List of Ledgers '!$B:$B,Drs_Crs!$A325)</f>
        <v>93223</v>
      </c>
      <c r="J325" s="54">
        <f>SUMIFS('List of Ledgers '!P:P,'List of Ledgers '!$E:$E,Drs_Crs!$A$173,'List of Ledgers '!$B:$B,Drs_Crs!$A325)</f>
        <v>93223</v>
      </c>
      <c r="K325" s="54">
        <f>SUMIFS('List of Ledgers '!Q:Q,'List of Ledgers '!$E:$E,Drs_Crs!$A$173,'List of Ledgers '!$B:$B,Drs_Crs!$A325)</f>
        <v>0</v>
      </c>
    </row>
    <row r="326" spans="1:11" ht="13.9" x14ac:dyDescent="0.25">
      <c r="A326" s="125" t="s">
        <v>995</v>
      </c>
      <c r="B326" s="102" t="str">
        <f>VLOOKUP(A326,'List of Ledgers '!B:G,6,0)</f>
        <v>Common</v>
      </c>
      <c r="C326" s="54">
        <f>SUMIFS('List of Ledgers '!I:I,'List of Ledgers '!$E:$E,Drs_Crs!$A$173,'List of Ledgers '!$B:$B,Drs_Crs!$A326)</f>
        <v>0</v>
      </c>
      <c r="D326" s="54">
        <f>SUMIFS('List of Ledgers '!J:J,'List of Ledgers '!$E:$E,Drs_Crs!$A$173,'List of Ledgers '!$B:$B,Drs_Crs!$A326)</f>
        <v>0</v>
      </c>
      <c r="E326" s="54">
        <f>SUMIFS('List of Ledgers '!K:K,'List of Ledgers '!$E:$E,Drs_Crs!$A$173,'List of Ledgers '!$B:$B,Drs_Crs!$A326)</f>
        <v>0</v>
      </c>
      <c r="F326" s="54">
        <f>SUMIFS('List of Ledgers '!L:L,'List of Ledgers '!$E:$E,Drs_Crs!$A$173,'List of Ledgers '!$B:$B,Drs_Crs!$A326)</f>
        <v>0</v>
      </c>
      <c r="H326" s="54">
        <f>SUMIFS('List of Ledgers '!N:N,'List of Ledgers '!$E:$E,Drs_Crs!$A$173,'List of Ledgers '!$B:$B,Drs_Crs!$A326)</f>
        <v>0</v>
      </c>
      <c r="I326" s="54">
        <f>SUMIFS('List of Ledgers '!O:O,'List of Ledgers '!$E:$E,Drs_Crs!$A$173,'List of Ledgers '!$B:$B,Drs_Crs!$A326)</f>
        <v>0</v>
      </c>
      <c r="J326" s="54">
        <f>SUMIFS('List of Ledgers '!P:P,'List of Ledgers '!$E:$E,Drs_Crs!$A$173,'List of Ledgers '!$B:$B,Drs_Crs!$A326)</f>
        <v>0</v>
      </c>
      <c r="K326" s="54">
        <f>SUMIFS('List of Ledgers '!Q:Q,'List of Ledgers '!$E:$E,Drs_Crs!$A$173,'List of Ledgers '!$B:$B,Drs_Crs!$A326)</f>
        <v>0</v>
      </c>
    </row>
    <row r="327" spans="1:11" ht="13.9" x14ac:dyDescent="0.25">
      <c r="A327" s="125" t="s">
        <v>1009</v>
      </c>
      <c r="B327" s="102" t="str">
        <f>VLOOKUP(A327,'List of Ledgers '!B:G,6,0)</f>
        <v>Common</v>
      </c>
      <c r="C327" s="54">
        <f>SUMIFS('List of Ledgers '!I:I,'List of Ledgers '!$E:$E,Drs_Crs!$A$173,'List of Ledgers '!$B:$B,Drs_Crs!$A327)</f>
        <v>0</v>
      </c>
      <c r="D327" s="54">
        <f>SUMIFS('List of Ledgers '!J:J,'List of Ledgers '!$E:$E,Drs_Crs!$A$173,'List of Ledgers '!$B:$B,Drs_Crs!$A327)</f>
        <v>0</v>
      </c>
      <c r="E327" s="54">
        <f>SUMIFS('List of Ledgers '!K:K,'List of Ledgers '!$E:$E,Drs_Crs!$A$173,'List of Ledgers '!$B:$B,Drs_Crs!$A327)</f>
        <v>0</v>
      </c>
      <c r="F327" s="54">
        <f>SUMIFS('List of Ledgers '!L:L,'List of Ledgers '!$E:$E,Drs_Crs!$A$173,'List of Ledgers '!$B:$B,Drs_Crs!$A327)</f>
        <v>0</v>
      </c>
      <c r="H327" s="54">
        <f>SUMIFS('List of Ledgers '!N:N,'List of Ledgers '!$E:$E,Drs_Crs!$A$173,'List of Ledgers '!$B:$B,Drs_Crs!$A327)</f>
        <v>0</v>
      </c>
      <c r="I327" s="54">
        <f>SUMIFS('List of Ledgers '!O:O,'List of Ledgers '!$E:$E,Drs_Crs!$A$173,'List of Ledgers '!$B:$B,Drs_Crs!$A327)</f>
        <v>42620</v>
      </c>
      <c r="J327" s="54">
        <f>SUMIFS('List of Ledgers '!P:P,'List of Ledgers '!$E:$E,Drs_Crs!$A$173,'List of Ledgers '!$B:$B,Drs_Crs!$A327)</f>
        <v>42620</v>
      </c>
      <c r="K327" s="54">
        <f>SUMIFS('List of Ledgers '!Q:Q,'List of Ledgers '!$E:$E,Drs_Crs!$A$173,'List of Ledgers '!$B:$B,Drs_Crs!$A327)</f>
        <v>0</v>
      </c>
    </row>
    <row r="328" spans="1:11" ht="13.9" x14ac:dyDescent="0.25">
      <c r="A328" s="125" t="s">
        <v>1010</v>
      </c>
      <c r="B328" s="102" t="str">
        <f>VLOOKUP(A328,'List of Ledgers '!B:G,6,0)</f>
        <v>Common</v>
      </c>
      <c r="C328" s="54">
        <f>SUMIFS('List of Ledgers '!I:I,'List of Ledgers '!$E:$E,Drs_Crs!$A$173,'List of Ledgers '!$B:$B,Drs_Crs!$A328)</f>
        <v>0</v>
      </c>
      <c r="D328" s="54">
        <f>SUMIFS('List of Ledgers '!J:J,'List of Ledgers '!$E:$E,Drs_Crs!$A$173,'List of Ledgers '!$B:$B,Drs_Crs!$A328)</f>
        <v>0</v>
      </c>
      <c r="E328" s="54">
        <f>SUMIFS('List of Ledgers '!K:K,'List of Ledgers '!$E:$E,Drs_Crs!$A$173,'List of Ledgers '!$B:$B,Drs_Crs!$A328)</f>
        <v>0</v>
      </c>
      <c r="F328" s="54">
        <f>SUMIFS('List of Ledgers '!L:L,'List of Ledgers '!$E:$E,Drs_Crs!$A$173,'List of Ledgers '!$B:$B,Drs_Crs!$A328)</f>
        <v>0</v>
      </c>
      <c r="H328" s="54">
        <f>SUMIFS('List of Ledgers '!N:N,'List of Ledgers '!$E:$E,Drs_Crs!$A$173,'List of Ledgers '!$B:$B,Drs_Crs!$A328)</f>
        <v>0</v>
      </c>
      <c r="I328" s="54">
        <f>SUMIFS('List of Ledgers '!O:O,'List of Ledgers '!$E:$E,Drs_Crs!$A$173,'List of Ledgers '!$B:$B,Drs_Crs!$A328)</f>
        <v>0</v>
      </c>
      <c r="J328" s="54">
        <f>SUMIFS('List of Ledgers '!P:P,'List of Ledgers '!$E:$E,Drs_Crs!$A$173,'List of Ledgers '!$B:$B,Drs_Crs!$A328)</f>
        <v>0</v>
      </c>
      <c r="K328" s="54">
        <f>SUMIFS('List of Ledgers '!Q:Q,'List of Ledgers '!$E:$E,Drs_Crs!$A$173,'List of Ledgers '!$B:$B,Drs_Crs!$A328)</f>
        <v>0</v>
      </c>
    </row>
    <row r="329" spans="1:11" ht="13.9" x14ac:dyDescent="0.25">
      <c r="A329" s="125" t="s">
        <v>849</v>
      </c>
      <c r="B329" s="102" t="str">
        <f>VLOOKUP(A329,'List of Ledgers '!B:G,6,0)</f>
        <v>Common</v>
      </c>
      <c r="C329" s="54">
        <f>SUMIFS('List of Ledgers '!I:I,'List of Ledgers '!$E:$E,Drs_Crs!$A$173,'List of Ledgers '!$B:$B,Drs_Crs!$A329)</f>
        <v>0</v>
      </c>
      <c r="D329" s="54">
        <f>SUMIFS('List of Ledgers '!J:J,'List of Ledgers '!$E:$E,Drs_Crs!$A$173,'List of Ledgers '!$B:$B,Drs_Crs!$A329)</f>
        <v>0</v>
      </c>
      <c r="E329" s="54">
        <f>SUMIFS('List of Ledgers '!K:K,'List of Ledgers '!$E:$E,Drs_Crs!$A$173,'List of Ledgers '!$B:$B,Drs_Crs!$A329)</f>
        <v>0</v>
      </c>
      <c r="F329" s="54">
        <f>SUMIFS('List of Ledgers '!L:L,'List of Ledgers '!$E:$E,Drs_Crs!$A$173,'List of Ledgers '!$B:$B,Drs_Crs!$A329)</f>
        <v>0</v>
      </c>
      <c r="H329" s="54">
        <f>SUMIFS('List of Ledgers '!N:N,'List of Ledgers '!$E:$E,Drs_Crs!$A$173,'List of Ledgers '!$B:$B,Drs_Crs!$A329)</f>
        <v>-587</v>
      </c>
      <c r="I329" s="54">
        <f>SUMIFS('List of Ledgers '!O:O,'List of Ledgers '!$E:$E,Drs_Crs!$A$173,'List of Ledgers '!$B:$B,Drs_Crs!$A329)</f>
        <v>587</v>
      </c>
      <c r="J329" s="54">
        <f>SUMIFS('List of Ledgers '!P:P,'List of Ledgers '!$E:$E,Drs_Crs!$A$173,'List of Ledgers '!$B:$B,Drs_Crs!$A329)</f>
        <v>0</v>
      </c>
      <c r="K329" s="54">
        <f>SUMIFS('List of Ledgers '!Q:Q,'List of Ledgers '!$E:$E,Drs_Crs!$A$173,'List of Ledgers '!$B:$B,Drs_Crs!$A329)</f>
        <v>0</v>
      </c>
    </row>
    <row r="330" spans="1:11" ht="13.9" x14ac:dyDescent="0.25">
      <c r="A330" s="125" t="s">
        <v>1013</v>
      </c>
      <c r="B330" s="102" t="str">
        <f>VLOOKUP(A330,'List of Ledgers '!B:G,6,0)</f>
        <v>Bluestreak</v>
      </c>
      <c r="C330" s="54">
        <f>SUMIFS('List of Ledgers '!I:I,'List of Ledgers '!$E:$E,Drs_Crs!$A$173,'List of Ledgers '!$B:$B,Drs_Crs!$A330)</f>
        <v>0</v>
      </c>
      <c r="D330" s="54">
        <f>SUMIFS('List of Ledgers '!J:J,'List of Ledgers '!$E:$E,Drs_Crs!$A$173,'List of Ledgers '!$B:$B,Drs_Crs!$A330)</f>
        <v>0</v>
      </c>
      <c r="E330" s="54">
        <f>SUMIFS('List of Ledgers '!K:K,'List of Ledgers '!$E:$E,Drs_Crs!$A$173,'List of Ledgers '!$B:$B,Drs_Crs!$A330)</f>
        <v>0</v>
      </c>
      <c r="F330" s="54">
        <f>SUMIFS('List of Ledgers '!L:L,'List of Ledgers '!$E:$E,Drs_Crs!$A$173,'List of Ledgers '!$B:$B,Drs_Crs!$A330)</f>
        <v>0</v>
      </c>
      <c r="H330" s="54">
        <f>SUMIFS('List of Ledgers '!N:N,'List of Ledgers '!$E:$E,Drs_Crs!$A$173,'List of Ledgers '!$B:$B,Drs_Crs!$A330)</f>
        <v>0</v>
      </c>
      <c r="I330" s="54">
        <f>SUMIFS('List of Ledgers '!O:O,'List of Ledgers '!$E:$E,Drs_Crs!$A$173,'List of Ledgers '!$B:$B,Drs_Crs!$A330)</f>
        <v>13127</v>
      </c>
      <c r="J330" s="54">
        <f>SUMIFS('List of Ledgers '!P:P,'List of Ledgers '!$E:$E,Drs_Crs!$A$173,'List of Ledgers '!$B:$B,Drs_Crs!$A330)</f>
        <v>13127</v>
      </c>
      <c r="K330" s="54">
        <f>SUMIFS('List of Ledgers '!Q:Q,'List of Ledgers '!$E:$E,Drs_Crs!$A$173,'List of Ledgers '!$B:$B,Drs_Crs!$A330)</f>
        <v>0</v>
      </c>
    </row>
    <row r="331" spans="1:11" ht="13.9" x14ac:dyDescent="0.25">
      <c r="A331" s="125" t="s">
        <v>1017</v>
      </c>
      <c r="B331" s="102" t="str">
        <f>VLOOKUP(A331,'List of Ledgers '!B:G,6,0)</f>
        <v>Common</v>
      </c>
      <c r="C331" s="54">
        <f>SUMIFS('List of Ledgers '!I:I,'List of Ledgers '!$E:$E,Drs_Crs!$A$173,'List of Ledgers '!$B:$B,Drs_Crs!$A331)</f>
        <v>0</v>
      </c>
      <c r="D331" s="54">
        <f>SUMIFS('List of Ledgers '!J:J,'List of Ledgers '!$E:$E,Drs_Crs!$A$173,'List of Ledgers '!$B:$B,Drs_Crs!$A331)</f>
        <v>0</v>
      </c>
      <c r="E331" s="54">
        <f>SUMIFS('List of Ledgers '!K:K,'List of Ledgers '!$E:$E,Drs_Crs!$A$173,'List of Ledgers '!$B:$B,Drs_Crs!$A331)</f>
        <v>0</v>
      </c>
      <c r="F331" s="54">
        <f>SUMIFS('List of Ledgers '!L:L,'List of Ledgers '!$E:$E,Drs_Crs!$A$173,'List of Ledgers '!$B:$B,Drs_Crs!$A331)</f>
        <v>0</v>
      </c>
      <c r="H331" s="54">
        <f>SUMIFS('List of Ledgers '!N:N,'List of Ledgers '!$E:$E,Drs_Crs!$A$173,'List of Ledgers '!$B:$B,Drs_Crs!$A331)</f>
        <v>0</v>
      </c>
      <c r="I331" s="54">
        <f>SUMIFS('List of Ledgers '!O:O,'List of Ledgers '!$E:$E,Drs_Crs!$A$173,'List of Ledgers '!$B:$B,Drs_Crs!$A331)</f>
        <v>0</v>
      </c>
      <c r="J331" s="54">
        <f>SUMIFS('List of Ledgers '!P:P,'List of Ledgers '!$E:$E,Drs_Crs!$A$173,'List of Ledgers '!$B:$B,Drs_Crs!$A331)</f>
        <v>0</v>
      </c>
      <c r="K331" s="54">
        <f>SUMIFS('List of Ledgers '!Q:Q,'List of Ledgers '!$E:$E,Drs_Crs!$A$173,'List of Ledgers '!$B:$B,Drs_Crs!$A331)</f>
        <v>0</v>
      </c>
    </row>
    <row r="332" spans="1:11" ht="13.9" x14ac:dyDescent="0.25">
      <c r="A332" s="125" t="s">
        <v>177</v>
      </c>
      <c r="B332" s="102" t="str">
        <f>VLOOKUP(A332,'List of Ledgers '!B:G,6,0)</f>
        <v>IT</v>
      </c>
      <c r="C332" s="54">
        <f>SUMIFS('List of Ledgers '!I:I,'List of Ledgers '!$E:$E,Drs_Crs!$A$173,'List of Ledgers '!$B:$B,Drs_Crs!$A332)</f>
        <v>0</v>
      </c>
      <c r="D332" s="54">
        <f>SUMIFS('List of Ledgers '!J:J,'List of Ledgers '!$E:$E,Drs_Crs!$A$173,'List of Ledgers '!$B:$B,Drs_Crs!$A332)</f>
        <v>0</v>
      </c>
      <c r="E332" s="54">
        <f>SUMIFS('List of Ledgers '!K:K,'List of Ledgers '!$E:$E,Drs_Crs!$A$173,'List of Ledgers '!$B:$B,Drs_Crs!$A332)</f>
        <v>0</v>
      </c>
      <c r="F332" s="54">
        <f>SUMIFS('List of Ledgers '!L:L,'List of Ledgers '!$E:$E,Drs_Crs!$A$173,'List of Ledgers '!$B:$B,Drs_Crs!$A332)</f>
        <v>0</v>
      </c>
      <c r="H332" s="54">
        <f>SUMIFS('List of Ledgers '!N:N,'List of Ledgers '!$E:$E,Drs_Crs!$A$173,'List of Ledgers '!$B:$B,Drs_Crs!$A332)</f>
        <v>0</v>
      </c>
      <c r="I332" s="54">
        <f>SUMIFS('List of Ledgers '!O:O,'List of Ledgers '!$E:$E,Drs_Crs!$A$173,'List of Ledgers '!$B:$B,Drs_Crs!$A332)</f>
        <v>110979</v>
      </c>
      <c r="J332" s="54">
        <f>SUMIFS('List of Ledgers '!P:P,'List of Ledgers '!$E:$E,Drs_Crs!$A$173,'List of Ledgers '!$B:$B,Drs_Crs!$A332)</f>
        <v>110979</v>
      </c>
      <c r="K332" s="54">
        <f>SUMIFS('List of Ledgers '!Q:Q,'List of Ledgers '!$E:$E,Drs_Crs!$A$173,'List of Ledgers '!$B:$B,Drs_Crs!$A332)</f>
        <v>0</v>
      </c>
    </row>
    <row r="333" spans="1:11" s="193" customFormat="1" ht="13.9" x14ac:dyDescent="0.25">
      <c r="A333" s="226" t="s">
        <v>352</v>
      </c>
      <c r="B333" s="227" t="str">
        <f>VLOOKUP(A333,'List of Ledgers '!B:G,6,0)</f>
        <v>IT</v>
      </c>
      <c r="C333" s="228">
        <f>SUMIFS('List of Ledgers '!I:I,'List of Ledgers '!$E:$E,Drs_Crs!$A$173,'List of Ledgers '!$B:$B,Drs_Crs!$A333)</f>
        <v>282</v>
      </c>
      <c r="D333" s="228">
        <f>SUMIFS('List of Ledgers '!J:J,'List of Ledgers '!$E:$E,Drs_Crs!$A$173,'List of Ledgers '!$B:$B,Drs_Crs!$A333)</f>
        <v>0</v>
      </c>
      <c r="E333" s="228">
        <f>SUMIFS('List of Ledgers '!K:K,'List of Ledgers '!$E:$E,Drs_Crs!$A$173,'List of Ledgers '!$B:$B,Drs_Crs!$A333)</f>
        <v>0</v>
      </c>
      <c r="F333" s="228">
        <f>SUMIFS('List of Ledgers '!L:L,'List of Ledgers '!$E:$E,Drs_Crs!$A$173,'List of Ledgers '!$B:$B,Drs_Crs!$A333)</f>
        <v>282</v>
      </c>
      <c r="G333" s="197"/>
      <c r="H333" s="228">
        <f>SUMIFS('List of Ledgers '!N:N,'List of Ledgers '!$E:$E,Drs_Crs!$A$173,'List of Ledgers '!$B:$B,Drs_Crs!$A333)</f>
        <v>0</v>
      </c>
      <c r="I333" s="228">
        <f>SUMIFS('List of Ledgers '!O:O,'List of Ledgers '!$E:$E,Drs_Crs!$A$173,'List of Ledgers '!$B:$B,Drs_Crs!$A333)</f>
        <v>6232783</v>
      </c>
      <c r="J333" s="228">
        <f>SUMIFS('List of Ledgers '!P:P,'List of Ledgers '!$E:$E,Drs_Crs!$A$173,'List of Ledgers '!$B:$B,Drs_Crs!$A333)</f>
        <v>6232501</v>
      </c>
      <c r="K333" s="228">
        <f>SUMIFS('List of Ledgers '!Q:Q,'List of Ledgers '!$E:$E,Drs_Crs!$A$173,'List of Ledgers '!$B:$B,Drs_Crs!$A333)</f>
        <v>282</v>
      </c>
    </row>
    <row r="334" spans="1:11" ht="13.9" x14ac:dyDescent="0.25">
      <c r="A334" s="125" t="s">
        <v>375</v>
      </c>
      <c r="B334" s="102" t="str">
        <f>VLOOKUP(A334,'List of Ledgers '!B:G,6,0)</f>
        <v>IT</v>
      </c>
      <c r="C334" s="54">
        <f>SUMIFS('List of Ledgers '!I:I,'List of Ledgers '!$E:$E,Drs_Crs!$A$173,'List of Ledgers '!$B:$B,Drs_Crs!$A334)</f>
        <v>24841</v>
      </c>
      <c r="D334" s="54">
        <f>SUMIFS('List of Ledgers '!J:J,'List of Ledgers '!$E:$E,Drs_Crs!$A$173,'List of Ledgers '!$B:$B,Drs_Crs!$A334)</f>
        <v>0</v>
      </c>
      <c r="E334" s="54">
        <f>SUMIFS('List of Ledgers '!K:K,'List of Ledgers '!$E:$E,Drs_Crs!$A$173,'List of Ledgers '!$B:$B,Drs_Crs!$A334)</f>
        <v>24841</v>
      </c>
      <c r="F334" s="54">
        <f>SUMIFS('List of Ledgers '!L:L,'List of Ledgers '!$E:$E,Drs_Crs!$A$173,'List of Ledgers '!$B:$B,Drs_Crs!$A334)</f>
        <v>0</v>
      </c>
      <c r="H334" s="54">
        <f>SUMIFS('List of Ledgers '!N:N,'List of Ledgers '!$E:$E,Drs_Crs!$A$173,'List of Ledgers '!$B:$B,Drs_Crs!$A334)</f>
        <v>0</v>
      </c>
      <c r="I334" s="54">
        <f>SUMIFS('List of Ledgers '!O:O,'List of Ledgers '!$E:$E,Drs_Crs!$A$173,'List of Ledgers '!$B:$B,Drs_Crs!$A334)</f>
        <v>35235543</v>
      </c>
      <c r="J334" s="54">
        <f>SUMIFS('List of Ledgers '!P:P,'List of Ledgers '!$E:$E,Drs_Crs!$A$173,'List of Ledgers '!$B:$B,Drs_Crs!$A334)</f>
        <v>35235543</v>
      </c>
      <c r="K334" s="54">
        <f>SUMIFS('List of Ledgers '!Q:Q,'List of Ledgers '!$E:$E,Drs_Crs!$A$173,'List of Ledgers '!$B:$B,Drs_Crs!$A334)</f>
        <v>0</v>
      </c>
    </row>
    <row r="335" spans="1:11" ht="13.9" x14ac:dyDescent="0.25">
      <c r="A335" s="125" t="s">
        <v>491</v>
      </c>
      <c r="B335" s="102" t="str">
        <f>VLOOKUP(A335,'List of Ledgers '!B:G,6,0)</f>
        <v>IT</v>
      </c>
      <c r="C335" s="54">
        <f>SUMIFS('List of Ledgers '!I:I,'List of Ledgers '!$E:$E,Drs_Crs!$A$173,'List of Ledgers '!$B:$B,Drs_Crs!$A335)</f>
        <v>1433</v>
      </c>
      <c r="D335" s="54">
        <f>SUMIFS('List of Ledgers '!J:J,'List of Ledgers '!$E:$E,Drs_Crs!$A$173,'List of Ledgers '!$B:$B,Drs_Crs!$A335)</f>
        <v>0</v>
      </c>
      <c r="E335" s="54">
        <f>SUMIFS('List of Ledgers '!K:K,'List of Ledgers '!$E:$E,Drs_Crs!$A$173,'List of Ledgers '!$B:$B,Drs_Crs!$A335)</f>
        <v>9603</v>
      </c>
      <c r="F335" s="54">
        <f>SUMIFS('List of Ledgers '!L:L,'List of Ledgers '!$E:$E,Drs_Crs!$A$173,'List of Ledgers '!$B:$B,Drs_Crs!$A335)</f>
        <v>-8170</v>
      </c>
      <c r="H335" s="54">
        <f>SUMIFS('List of Ledgers '!N:N,'List of Ledgers '!$E:$E,Drs_Crs!$A$173,'List of Ledgers '!$B:$B,Drs_Crs!$A335)</f>
        <v>0</v>
      </c>
      <c r="I335" s="54">
        <f>SUMIFS('List of Ledgers '!O:O,'List of Ledgers '!$E:$E,Drs_Crs!$A$173,'List of Ledgers '!$B:$B,Drs_Crs!$A335)</f>
        <v>28246533</v>
      </c>
      <c r="J335" s="54">
        <f>SUMIFS('List of Ledgers '!P:P,'List of Ledgers '!$E:$E,Drs_Crs!$A$173,'List of Ledgers '!$B:$B,Drs_Crs!$A335)</f>
        <v>28254703</v>
      </c>
      <c r="K335" s="54">
        <f>SUMIFS('List of Ledgers '!Q:Q,'List of Ledgers '!$E:$E,Drs_Crs!$A$173,'List of Ledgers '!$B:$B,Drs_Crs!$A335)</f>
        <v>-8170</v>
      </c>
    </row>
    <row r="336" spans="1:11" ht="13.9" x14ac:dyDescent="0.25">
      <c r="A336" s="125" t="s">
        <v>571</v>
      </c>
      <c r="B336" s="102" t="str">
        <f>VLOOKUP(A336,'List of Ledgers '!B:G,6,0)</f>
        <v>IT</v>
      </c>
      <c r="C336" s="54">
        <f>SUMIFS('List of Ledgers '!I:I,'List of Ledgers '!$E:$E,Drs_Crs!$A$173,'List of Ledgers '!$B:$B,Drs_Crs!$A336)</f>
        <v>0</v>
      </c>
      <c r="D336" s="54">
        <f>SUMIFS('List of Ledgers '!J:J,'List of Ledgers '!$E:$E,Drs_Crs!$A$173,'List of Ledgers '!$B:$B,Drs_Crs!$A336)</f>
        <v>0</v>
      </c>
      <c r="E336" s="54">
        <f>SUMIFS('List of Ledgers '!K:K,'List of Ledgers '!$E:$E,Drs_Crs!$A$173,'List of Ledgers '!$B:$B,Drs_Crs!$A336)</f>
        <v>0</v>
      </c>
      <c r="F336" s="54">
        <f>SUMIFS('List of Ledgers '!L:L,'List of Ledgers '!$E:$E,Drs_Crs!$A$173,'List of Ledgers '!$B:$B,Drs_Crs!$A336)</f>
        <v>0</v>
      </c>
      <c r="H336" s="54">
        <f>SUMIFS('List of Ledgers '!N:N,'List of Ledgers '!$E:$E,Drs_Crs!$A$173,'List of Ledgers '!$B:$B,Drs_Crs!$A336)</f>
        <v>0</v>
      </c>
      <c r="I336" s="54">
        <f>SUMIFS('List of Ledgers '!O:O,'List of Ledgers '!$E:$E,Drs_Crs!$A$173,'List of Ledgers '!$B:$B,Drs_Crs!$A336)</f>
        <v>24405.1</v>
      </c>
      <c r="J336" s="54">
        <f>SUMIFS('List of Ledgers '!P:P,'List of Ledgers '!$E:$E,Drs_Crs!$A$173,'List of Ledgers '!$B:$B,Drs_Crs!$A336)</f>
        <v>24405.1</v>
      </c>
      <c r="K336" s="54">
        <f>SUMIFS('List of Ledgers '!Q:Q,'List of Ledgers '!$E:$E,Drs_Crs!$A$173,'List of Ledgers '!$B:$B,Drs_Crs!$A336)</f>
        <v>0</v>
      </c>
    </row>
    <row r="337" spans="1:11" ht="13.9" x14ac:dyDescent="0.25">
      <c r="A337" s="125" t="s">
        <v>572</v>
      </c>
      <c r="B337" s="102" t="str">
        <f>VLOOKUP(A337,'List of Ledgers '!B:G,6,0)</f>
        <v>IT</v>
      </c>
      <c r="C337" s="54">
        <f>SUMIFS('List of Ledgers '!I:I,'List of Ledgers '!$E:$E,Drs_Crs!$A$173,'List of Ledgers '!$B:$B,Drs_Crs!$A337)</f>
        <v>0</v>
      </c>
      <c r="D337" s="54">
        <f>SUMIFS('List of Ledgers '!J:J,'List of Ledgers '!$E:$E,Drs_Crs!$A$173,'List of Ledgers '!$B:$B,Drs_Crs!$A337)</f>
        <v>0</v>
      </c>
      <c r="E337" s="54">
        <f>SUMIFS('List of Ledgers '!K:K,'List of Ledgers '!$E:$E,Drs_Crs!$A$173,'List of Ledgers '!$B:$B,Drs_Crs!$A337)</f>
        <v>0</v>
      </c>
      <c r="F337" s="54">
        <f>SUMIFS('List of Ledgers '!L:L,'List of Ledgers '!$E:$E,Drs_Crs!$A$173,'List of Ledgers '!$B:$B,Drs_Crs!$A337)</f>
        <v>0</v>
      </c>
      <c r="H337" s="54">
        <f>SUMIFS('List of Ledgers '!N:N,'List of Ledgers '!$E:$E,Drs_Crs!$A$173,'List of Ledgers '!$B:$B,Drs_Crs!$A337)</f>
        <v>0</v>
      </c>
      <c r="I337" s="54">
        <f>SUMIFS('List of Ledgers '!O:O,'List of Ledgers '!$E:$E,Drs_Crs!$A$173,'List of Ledgers '!$B:$B,Drs_Crs!$A337)</f>
        <v>18885</v>
      </c>
      <c r="J337" s="54">
        <f>SUMIFS('List of Ledgers '!P:P,'List of Ledgers '!$E:$E,Drs_Crs!$A$173,'List of Ledgers '!$B:$B,Drs_Crs!$A337)</f>
        <v>18885</v>
      </c>
      <c r="K337" s="54">
        <f>SUMIFS('List of Ledgers '!Q:Q,'List of Ledgers '!$E:$E,Drs_Crs!$A$173,'List of Ledgers '!$B:$B,Drs_Crs!$A337)</f>
        <v>0</v>
      </c>
    </row>
    <row r="338" spans="1:11" s="193" customFormat="1" ht="13.9" x14ac:dyDescent="0.25">
      <c r="A338" s="226" t="s">
        <v>770</v>
      </c>
      <c r="B338" s="227" t="str">
        <f>VLOOKUP(A338,'List of Ledgers '!B:G,6,0)</f>
        <v>IT</v>
      </c>
      <c r="C338" s="228">
        <f>SUMIFS('List of Ledgers '!I:I,'List of Ledgers '!$E:$E,Drs_Crs!$A$173,'List of Ledgers '!$B:$B,Drs_Crs!$A338)</f>
        <v>279</v>
      </c>
      <c r="D338" s="228">
        <f>SUMIFS('List of Ledgers '!J:J,'List of Ledgers '!$E:$E,Drs_Crs!$A$173,'List of Ledgers '!$B:$B,Drs_Crs!$A338)</f>
        <v>0</v>
      </c>
      <c r="E338" s="228">
        <f>SUMIFS('List of Ledgers '!K:K,'List of Ledgers '!$E:$E,Drs_Crs!$A$173,'List of Ledgers '!$B:$B,Drs_Crs!$A338)</f>
        <v>304</v>
      </c>
      <c r="F338" s="228">
        <f>SUMIFS('List of Ledgers '!L:L,'List of Ledgers '!$E:$E,Drs_Crs!$A$173,'List of Ledgers '!$B:$B,Drs_Crs!$A338)</f>
        <v>-25</v>
      </c>
      <c r="G338" s="197" t="s">
        <v>1414</v>
      </c>
      <c r="H338" s="228">
        <f>SUMIFS('List of Ledgers '!N:N,'List of Ledgers '!$E:$E,Drs_Crs!$A$173,'List of Ledgers '!$B:$B,Drs_Crs!$A338)</f>
        <v>0</v>
      </c>
      <c r="I338" s="228">
        <f>SUMIFS('List of Ledgers '!O:O,'List of Ledgers '!$E:$E,Drs_Crs!$A$173,'List of Ledgers '!$B:$B,Drs_Crs!$A338)</f>
        <v>6229420</v>
      </c>
      <c r="J338" s="228">
        <f>SUMIFS('List of Ledgers '!P:P,'List of Ledgers '!$E:$E,Drs_Crs!$A$173,'List of Ledgers '!$B:$B,Drs_Crs!$A338)</f>
        <v>6229445</v>
      </c>
      <c r="K338" s="228">
        <f>SUMIFS('List of Ledgers '!Q:Q,'List of Ledgers '!$E:$E,Drs_Crs!$A$173,'List of Ledgers '!$B:$B,Drs_Crs!$A338)</f>
        <v>-25</v>
      </c>
    </row>
    <row r="339" spans="1:11" ht="13.9" x14ac:dyDescent="0.25">
      <c r="A339" s="125" t="s">
        <v>950</v>
      </c>
      <c r="B339" s="102" t="str">
        <f>VLOOKUP(A339,'List of Ledgers '!B:G,6,0)</f>
        <v>IT</v>
      </c>
      <c r="C339" s="54">
        <f>SUMIFS('List of Ledgers '!I:I,'List of Ledgers '!$E:$E,Drs_Crs!$A$173,'List of Ledgers '!$B:$B,Drs_Crs!$A339)</f>
        <v>0</v>
      </c>
      <c r="D339" s="54">
        <f>SUMIFS('List of Ledgers '!J:J,'List of Ledgers '!$E:$E,Drs_Crs!$A$173,'List of Ledgers '!$B:$B,Drs_Crs!$A339)</f>
        <v>0</v>
      </c>
      <c r="E339" s="54">
        <f>SUMIFS('List of Ledgers '!K:K,'List of Ledgers '!$E:$E,Drs_Crs!$A$173,'List of Ledgers '!$B:$B,Drs_Crs!$A339)</f>
        <v>0</v>
      </c>
      <c r="F339" s="54">
        <f>SUMIFS('List of Ledgers '!L:L,'List of Ledgers '!$E:$E,Drs_Crs!$A$173,'List of Ledgers '!$B:$B,Drs_Crs!$A339)</f>
        <v>0</v>
      </c>
      <c r="H339" s="54">
        <f>SUMIFS('List of Ledgers '!N:N,'List of Ledgers '!$E:$E,Drs_Crs!$A$173,'List of Ledgers '!$B:$B,Drs_Crs!$A339)</f>
        <v>0</v>
      </c>
      <c r="I339" s="54">
        <f>SUMIFS('List of Ledgers '!O:O,'List of Ledgers '!$E:$E,Drs_Crs!$A$173,'List of Ledgers '!$B:$B,Drs_Crs!$A339)</f>
        <v>9173175</v>
      </c>
      <c r="J339" s="54">
        <f>SUMIFS('List of Ledgers '!P:P,'List of Ledgers '!$E:$E,Drs_Crs!$A$173,'List of Ledgers '!$B:$B,Drs_Crs!$A339)</f>
        <v>9173175</v>
      </c>
      <c r="K339" s="54">
        <f>SUMIFS('List of Ledgers '!Q:Q,'List of Ledgers '!$E:$E,Drs_Crs!$A$173,'List of Ledgers '!$B:$B,Drs_Crs!$A339)</f>
        <v>0</v>
      </c>
    </row>
    <row r="340" spans="1:11" ht="13.9" x14ac:dyDescent="0.25">
      <c r="A340" s="125" t="s">
        <v>957</v>
      </c>
      <c r="B340" s="102" t="str">
        <f>VLOOKUP(A340,'List of Ledgers '!B:G,6,0)</f>
        <v>IT</v>
      </c>
      <c r="C340" s="54">
        <f>SUMIFS('List of Ledgers '!I:I,'List of Ledgers '!$E:$E,Drs_Crs!$A$173,'List of Ledgers '!$B:$B,Drs_Crs!$A340)</f>
        <v>0</v>
      </c>
      <c r="D340" s="54">
        <f>SUMIFS('List of Ledgers '!J:J,'List of Ledgers '!$E:$E,Drs_Crs!$A$173,'List of Ledgers '!$B:$B,Drs_Crs!$A340)</f>
        <v>0</v>
      </c>
      <c r="E340" s="54">
        <f>SUMIFS('List of Ledgers '!K:K,'List of Ledgers '!$E:$E,Drs_Crs!$A$173,'List of Ledgers '!$B:$B,Drs_Crs!$A340)</f>
        <v>0</v>
      </c>
      <c r="F340" s="54">
        <f>SUMIFS('List of Ledgers '!L:L,'List of Ledgers '!$E:$E,Drs_Crs!$A$173,'List of Ledgers '!$B:$B,Drs_Crs!$A340)</f>
        <v>0</v>
      </c>
      <c r="H340" s="54">
        <f>SUMIFS('List of Ledgers '!N:N,'List of Ledgers '!$E:$E,Drs_Crs!$A$173,'List of Ledgers '!$B:$B,Drs_Crs!$A340)</f>
        <v>0</v>
      </c>
      <c r="I340" s="54">
        <f>SUMIFS('List of Ledgers '!O:O,'List of Ledgers '!$E:$E,Drs_Crs!$A$173,'List of Ledgers '!$B:$B,Drs_Crs!$A340)</f>
        <v>94293</v>
      </c>
      <c r="J340" s="54">
        <f>SUMIFS('List of Ledgers '!P:P,'List of Ledgers '!$E:$E,Drs_Crs!$A$173,'List of Ledgers '!$B:$B,Drs_Crs!$A340)</f>
        <v>94293</v>
      </c>
      <c r="K340" s="54">
        <f>SUMIFS('List of Ledgers '!Q:Q,'List of Ledgers '!$E:$E,Drs_Crs!$A$173,'List of Ledgers '!$B:$B,Drs_Crs!$A340)</f>
        <v>0</v>
      </c>
    </row>
    <row r="341" spans="1:11" s="193" customFormat="1" ht="13.9" x14ac:dyDescent="0.25">
      <c r="A341" s="226" t="s">
        <v>507</v>
      </c>
      <c r="B341" s="227" t="str">
        <f>VLOOKUP(A341,'List of Ledgers '!B:G,6,0)</f>
        <v>Common</v>
      </c>
      <c r="C341" s="228">
        <f>SUMIFS('List of Ledgers '!I:I,'List of Ledgers '!$E:$E,Drs_Crs!$A$173,'List of Ledgers '!$B:$B,Drs_Crs!$A341)</f>
        <v>199900</v>
      </c>
      <c r="D341" s="228">
        <f>SUMIFS('List of Ledgers '!J:J,'List of Ledgers '!$E:$E,Drs_Crs!$A$173,'List of Ledgers '!$B:$B,Drs_Crs!$A341)</f>
        <v>0</v>
      </c>
      <c r="E341" s="228">
        <f>SUMIFS('List of Ledgers '!K:K,'List of Ledgers '!$E:$E,Drs_Crs!$A$173,'List of Ledgers '!$B:$B,Drs_Crs!$A341)</f>
        <v>100000</v>
      </c>
      <c r="F341" s="228">
        <f>SUMIFS('List of Ledgers '!L:L,'List of Ledgers '!$E:$E,Drs_Crs!$A$173,'List of Ledgers '!$B:$B,Drs_Crs!$A341)</f>
        <v>99900</v>
      </c>
      <c r="G341" s="197"/>
      <c r="H341" s="228">
        <f>SUMIFS('List of Ledgers '!N:N,'List of Ledgers '!$E:$E,Drs_Crs!$A$173,'List of Ledgers '!$B:$B,Drs_Crs!$A341)</f>
        <v>0</v>
      </c>
      <c r="I341" s="228">
        <f>SUMIFS('List of Ledgers '!O:O,'List of Ledgers '!$E:$E,Drs_Crs!$A$173,'List of Ledgers '!$B:$B,Drs_Crs!$A341)</f>
        <v>300000</v>
      </c>
      <c r="J341" s="228">
        <f>SUMIFS('List of Ledgers '!P:P,'List of Ledgers '!$E:$E,Drs_Crs!$A$173,'List of Ledgers '!$B:$B,Drs_Crs!$A341)</f>
        <v>200100</v>
      </c>
      <c r="K341" s="228">
        <f>SUMIFS('List of Ledgers '!Q:Q,'List of Ledgers '!$E:$E,Drs_Crs!$A$173,'List of Ledgers '!$B:$B,Drs_Crs!$A341)</f>
        <v>99900</v>
      </c>
    </row>
    <row r="342" spans="1:11" ht="13.9" x14ac:dyDescent="0.25">
      <c r="A342" s="125" t="s">
        <v>554</v>
      </c>
      <c r="B342" s="102" t="str">
        <f>VLOOKUP(A342,'List of Ledgers '!B:G,6,0)</f>
        <v>IT</v>
      </c>
      <c r="C342" s="54">
        <f>SUMIFS('List of Ledgers '!I:I,'List of Ledgers '!$E:$E,Drs_Crs!$A$173,'List of Ledgers '!$B:$B,Drs_Crs!$A342)</f>
        <v>0</v>
      </c>
      <c r="D342" s="54">
        <f>SUMIFS('List of Ledgers '!J:J,'List of Ledgers '!$E:$E,Drs_Crs!$A$173,'List of Ledgers '!$B:$B,Drs_Crs!$A342)</f>
        <v>0</v>
      </c>
      <c r="E342" s="54">
        <f>SUMIFS('List of Ledgers '!K:K,'List of Ledgers '!$E:$E,Drs_Crs!$A$173,'List of Ledgers '!$B:$B,Drs_Crs!$A342)</f>
        <v>0</v>
      </c>
      <c r="F342" s="54">
        <f>SUMIFS('List of Ledgers '!L:L,'List of Ledgers '!$E:$E,Drs_Crs!$A$173,'List of Ledgers '!$B:$B,Drs_Crs!$A342)</f>
        <v>0</v>
      </c>
      <c r="H342" s="54">
        <f>SUMIFS('List of Ledgers '!N:N,'List of Ledgers '!$E:$E,Drs_Crs!$A$173,'List of Ledgers '!$B:$B,Drs_Crs!$A342)</f>
        <v>0</v>
      </c>
      <c r="I342" s="54">
        <f>SUMIFS('List of Ledgers '!O:O,'List of Ledgers '!$E:$E,Drs_Crs!$A$173,'List of Ledgers '!$B:$B,Drs_Crs!$A342)</f>
        <v>89147</v>
      </c>
      <c r="J342" s="54">
        <f>SUMIFS('List of Ledgers '!P:P,'List of Ledgers '!$E:$E,Drs_Crs!$A$173,'List of Ledgers '!$B:$B,Drs_Crs!$A342)</f>
        <v>89147</v>
      </c>
      <c r="K342" s="54">
        <f>SUMIFS('List of Ledgers '!Q:Q,'List of Ledgers '!$E:$E,Drs_Crs!$A$173,'List of Ledgers '!$B:$B,Drs_Crs!$A342)</f>
        <v>0</v>
      </c>
    </row>
    <row r="343" spans="1:11" ht="13.9" x14ac:dyDescent="0.25">
      <c r="A343" s="125" t="s">
        <v>639</v>
      </c>
      <c r="B343" s="102" t="str">
        <f>VLOOKUP(A343,'List of Ledgers '!B:G,6,0)</f>
        <v>IT</v>
      </c>
      <c r="C343" s="54">
        <f>SUMIFS('List of Ledgers '!I:I,'List of Ledgers '!$E:$E,Drs_Crs!$A$173,'List of Ledgers '!$B:$B,Drs_Crs!$A343)</f>
        <v>0</v>
      </c>
      <c r="D343" s="54">
        <f>SUMIFS('List of Ledgers '!J:J,'List of Ledgers '!$E:$E,Drs_Crs!$A$173,'List of Ledgers '!$B:$B,Drs_Crs!$A343)</f>
        <v>0</v>
      </c>
      <c r="E343" s="54">
        <f>SUMIFS('List of Ledgers '!K:K,'List of Ledgers '!$E:$E,Drs_Crs!$A$173,'List of Ledgers '!$B:$B,Drs_Crs!$A343)</f>
        <v>0</v>
      </c>
      <c r="F343" s="54">
        <f>SUMIFS('List of Ledgers '!L:L,'List of Ledgers '!$E:$E,Drs_Crs!$A$173,'List of Ledgers '!$B:$B,Drs_Crs!$A343)</f>
        <v>0</v>
      </c>
      <c r="H343" s="54">
        <f>SUMIFS('List of Ledgers '!N:N,'List of Ledgers '!$E:$E,Drs_Crs!$A$173,'List of Ledgers '!$B:$B,Drs_Crs!$A343)</f>
        <v>0</v>
      </c>
      <c r="I343" s="54">
        <f>SUMIFS('List of Ledgers '!O:O,'List of Ledgers '!$E:$E,Drs_Crs!$A$173,'List of Ledgers '!$B:$B,Drs_Crs!$A343)</f>
        <v>2043500</v>
      </c>
      <c r="J343" s="54">
        <f>SUMIFS('List of Ledgers '!P:P,'List of Ledgers '!$E:$E,Drs_Crs!$A$173,'List of Ledgers '!$B:$B,Drs_Crs!$A343)</f>
        <v>2043500</v>
      </c>
      <c r="K343" s="54">
        <f>SUMIFS('List of Ledgers '!Q:Q,'List of Ledgers '!$E:$E,Drs_Crs!$A$173,'List of Ledgers '!$B:$B,Drs_Crs!$A343)</f>
        <v>0</v>
      </c>
    </row>
    <row r="344" spans="1:11" ht="13.9" x14ac:dyDescent="0.25">
      <c r="A344" s="125" t="s">
        <v>670</v>
      </c>
      <c r="B344" s="102" t="str">
        <f>VLOOKUP(A344,'List of Ledgers '!B:G,6,0)</f>
        <v>IT</v>
      </c>
      <c r="C344" s="54">
        <f>SUMIFS('List of Ledgers '!I:I,'List of Ledgers '!$E:$E,Drs_Crs!$A$173,'List of Ledgers '!$B:$B,Drs_Crs!$A344)</f>
        <v>0</v>
      </c>
      <c r="D344" s="54">
        <f>SUMIFS('List of Ledgers '!J:J,'List of Ledgers '!$E:$E,Drs_Crs!$A$173,'List of Ledgers '!$B:$B,Drs_Crs!$A344)</f>
        <v>0</v>
      </c>
      <c r="E344" s="54">
        <f>SUMIFS('List of Ledgers '!K:K,'List of Ledgers '!$E:$E,Drs_Crs!$A$173,'List of Ledgers '!$B:$B,Drs_Crs!$A344)</f>
        <v>0</v>
      </c>
      <c r="F344" s="54">
        <f>SUMIFS('List of Ledgers '!L:L,'List of Ledgers '!$E:$E,Drs_Crs!$A$173,'List of Ledgers '!$B:$B,Drs_Crs!$A344)</f>
        <v>0</v>
      </c>
      <c r="H344" s="54">
        <f>SUMIFS('List of Ledgers '!N:N,'List of Ledgers '!$E:$E,Drs_Crs!$A$173,'List of Ledgers '!$B:$B,Drs_Crs!$A344)</f>
        <v>0</v>
      </c>
      <c r="I344" s="54">
        <f>SUMIFS('List of Ledgers '!O:O,'List of Ledgers '!$E:$E,Drs_Crs!$A$173,'List of Ledgers '!$B:$B,Drs_Crs!$A344)</f>
        <v>31860</v>
      </c>
      <c r="J344" s="54">
        <f>SUMIFS('List of Ledgers '!P:P,'List of Ledgers '!$E:$E,Drs_Crs!$A$173,'List of Ledgers '!$B:$B,Drs_Crs!$A344)</f>
        <v>31860</v>
      </c>
      <c r="K344" s="54">
        <f>SUMIFS('List of Ledgers '!Q:Q,'List of Ledgers '!$E:$E,Drs_Crs!$A$173,'List of Ledgers '!$B:$B,Drs_Crs!$A344)</f>
        <v>0</v>
      </c>
    </row>
    <row r="345" spans="1:11" ht="13.9" x14ac:dyDescent="0.25">
      <c r="A345" s="125" t="s">
        <v>856</v>
      </c>
      <c r="B345" s="102" t="str">
        <f>VLOOKUP(A345,'List of Ledgers '!B:G,6,0)</f>
        <v>IT</v>
      </c>
      <c r="C345" s="54">
        <f>SUMIFS('List of Ledgers '!I:I,'List of Ledgers '!$E:$E,Drs_Crs!$A$173,'List of Ledgers '!$B:$B,Drs_Crs!$A345)</f>
        <v>0</v>
      </c>
      <c r="D345" s="54">
        <f>SUMIFS('List of Ledgers '!J:J,'List of Ledgers '!$E:$E,Drs_Crs!$A$173,'List of Ledgers '!$B:$B,Drs_Crs!$A345)</f>
        <v>0</v>
      </c>
      <c r="E345" s="54">
        <f>SUMIFS('List of Ledgers '!K:K,'List of Ledgers '!$E:$E,Drs_Crs!$A$173,'List of Ledgers '!$B:$B,Drs_Crs!$A345)</f>
        <v>0</v>
      </c>
      <c r="F345" s="54">
        <f>SUMIFS('List of Ledgers '!L:L,'List of Ledgers '!$E:$E,Drs_Crs!$A$173,'List of Ledgers '!$B:$B,Drs_Crs!$A345)</f>
        <v>0</v>
      </c>
      <c r="H345" s="54">
        <f>SUMIFS('List of Ledgers '!N:N,'List of Ledgers '!$E:$E,Drs_Crs!$A$173,'List of Ledgers '!$B:$B,Drs_Crs!$A345)</f>
        <v>0</v>
      </c>
      <c r="I345" s="54">
        <f>SUMIFS('List of Ledgers '!O:O,'List of Ledgers '!$E:$E,Drs_Crs!$A$173,'List of Ledgers '!$B:$B,Drs_Crs!$A345)</f>
        <v>91833</v>
      </c>
      <c r="J345" s="54">
        <f>SUMIFS('List of Ledgers '!P:P,'List of Ledgers '!$E:$E,Drs_Crs!$A$173,'List of Ledgers '!$B:$B,Drs_Crs!$A345)</f>
        <v>91833</v>
      </c>
      <c r="K345" s="54">
        <f>SUMIFS('List of Ledgers '!Q:Q,'List of Ledgers '!$E:$E,Drs_Crs!$A$173,'List of Ledgers '!$B:$B,Drs_Crs!$A345)</f>
        <v>0</v>
      </c>
    </row>
    <row r="346" spans="1:11" ht="13.9" x14ac:dyDescent="0.25">
      <c r="A346" s="125" t="s">
        <v>879</v>
      </c>
      <c r="B346" s="102" t="str">
        <f>VLOOKUP(A346,'List of Ledgers '!B:G,6,0)</f>
        <v>IT</v>
      </c>
      <c r="C346" s="54">
        <f>SUMIFS('List of Ledgers '!I:I,'List of Ledgers '!$E:$E,Drs_Crs!$A$173,'List of Ledgers '!$B:$B,Drs_Crs!$A346)</f>
        <v>0</v>
      </c>
      <c r="D346" s="54">
        <f>SUMIFS('List of Ledgers '!J:J,'List of Ledgers '!$E:$E,Drs_Crs!$A$173,'List of Ledgers '!$B:$B,Drs_Crs!$A346)</f>
        <v>0</v>
      </c>
      <c r="E346" s="54">
        <f>SUMIFS('List of Ledgers '!K:K,'List of Ledgers '!$E:$E,Drs_Crs!$A$173,'List of Ledgers '!$B:$B,Drs_Crs!$A346)</f>
        <v>0</v>
      </c>
      <c r="F346" s="54">
        <f>SUMIFS('List of Ledgers '!L:L,'List of Ledgers '!$E:$E,Drs_Crs!$A$173,'List of Ledgers '!$B:$B,Drs_Crs!$A346)</f>
        <v>0</v>
      </c>
      <c r="H346" s="54">
        <f>SUMIFS('List of Ledgers '!N:N,'List of Ledgers '!$E:$E,Drs_Crs!$A$173,'List of Ledgers '!$B:$B,Drs_Crs!$A346)</f>
        <v>0</v>
      </c>
      <c r="I346" s="54">
        <f>SUMIFS('List of Ledgers '!O:O,'List of Ledgers '!$E:$E,Drs_Crs!$A$173,'List of Ledgers '!$B:$B,Drs_Crs!$A346)</f>
        <v>1780000</v>
      </c>
      <c r="J346" s="54">
        <f>SUMIFS('List of Ledgers '!P:P,'List of Ledgers '!$E:$E,Drs_Crs!$A$173,'List of Ledgers '!$B:$B,Drs_Crs!$A346)</f>
        <v>1780000</v>
      </c>
      <c r="K346" s="54">
        <f>SUMIFS('List of Ledgers '!Q:Q,'List of Ledgers '!$E:$E,Drs_Crs!$A$173,'List of Ledgers '!$B:$B,Drs_Crs!$A346)</f>
        <v>0</v>
      </c>
    </row>
    <row r="347" spans="1:11" s="193" customFormat="1" ht="13.9" x14ac:dyDescent="0.25">
      <c r="A347" s="226" t="s">
        <v>985</v>
      </c>
      <c r="B347" s="227" t="str">
        <f>VLOOKUP(A347,'List of Ledgers '!B:G,6,0)</f>
        <v>IT</v>
      </c>
      <c r="C347" s="228">
        <f>SUMIFS('List of Ledgers '!I:I,'List of Ledgers '!$E:$E,Drs_Crs!$A$173,'List of Ledgers '!$B:$B,Drs_Crs!$A347)</f>
        <v>-220301</v>
      </c>
      <c r="D347" s="228">
        <f>SUMIFS('List of Ledgers '!J:J,'List of Ledgers '!$E:$E,Drs_Crs!$A$173,'List of Ledgers '!$B:$B,Drs_Crs!$A347)</f>
        <v>0</v>
      </c>
      <c r="E347" s="228">
        <f>SUMIFS('List of Ledgers '!K:K,'List of Ledgers '!$E:$E,Drs_Crs!$A$173,'List of Ledgers '!$B:$B,Drs_Crs!$A347)</f>
        <v>0</v>
      </c>
      <c r="F347" s="228">
        <f>SUMIFS('List of Ledgers '!L:L,'List of Ledgers '!$E:$E,Drs_Crs!$A$173,'List of Ledgers '!$B:$B,Drs_Crs!$A347)</f>
        <v>-220301</v>
      </c>
      <c r="G347" s="197"/>
      <c r="H347" s="228">
        <f>SUMIFS('List of Ledgers '!N:N,'List of Ledgers '!$E:$E,Drs_Crs!$A$173,'List of Ledgers '!$B:$B,Drs_Crs!$A347)</f>
        <v>0</v>
      </c>
      <c r="I347" s="228">
        <f>SUMIFS('List of Ledgers '!O:O,'List of Ledgers '!$E:$E,Drs_Crs!$A$173,'List of Ledgers '!$B:$B,Drs_Crs!$A347)</f>
        <v>432011</v>
      </c>
      <c r="J347" s="228">
        <f>SUMIFS('List of Ledgers '!P:P,'List of Ledgers '!$E:$E,Drs_Crs!$A$173,'List of Ledgers '!$B:$B,Drs_Crs!$A347)</f>
        <v>652312</v>
      </c>
      <c r="K347" s="228">
        <f>SUMIFS('List of Ledgers '!Q:Q,'List of Ledgers '!$E:$E,Drs_Crs!$A$173,'List of Ledgers '!$B:$B,Drs_Crs!$A347)</f>
        <v>-220301</v>
      </c>
    </row>
    <row r="348" spans="1:11" ht="13.9" x14ac:dyDescent="0.25">
      <c r="A348" s="125" t="s">
        <v>1006</v>
      </c>
      <c r="B348" s="102" t="str">
        <f>VLOOKUP(A348,'List of Ledgers '!B:G,6,0)</f>
        <v>IT</v>
      </c>
      <c r="C348" s="54">
        <f>SUMIFS('List of Ledgers '!I:I,'List of Ledgers '!$E:$E,Drs_Crs!$A$173,'List of Ledgers '!$B:$B,Drs_Crs!$A348)</f>
        <v>0</v>
      </c>
      <c r="D348" s="54">
        <f>SUMIFS('List of Ledgers '!J:J,'List of Ledgers '!$E:$E,Drs_Crs!$A$173,'List of Ledgers '!$B:$B,Drs_Crs!$A348)</f>
        <v>0</v>
      </c>
      <c r="E348" s="54">
        <f>SUMIFS('List of Ledgers '!K:K,'List of Ledgers '!$E:$E,Drs_Crs!$A$173,'List of Ledgers '!$B:$B,Drs_Crs!$A348)</f>
        <v>0</v>
      </c>
      <c r="F348" s="54">
        <f>SUMIFS('List of Ledgers '!L:L,'List of Ledgers '!$E:$E,Drs_Crs!$A$173,'List of Ledgers '!$B:$B,Drs_Crs!$A348)</f>
        <v>0</v>
      </c>
      <c r="H348" s="54">
        <f>SUMIFS('List of Ledgers '!N:N,'List of Ledgers '!$E:$E,Drs_Crs!$A$173,'List of Ledgers '!$B:$B,Drs_Crs!$A348)</f>
        <v>0</v>
      </c>
      <c r="I348" s="54">
        <f>SUMIFS('List of Ledgers '!O:O,'List of Ledgers '!$E:$E,Drs_Crs!$A$173,'List of Ledgers '!$B:$B,Drs_Crs!$A348)</f>
        <v>356603</v>
      </c>
      <c r="J348" s="54">
        <f>SUMIFS('List of Ledgers '!P:P,'List of Ledgers '!$E:$E,Drs_Crs!$A$173,'List of Ledgers '!$B:$B,Drs_Crs!$A348)</f>
        <v>356603</v>
      </c>
      <c r="K348" s="54">
        <f>SUMIFS('List of Ledgers '!Q:Q,'List of Ledgers '!$E:$E,Drs_Crs!$A$173,'List of Ledgers '!$B:$B,Drs_Crs!$A348)</f>
        <v>0</v>
      </c>
    </row>
    <row r="349" spans="1:11" ht="13.9" x14ac:dyDescent="0.25">
      <c r="A349" s="125" t="s">
        <v>1023</v>
      </c>
      <c r="B349" s="102" t="str">
        <f>VLOOKUP(A349,'List of Ledgers '!B:G,6,0)</f>
        <v>Common</v>
      </c>
      <c r="C349" s="54">
        <f>SUMIFS('List of Ledgers '!I:I,'List of Ledgers '!$E:$E,Drs_Crs!$A$173,'List of Ledgers '!$B:$B,Drs_Crs!$A349)</f>
        <v>0</v>
      </c>
      <c r="D349" s="54">
        <f>SUMIFS('List of Ledgers '!J:J,'List of Ledgers '!$E:$E,Drs_Crs!$A$173,'List of Ledgers '!$B:$B,Drs_Crs!$A349)</f>
        <v>0</v>
      </c>
      <c r="E349" s="54">
        <f>SUMIFS('List of Ledgers '!K:K,'List of Ledgers '!$E:$E,Drs_Crs!$A$173,'List of Ledgers '!$B:$B,Drs_Crs!$A349)</f>
        <v>0</v>
      </c>
      <c r="F349" s="54">
        <f>SUMIFS('List of Ledgers '!L:L,'List of Ledgers '!$E:$E,Drs_Crs!$A$173,'List of Ledgers '!$B:$B,Drs_Crs!$A349)</f>
        <v>0</v>
      </c>
      <c r="H349" s="54">
        <f>SUMIFS('List of Ledgers '!N:N,'List of Ledgers '!$E:$E,Drs_Crs!$A$173,'List of Ledgers '!$B:$B,Drs_Crs!$A349)</f>
        <v>0</v>
      </c>
      <c r="I349" s="54">
        <f>SUMIFS('List of Ledgers '!O:O,'List of Ledgers '!$E:$E,Drs_Crs!$A$173,'List of Ledgers '!$B:$B,Drs_Crs!$A349)</f>
        <v>5014424</v>
      </c>
      <c r="J349" s="54">
        <f>SUMIFS('List of Ledgers '!P:P,'List of Ledgers '!$E:$E,Drs_Crs!$A$173,'List of Ledgers '!$B:$B,Drs_Crs!$A349)</f>
        <v>5014424</v>
      </c>
      <c r="K349" s="54">
        <f>SUMIFS('List of Ledgers '!Q:Q,'List of Ledgers '!$E:$E,Drs_Crs!$A$173,'List of Ledgers '!$B:$B,Drs_Crs!$A349)</f>
        <v>0</v>
      </c>
    </row>
    <row r="350" spans="1:11" ht="13.9" x14ac:dyDescent="0.25">
      <c r="A350" s="125" t="s">
        <v>1031</v>
      </c>
      <c r="B350" s="102" t="s">
        <v>9</v>
      </c>
      <c r="C350" s="54">
        <f>SUMIFS('List of Ledgers '!I:I,'List of Ledgers '!$E:$E,Drs_Crs!$A$173,'List of Ledgers '!$B:$B,Drs_Crs!$A350)</f>
        <v>0</v>
      </c>
      <c r="D350" s="54">
        <f>SUMIFS('List of Ledgers '!J:J,'List of Ledgers '!$E:$E,Drs_Crs!$A$173,'List of Ledgers '!$B:$B,Drs_Crs!$A350)</f>
        <v>2572500</v>
      </c>
      <c r="E350" s="54">
        <f>SUMIFS('List of Ledgers '!K:K,'List of Ledgers '!$E:$E,Drs_Crs!$A$173,'List of Ledgers '!$B:$B,Drs_Crs!$A350)</f>
        <v>2572500</v>
      </c>
      <c r="F350" s="54">
        <f>SUMIFS('List of Ledgers '!L:L,'List of Ledgers '!$E:$E,Drs_Crs!$A$173,'List of Ledgers '!$B:$B,Drs_Crs!$A350)</f>
        <v>0</v>
      </c>
      <c r="H350" s="54">
        <f>SUMIFS('List of Ledgers '!N:N,'List of Ledgers '!$E:$E,Drs_Crs!$A$173,'List of Ledgers '!$B:$B,Drs_Crs!$A350)</f>
        <v>0</v>
      </c>
      <c r="I350" s="54">
        <f>SUMIFS('List of Ledgers '!O:O,'List of Ledgers '!$E:$E,Drs_Crs!$A$173,'List of Ledgers '!$B:$B,Drs_Crs!$A350)</f>
        <v>5255775</v>
      </c>
      <c r="J350" s="54">
        <f>SUMIFS('List of Ledgers '!P:P,'List of Ledgers '!$E:$E,Drs_Crs!$A$173,'List of Ledgers '!$B:$B,Drs_Crs!$A350)</f>
        <v>5255775</v>
      </c>
      <c r="K350" s="54">
        <f>SUMIFS('List of Ledgers '!Q:Q,'List of Ledgers '!$E:$E,Drs_Crs!$A$173,'List of Ledgers '!$B:$B,Drs_Crs!$A350)</f>
        <v>0</v>
      </c>
    </row>
    <row r="351" spans="1:11" ht="13.9" x14ac:dyDescent="0.25">
      <c r="A351" s="125" t="s">
        <v>1036</v>
      </c>
      <c r="B351" s="102" t="s">
        <v>9</v>
      </c>
      <c r="C351" s="54">
        <f>SUMIFS('List of Ledgers '!I:I,'List of Ledgers '!$E:$E,Drs_Crs!$A$173,'List of Ledgers '!$B:$B,Drs_Crs!$A351)</f>
        <v>0</v>
      </c>
      <c r="D351" s="54">
        <f>SUMIFS('List of Ledgers '!J:J,'List of Ledgers '!$E:$E,Drs_Crs!$A$173,'List of Ledgers '!$B:$B,Drs_Crs!$A351)</f>
        <v>0</v>
      </c>
      <c r="E351" s="54">
        <f>SUMIFS('List of Ledgers '!K:K,'List of Ledgers '!$E:$E,Drs_Crs!$A$173,'List of Ledgers '!$B:$B,Drs_Crs!$A351)</f>
        <v>0</v>
      </c>
      <c r="F351" s="54">
        <f>SUMIFS('List of Ledgers '!L:L,'List of Ledgers '!$E:$E,Drs_Crs!$A$173,'List of Ledgers '!$B:$B,Drs_Crs!$A351)</f>
        <v>0</v>
      </c>
      <c r="H351" s="54">
        <f>SUMIFS('List of Ledgers '!N:N,'List of Ledgers '!$E:$E,Drs_Crs!$A$173,'List of Ledgers '!$B:$B,Drs_Crs!$A351)</f>
        <v>0</v>
      </c>
      <c r="I351" s="54">
        <f>SUMIFS('List of Ledgers '!O:O,'List of Ledgers '!$E:$E,Drs_Crs!$A$173,'List of Ledgers '!$B:$B,Drs_Crs!$A351)</f>
        <v>651000</v>
      </c>
      <c r="J351" s="54">
        <f>SUMIFS('List of Ledgers '!P:P,'List of Ledgers '!$E:$E,Drs_Crs!$A$173,'List of Ledgers '!$B:$B,Drs_Crs!$A351)</f>
        <v>651000</v>
      </c>
      <c r="K351" s="54">
        <f>SUMIFS('List of Ledgers '!Q:Q,'List of Ledgers '!$E:$E,Drs_Crs!$A$173,'List of Ledgers '!$B:$B,Drs_Crs!$A351)</f>
        <v>0</v>
      </c>
    </row>
    <row r="352" spans="1:11" ht="13.9" x14ac:dyDescent="0.25">
      <c r="A352" s="125" t="s">
        <v>1054</v>
      </c>
      <c r="B352" s="102" t="s">
        <v>9</v>
      </c>
      <c r="C352" s="54">
        <f>SUMIFS('List of Ledgers '!I:I,'List of Ledgers '!$E:$E,Drs_Crs!$A$173,'List of Ledgers '!$B:$B,Drs_Crs!$A352)</f>
        <v>0</v>
      </c>
      <c r="D352" s="54">
        <f>SUMIFS('List of Ledgers '!J:J,'List of Ledgers '!$E:$E,Drs_Crs!$A$173,'List of Ledgers '!$B:$B,Drs_Crs!$A352)</f>
        <v>609000</v>
      </c>
      <c r="E352" s="54">
        <f>SUMIFS('List of Ledgers '!K:K,'List of Ledgers '!$E:$E,Drs_Crs!$A$173,'List of Ledgers '!$B:$B,Drs_Crs!$A352)</f>
        <v>609000</v>
      </c>
      <c r="F352" s="54">
        <f>SUMIFS('List of Ledgers '!L:L,'List of Ledgers '!$E:$E,Drs_Crs!$A$173,'List of Ledgers '!$B:$B,Drs_Crs!$A352)</f>
        <v>0</v>
      </c>
      <c r="H352" s="54">
        <f>SUMIFS('List of Ledgers '!N:N,'List of Ledgers '!$E:$E,Drs_Crs!$A$173,'List of Ledgers '!$B:$B,Drs_Crs!$A352)</f>
        <v>0</v>
      </c>
      <c r="I352" s="54">
        <f>SUMIFS('List of Ledgers '!O:O,'List of Ledgers '!$E:$E,Drs_Crs!$A$173,'List of Ledgers '!$B:$B,Drs_Crs!$A352)</f>
        <v>2416050</v>
      </c>
      <c r="J352" s="54">
        <f>SUMIFS('List of Ledgers '!P:P,'List of Ledgers '!$E:$E,Drs_Crs!$A$173,'List of Ledgers '!$B:$B,Drs_Crs!$A352)</f>
        <v>2416050</v>
      </c>
      <c r="K352" s="54">
        <f>SUMIFS('List of Ledgers '!Q:Q,'List of Ledgers '!$E:$E,Drs_Crs!$A$173,'List of Ledgers '!$B:$B,Drs_Crs!$A352)</f>
        <v>0</v>
      </c>
    </row>
    <row r="353" spans="1:11" ht="13.9" x14ac:dyDescent="0.25">
      <c r="A353" s="125" t="s">
        <v>1060</v>
      </c>
      <c r="B353" s="102" t="s">
        <v>9</v>
      </c>
      <c r="C353" s="54">
        <f>SUMIFS('List of Ledgers '!I:I,'List of Ledgers '!$E:$E,Drs_Crs!$A$173,'List of Ledgers '!$B:$B,Drs_Crs!$A353)</f>
        <v>-2069</v>
      </c>
      <c r="D353" s="54">
        <f>SUMIFS('List of Ledgers '!J:J,'List of Ledgers '!$E:$E,Drs_Crs!$A$173,'List of Ledgers '!$B:$B,Drs_Crs!$A353)</f>
        <v>2069</v>
      </c>
      <c r="E353" s="54">
        <f>SUMIFS('List of Ledgers '!K:K,'List of Ledgers '!$E:$E,Drs_Crs!$A$173,'List of Ledgers '!$B:$B,Drs_Crs!$A353)</f>
        <v>0</v>
      </c>
      <c r="F353" s="54">
        <f>SUMIFS('List of Ledgers '!L:L,'List of Ledgers '!$E:$E,Drs_Crs!$A$173,'List of Ledgers '!$B:$B,Drs_Crs!$A353)</f>
        <v>0</v>
      </c>
      <c r="H353" s="54">
        <f>SUMIFS('List of Ledgers '!N:N,'List of Ledgers '!$E:$E,Drs_Crs!$A$173,'List of Ledgers '!$B:$B,Drs_Crs!$A353)</f>
        <v>0</v>
      </c>
      <c r="I353" s="54">
        <f>SUMIFS('List of Ledgers '!O:O,'List of Ledgers '!$E:$E,Drs_Crs!$A$173,'List of Ledgers '!$B:$B,Drs_Crs!$A353)</f>
        <v>4749362</v>
      </c>
      <c r="J353" s="54">
        <f>SUMIFS('List of Ledgers '!P:P,'List of Ledgers '!$E:$E,Drs_Crs!$A$173,'List of Ledgers '!$B:$B,Drs_Crs!$A353)</f>
        <v>4749362</v>
      </c>
      <c r="K353" s="54">
        <f>SUMIFS('List of Ledgers '!Q:Q,'List of Ledgers '!$E:$E,Drs_Crs!$A$173,'List of Ledgers '!$B:$B,Drs_Crs!$A353)</f>
        <v>0</v>
      </c>
    </row>
    <row r="354" spans="1:11" ht="13.9" x14ac:dyDescent="0.25">
      <c r="A354" s="125" t="s">
        <v>1065</v>
      </c>
      <c r="B354" s="102" t="s">
        <v>9</v>
      </c>
      <c r="C354" s="54">
        <f>SUMIFS('List of Ledgers '!I:I,'List of Ledgers '!$E:$E,Drs_Crs!$A$173,'List of Ledgers '!$B:$B,Drs_Crs!$A354)</f>
        <v>0</v>
      </c>
      <c r="D354" s="54">
        <f>SUMIFS('List of Ledgers '!J:J,'List of Ledgers '!$E:$E,Drs_Crs!$A$173,'List of Ledgers '!$B:$B,Drs_Crs!$A354)</f>
        <v>0</v>
      </c>
      <c r="E354" s="54">
        <f>SUMIFS('List of Ledgers '!K:K,'List of Ledgers '!$E:$E,Drs_Crs!$A$173,'List of Ledgers '!$B:$B,Drs_Crs!$A354)</f>
        <v>0</v>
      </c>
      <c r="F354" s="54">
        <f>SUMIFS('List of Ledgers '!L:L,'List of Ledgers '!$E:$E,Drs_Crs!$A$173,'List of Ledgers '!$B:$B,Drs_Crs!$A354)</f>
        <v>0</v>
      </c>
      <c r="H354" s="54">
        <f>SUMIFS('List of Ledgers '!N:N,'List of Ledgers '!$E:$E,Drs_Crs!$A$173,'List of Ledgers '!$B:$B,Drs_Crs!$A354)</f>
        <v>0</v>
      </c>
      <c r="I354" s="54">
        <f>SUMIFS('List of Ledgers '!O:O,'List of Ledgers '!$E:$E,Drs_Crs!$A$173,'List of Ledgers '!$B:$B,Drs_Crs!$A354)</f>
        <v>4736</v>
      </c>
      <c r="J354" s="54">
        <f>SUMIFS('List of Ledgers '!P:P,'List of Ledgers '!$E:$E,Drs_Crs!$A$173,'List of Ledgers '!$B:$B,Drs_Crs!$A354)</f>
        <v>4736</v>
      </c>
      <c r="K354" s="54">
        <f>SUMIFS('List of Ledgers '!Q:Q,'List of Ledgers '!$E:$E,Drs_Crs!$A$173,'List of Ledgers '!$B:$B,Drs_Crs!$A354)</f>
        <v>0</v>
      </c>
    </row>
    <row r="355" spans="1:11" ht="13.9" x14ac:dyDescent="0.25">
      <c r="A355" s="125" t="s">
        <v>1068</v>
      </c>
      <c r="B355" s="102" t="s">
        <v>9</v>
      </c>
      <c r="C355" s="54">
        <f>SUMIFS('List of Ledgers '!I:I,'List of Ledgers '!$E:$E,Drs_Crs!$A$173,'List of Ledgers '!$B:$B,Drs_Crs!$A355)</f>
        <v>0</v>
      </c>
      <c r="D355" s="54">
        <f>SUMIFS('List of Ledgers '!J:J,'List of Ledgers '!$E:$E,Drs_Crs!$A$173,'List of Ledgers '!$B:$B,Drs_Crs!$A355)</f>
        <v>0</v>
      </c>
      <c r="E355" s="54">
        <f>SUMIFS('List of Ledgers '!K:K,'List of Ledgers '!$E:$E,Drs_Crs!$A$173,'List of Ledgers '!$B:$B,Drs_Crs!$A355)</f>
        <v>0</v>
      </c>
      <c r="F355" s="54">
        <f>SUMIFS('List of Ledgers '!L:L,'List of Ledgers '!$E:$E,Drs_Crs!$A$173,'List of Ledgers '!$B:$B,Drs_Crs!$A355)</f>
        <v>0</v>
      </c>
      <c r="H355" s="54">
        <f>SUMIFS('List of Ledgers '!N:N,'List of Ledgers '!$E:$E,Drs_Crs!$A$173,'List of Ledgers '!$B:$B,Drs_Crs!$A355)</f>
        <v>0</v>
      </c>
      <c r="I355" s="54">
        <f>SUMIFS('List of Ledgers '!O:O,'List of Ledgers '!$E:$E,Drs_Crs!$A$173,'List of Ledgers '!$B:$B,Drs_Crs!$A355)</f>
        <v>6342</v>
      </c>
      <c r="J355" s="54">
        <f>SUMIFS('List of Ledgers '!P:P,'List of Ledgers '!$E:$E,Drs_Crs!$A$173,'List of Ledgers '!$B:$B,Drs_Crs!$A355)</f>
        <v>6342</v>
      </c>
      <c r="K355" s="54">
        <f>SUMIFS('List of Ledgers '!Q:Q,'List of Ledgers '!$E:$E,Drs_Crs!$A$173,'List of Ledgers '!$B:$B,Drs_Crs!$A355)</f>
        <v>0</v>
      </c>
    </row>
    <row r="356" spans="1:11" ht="13.9" x14ac:dyDescent="0.25">
      <c r="A356" s="125" t="s">
        <v>1069</v>
      </c>
      <c r="B356" s="102" t="s">
        <v>9</v>
      </c>
      <c r="C356" s="54">
        <f>SUMIFS('List of Ledgers '!I:I,'List of Ledgers '!$E:$E,Drs_Crs!$A$173,'List of Ledgers '!$B:$B,Drs_Crs!$A356)</f>
        <v>0</v>
      </c>
      <c r="D356" s="54">
        <f>SUMIFS('List of Ledgers '!J:J,'List of Ledgers '!$E:$E,Drs_Crs!$A$173,'List of Ledgers '!$B:$B,Drs_Crs!$A356)</f>
        <v>33205</v>
      </c>
      <c r="E356" s="54">
        <f>SUMIFS('List of Ledgers '!K:K,'List of Ledgers '!$E:$E,Drs_Crs!$A$173,'List of Ledgers '!$B:$B,Drs_Crs!$A356)</f>
        <v>33205</v>
      </c>
      <c r="F356" s="54">
        <f>SUMIFS('List of Ledgers '!L:L,'List of Ledgers '!$E:$E,Drs_Crs!$A$173,'List of Ledgers '!$B:$B,Drs_Crs!$A356)</f>
        <v>0</v>
      </c>
      <c r="H356" s="54">
        <f>SUMIFS('List of Ledgers '!N:N,'List of Ledgers '!$E:$E,Drs_Crs!$A$173,'List of Ledgers '!$B:$B,Drs_Crs!$A356)</f>
        <v>0</v>
      </c>
      <c r="I356" s="54">
        <f>SUMIFS('List of Ledgers '!O:O,'List of Ledgers '!$E:$E,Drs_Crs!$A$173,'List of Ledgers '!$B:$B,Drs_Crs!$A356)</f>
        <v>95601</v>
      </c>
      <c r="J356" s="54">
        <f>SUMIFS('List of Ledgers '!P:P,'List of Ledgers '!$E:$E,Drs_Crs!$A$173,'List of Ledgers '!$B:$B,Drs_Crs!$A356)</f>
        <v>95601</v>
      </c>
      <c r="K356" s="54">
        <f>SUMIFS('List of Ledgers '!Q:Q,'List of Ledgers '!$E:$E,Drs_Crs!$A$173,'List of Ledgers '!$B:$B,Drs_Crs!$A356)</f>
        <v>0</v>
      </c>
    </row>
    <row r="357" spans="1:11" ht="13.9" x14ac:dyDescent="0.25">
      <c r="A357" s="125" t="s">
        <v>1070</v>
      </c>
      <c r="B357" s="102" t="s">
        <v>9</v>
      </c>
      <c r="C357" s="54">
        <f>SUMIFS('List of Ledgers '!I:I,'List of Ledgers '!$E:$E,Drs_Crs!$A$173,'List of Ledgers '!$B:$B,Drs_Crs!$A357)</f>
        <v>-4843178</v>
      </c>
      <c r="D357" s="54">
        <f>SUMIFS('List of Ledgers '!J:J,'List of Ledgers '!$E:$E,Drs_Crs!$A$173,'List of Ledgers '!$B:$B,Drs_Crs!$A357)</f>
        <v>2349878</v>
      </c>
      <c r="E357" s="54">
        <f>SUMIFS('List of Ledgers '!K:K,'List of Ledgers '!$E:$E,Drs_Crs!$A$173,'List of Ledgers '!$B:$B,Drs_Crs!$A357)</f>
        <v>0</v>
      </c>
      <c r="F357" s="54">
        <f>SUMIFS('List of Ledgers '!L:L,'List of Ledgers '!$E:$E,Drs_Crs!$A$173,'List of Ledgers '!$B:$B,Drs_Crs!$A357)</f>
        <v>-2493300</v>
      </c>
      <c r="H357" s="54">
        <f>SUMIFS('List of Ledgers '!N:N,'List of Ledgers '!$E:$E,Drs_Crs!$A$173,'List of Ledgers '!$B:$B,Drs_Crs!$A357)</f>
        <v>0</v>
      </c>
      <c r="I357" s="54">
        <f>SUMIFS('List of Ledgers '!O:O,'List of Ledgers '!$E:$E,Drs_Crs!$A$173,'List of Ledgers '!$B:$B,Drs_Crs!$A357)</f>
        <v>4628400</v>
      </c>
      <c r="J357" s="54">
        <f>SUMIFS('List of Ledgers '!P:P,'List of Ledgers '!$E:$E,Drs_Crs!$A$173,'List of Ledgers '!$B:$B,Drs_Crs!$A357)</f>
        <v>7121700</v>
      </c>
      <c r="K357" s="54">
        <f>SUMIFS('List of Ledgers '!Q:Q,'List of Ledgers '!$E:$E,Drs_Crs!$A$173,'List of Ledgers '!$B:$B,Drs_Crs!$A357)</f>
        <v>-2493300</v>
      </c>
    </row>
    <row r="358" spans="1:11" ht="13.9" x14ac:dyDescent="0.25">
      <c r="A358" s="125" t="s">
        <v>1071</v>
      </c>
      <c r="B358" s="102" t="s">
        <v>9</v>
      </c>
      <c r="C358" s="54">
        <f>SUMIFS('List of Ledgers '!I:I,'List of Ledgers '!$E:$E,Drs_Crs!$A$173,'List of Ledgers '!$B:$B,Drs_Crs!$A358)</f>
        <v>0</v>
      </c>
      <c r="D358" s="54">
        <f>SUMIFS('List of Ledgers '!J:J,'List of Ledgers '!$E:$E,Drs_Crs!$A$173,'List of Ledgers '!$B:$B,Drs_Crs!$A358)</f>
        <v>551250</v>
      </c>
      <c r="E358" s="54">
        <f>SUMIFS('List of Ledgers '!K:K,'List of Ledgers '!$E:$E,Drs_Crs!$A$173,'List of Ledgers '!$B:$B,Drs_Crs!$A358)</f>
        <v>551250</v>
      </c>
      <c r="F358" s="54">
        <f>SUMIFS('List of Ledgers '!L:L,'List of Ledgers '!$E:$E,Drs_Crs!$A$173,'List of Ledgers '!$B:$B,Drs_Crs!$A358)</f>
        <v>0</v>
      </c>
      <c r="H358" s="54">
        <f>SUMIFS('List of Ledgers '!N:N,'List of Ledgers '!$E:$E,Drs_Crs!$A$173,'List of Ledgers '!$B:$B,Drs_Crs!$A358)</f>
        <v>0</v>
      </c>
      <c r="I358" s="54">
        <f>SUMIFS('List of Ledgers '!O:O,'List of Ledgers '!$E:$E,Drs_Crs!$A$173,'List of Ledgers '!$B:$B,Drs_Crs!$A358)</f>
        <v>1030050</v>
      </c>
      <c r="J358" s="54">
        <f>SUMIFS('List of Ledgers '!P:P,'List of Ledgers '!$E:$E,Drs_Crs!$A$173,'List of Ledgers '!$B:$B,Drs_Crs!$A358)</f>
        <v>1030050</v>
      </c>
      <c r="K358" s="54">
        <f>SUMIFS('List of Ledgers '!Q:Q,'List of Ledgers '!$E:$E,Drs_Crs!$A$173,'List of Ledgers '!$B:$B,Drs_Crs!$A358)</f>
        <v>0</v>
      </c>
    </row>
    <row r="359" spans="1:11" ht="13.9" x14ac:dyDescent="0.25">
      <c r="A359" s="125" t="s">
        <v>1072</v>
      </c>
      <c r="B359" s="102" t="s">
        <v>9</v>
      </c>
      <c r="C359" s="54">
        <f>SUMIFS('List of Ledgers '!I:I,'List of Ledgers '!$E:$E,Drs_Crs!$A$173,'List of Ledgers '!$B:$B,Drs_Crs!$A359)</f>
        <v>0</v>
      </c>
      <c r="D359" s="54">
        <f>SUMIFS('List of Ledgers '!J:J,'List of Ledgers '!$E:$E,Drs_Crs!$A$173,'List of Ledgers '!$B:$B,Drs_Crs!$A359)</f>
        <v>44972</v>
      </c>
      <c r="E359" s="54">
        <f>SUMIFS('List of Ledgers '!K:K,'List of Ledgers '!$E:$E,Drs_Crs!$A$173,'List of Ledgers '!$B:$B,Drs_Crs!$A359)</f>
        <v>44972</v>
      </c>
      <c r="F359" s="54">
        <f>SUMIFS('List of Ledgers '!L:L,'List of Ledgers '!$E:$E,Drs_Crs!$A$173,'List of Ledgers '!$B:$B,Drs_Crs!$A359)</f>
        <v>0</v>
      </c>
      <c r="H359" s="54">
        <f>SUMIFS('List of Ledgers '!N:N,'List of Ledgers '!$E:$E,Drs_Crs!$A$173,'List of Ledgers '!$B:$B,Drs_Crs!$A359)</f>
        <v>0</v>
      </c>
      <c r="I359" s="54">
        <f>SUMIFS('List of Ledgers '!O:O,'List of Ledgers '!$E:$E,Drs_Crs!$A$173,'List of Ledgers '!$B:$B,Drs_Crs!$A359)</f>
        <v>84823</v>
      </c>
      <c r="J359" s="54">
        <f>SUMIFS('List of Ledgers '!P:P,'List of Ledgers '!$E:$E,Drs_Crs!$A$173,'List of Ledgers '!$B:$B,Drs_Crs!$A359)</f>
        <v>84823</v>
      </c>
      <c r="K359" s="54">
        <f>SUMIFS('List of Ledgers '!Q:Q,'List of Ledgers '!$E:$E,Drs_Crs!$A$173,'List of Ledgers '!$B:$B,Drs_Crs!$A359)</f>
        <v>0</v>
      </c>
    </row>
    <row r="360" spans="1:11" ht="13.9" x14ac:dyDescent="0.25">
      <c r="A360" s="125" t="s">
        <v>1073</v>
      </c>
      <c r="B360" s="102" t="s">
        <v>9</v>
      </c>
      <c r="C360" s="54">
        <f>SUMIFS('List of Ledgers '!I:I,'List of Ledgers '!$E:$E,Drs_Crs!$A$173,'List of Ledgers '!$B:$B,Drs_Crs!$A360)</f>
        <v>0</v>
      </c>
      <c r="D360" s="54">
        <f>SUMIFS('List of Ledgers '!J:J,'List of Ledgers '!$E:$E,Drs_Crs!$A$173,'List of Ledgers '!$B:$B,Drs_Crs!$A360)</f>
        <v>2734200</v>
      </c>
      <c r="E360" s="54">
        <f>SUMIFS('List of Ledgers '!K:K,'List of Ledgers '!$E:$E,Drs_Crs!$A$173,'List of Ledgers '!$B:$B,Drs_Crs!$A360)</f>
        <v>2734200</v>
      </c>
      <c r="F360" s="54">
        <f>SUMIFS('List of Ledgers '!L:L,'List of Ledgers '!$E:$E,Drs_Crs!$A$173,'List of Ledgers '!$B:$B,Drs_Crs!$A360)</f>
        <v>0</v>
      </c>
      <c r="H360" s="54">
        <f>SUMIFS('List of Ledgers '!N:N,'List of Ledgers '!$E:$E,Drs_Crs!$A$173,'List of Ledgers '!$B:$B,Drs_Crs!$A360)</f>
        <v>0</v>
      </c>
      <c r="I360" s="54">
        <f>SUMIFS('List of Ledgers '!O:O,'List of Ledgers '!$E:$E,Drs_Crs!$A$173,'List of Ledgers '!$B:$B,Drs_Crs!$A360)</f>
        <v>5666183</v>
      </c>
      <c r="J360" s="54">
        <f>SUMIFS('List of Ledgers '!P:P,'List of Ledgers '!$E:$E,Drs_Crs!$A$173,'List of Ledgers '!$B:$B,Drs_Crs!$A360)</f>
        <v>5666183</v>
      </c>
      <c r="K360" s="54">
        <f>SUMIFS('List of Ledgers '!Q:Q,'List of Ledgers '!$E:$E,Drs_Crs!$A$173,'List of Ledgers '!$B:$B,Drs_Crs!$A360)</f>
        <v>0</v>
      </c>
    </row>
    <row r="361" spans="1:11" s="193" customFormat="1" ht="13.9" x14ac:dyDescent="0.25">
      <c r="A361" s="226" t="s">
        <v>1087</v>
      </c>
      <c r="B361" s="227" t="s">
        <v>9</v>
      </c>
      <c r="C361" s="228">
        <f>SUMIFS('List of Ledgers '!I:I,'List of Ledgers '!$E:$E,Drs_Crs!$A$173,'List of Ledgers '!$B:$B,Drs_Crs!$A361)</f>
        <v>-25200</v>
      </c>
      <c r="D361" s="228">
        <f>SUMIFS('List of Ledgers '!J:J,'List of Ledgers '!$E:$E,Drs_Crs!$A$173,'List of Ledgers '!$B:$B,Drs_Crs!$A361)</f>
        <v>25200</v>
      </c>
      <c r="E361" s="228">
        <f>SUMIFS('List of Ledgers '!K:K,'List of Ledgers '!$E:$E,Drs_Crs!$A$173,'List of Ledgers '!$B:$B,Drs_Crs!$A361)</f>
        <v>25200</v>
      </c>
      <c r="F361" s="228">
        <f>SUMIFS('List of Ledgers '!L:L,'List of Ledgers '!$E:$E,Drs_Crs!$A$173,'List of Ledgers '!$B:$B,Drs_Crs!$A361)</f>
        <v>-25200</v>
      </c>
      <c r="G361" s="197" t="s">
        <v>1415</v>
      </c>
      <c r="H361" s="228">
        <f>SUMIFS('List of Ledgers '!N:N,'List of Ledgers '!$E:$E,Drs_Crs!$A$173,'List of Ledgers '!$B:$B,Drs_Crs!$A361)</f>
        <v>0</v>
      </c>
      <c r="I361" s="228">
        <f>SUMIFS('List of Ledgers '!O:O,'List of Ledgers '!$E:$E,Drs_Crs!$A$173,'List of Ledgers '!$B:$B,Drs_Crs!$A361)</f>
        <v>75600</v>
      </c>
      <c r="J361" s="228">
        <f>SUMIFS('List of Ledgers '!P:P,'List of Ledgers '!$E:$E,Drs_Crs!$A$173,'List of Ledgers '!$B:$B,Drs_Crs!$A361)</f>
        <v>100800</v>
      </c>
      <c r="K361" s="228">
        <f>SUMIFS('List of Ledgers '!Q:Q,'List of Ledgers '!$E:$E,Drs_Crs!$A$173,'List of Ledgers '!$B:$B,Drs_Crs!$A361)</f>
        <v>-25200</v>
      </c>
    </row>
    <row r="362" spans="1:11" s="193" customFormat="1" ht="13.9" x14ac:dyDescent="0.25">
      <c r="A362" s="226" t="s">
        <v>1088</v>
      </c>
      <c r="B362" s="227" t="s">
        <v>9</v>
      </c>
      <c r="C362" s="228">
        <f>SUMIFS('List of Ledgers '!I:I,'List of Ledgers '!$E:$E,Drs_Crs!$A$173,'List of Ledgers '!$B:$B,Drs_Crs!$A362)</f>
        <v>11800</v>
      </c>
      <c r="D362" s="228">
        <f>SUMIFS('List of Ledgers '!J:J,'List of Ledgers '!$E:$E,Drs_Crs!$A$173,'List of Ledgers '!$B:$B,Drs_Crs!$A362)</f>
        <v>0</v>
      </c>
      <c r="E362" s="228">
        <f>SUMIFS('List of Ledgers '!K:K,'List of Ledgers '!$E:$E,Drs_Crs!$A$173,'List of Ledgers '!$B:$B,Drs_Crs!$A362)</f>
        <v>0</v>
      </c>
      <c r="F362" s="228">
        <f>SUMIFS('List of Ledgers '!L:L,'List of Ledgers '!$E:$E,Drs_Crs!$A$173,'List of Ledgers '!$B:$B,Drs_Crs!$A362)</f>
        <v>11800</v>
      </c>
      <c r="G362" s="197"/>
      <c r="H362" s="228">
        <f>SUMIFS('List of Ledgers '!N:N,'List of Ledgers '!$E:$E,Drs_Crs!$A$173,'List of Ledgers '!$B:$B,Drs_Crs!$A362)</f>
        <v>0</v>
      </c>
      <c r="I362" s="228">
        <f>SUMIFS('List of Ledgers '!O:O,'List of Ledgers '!$E:$E,Drs_Crs!$A$173,'List of Ledgers '!$B:$B,Drs_Crs!$A362)</f>
        <v>17651800</v>
      </c>
      <c r="J362" s="228">
        <f>SUMIFS('List of Ledgers '!P:P,'List of Ledgers '!$E:$E,Drs_Crs!$A$173,'List of Ledgers '!$B:$B,Drs_Crs!$A362)</f>
        <v>17640000</v>
      </c>
      <c r="K362" s="228">
        <f>SUMIFS('List of Ledgers '!Q:Q,'List of Ledgers '!$E:$E,Drs_Crs!$A$173,'List of Ledgers '!$B:$B,Drs_Crs!$A362)</f>
        <v>11800</v>
      </c>
    </row>
    <row r="363" spans="1:11" ht="13.9" x14ac:dyDescent="0.25">
      <c r="A363" s="125" t="s">
        <v>1090</v>
      </c>
      <c r="B363" s="102" t="s">
        <v>9</v>
      </c>
      <c r="C363" s="54">
        <f>SUMIFS('List of Ledgers '!I:I,'List of Ledgers '!$E:$E,Drs_Crs!$A$173,'List of Ledgers '!$B:$B,Drs_Crs!$A363)</f>
        <v>0</v>
      </c>
      <c r="D363" s="54">
        <f>SUMIFS('List of Ledgers '!J:J,'List of Ledgers '!$E:$E,Drs_Crs!$A$173,'List of Ledgers '!$B:$B,Drs_Crs!$A363)</f>
        <v>0</v>
      </c>
      <c r="E363" s="54">
        <f>SUMIFS('List of Ledgers '!K:K,'List of Ledgers '!$E:$E,Drs_Crs!$A$173,'List of Ledgers '!$B:$B,Drs_Crs!$A363)</f>
        <v>0</v>
      </c>
      <c r="F363" s="54">
        <f>SUMIFS('List of Ledgers '!L:L,'List of Ledgers '!$E:$E,Drs_Crs!$A$173,'List of Ledgers '!$B:$B,Drs_Crs!$A363)</f>
        <v>0</v>
      </c>
      <c r="H363" s="54">
        <f>SUMIFS('List of Ledgers '!N:N,'List of Ledgers '!$E:$E,Drs_Crs!$A$173,'List of Ledgers '!$B:$B,Drs_Crs!$A363)</f>
        <v>0</v>
      </c>
      <c r="I363" s="54">
        <f>SUMIFS('List of Ledgers '!O:O,'List of Ledgers '!$E:$E,Drs_Crs!$A$173,'List of Ledgers '!$B:$B,Drs_Crs!$A363)</f>
        <v>154344</v>
      </c>
      <c r="J363" s="54">
        <f>SUMIFS('List of Ledgers '!P:P,'List of Ledgers '!$E:$E,Drs_Crs!$A$173,'List of Ledgers '!$B:$B,Drs_Crs!$A363)</f>
        <v>154344</v>
      </c>
      <c r="K363" s="54">
        <f>SUMIFS('List of Ledgers '!Q:Q,'List of Ledgers '!$E:$E,Drs_Crs!$A$173,'List of Ledgers '!$B:$B,Drs_Crs!$A363)</f>
        <v>0</v>
      </c>
    </row>
    <row r="364" spans="1:11" ht="13.9" x14ac:dyDescent="0.25">
      <c r="A364" s="125" t="s">
        <v>1227</v>
      </c>
      <c r="B364" s="102" t="s">
        <v>9</v>
      </c>
      <c r="C364" s="54">
        <f>SUMIFS('List of Ledgers '!I:I,'List of Ledgers '!$E:$E,Drs_Crs!$A$173,'List of Ledgers '!$B:$B,Drs_Crs!$A364)</f>
        <v>0</v>
      </c>
      <c r="D364" s="54">
        <f>SUMIFS('List of Ledgers '!J:J,'List of Ledgers '!$E:$E,Drs_Crs!$A$173,'List of Ledgers '!$B:$B,Drs_Crs!$A364)</f>
        <v>3627173</v>
      </c>
      <c r="E364" s="54">
        <f>SUMIFS('List of Ledgers '!K:K,'List of Ledgers '!$E:$E,Drs_Crs!$A$173,'List of Ledgers '!$B:$B,Drs_Crs!$A364)</f>
        <v>3627173</v>
      </c>
      <c r="F364" s="54">
        <f>SUMIFS('List of Ledgers '!L:L,'List of Ledgers '!$E:$E,Drs_Crs!$A$173,'List of Ledgers '!$B:$B,Drs_Crs!$A364)</f>
        <v>0</v>
      </c>
      <c r="H364" s="54">
        <f>SUMIFS('List of Ledgers '!N:N,'List of Ledgers '!$E:$E,Drs_Crs!$A$173,'List of Ledgers '!$B:$B,Drs_Crs!$A364)</f>
        <v>0</v>
      </c>
      <c r="I364" s="54">
        <f>SUMIFS('List of Ledgers '!O:O,'List of Ledgers '!$E:$E,Drs_Crs!$A$173,'List of Ledgers '!$B:$B,Drs_Crs!$A364)</f>
        <v>6390774</v>
      </c>
      <c r="J364" s="54">
        <f>SUMIFS('List of Ledgers '!P:P,'List of Ledgers '!$E:$E,Drs_Crs!$A$173,'List of Ledgers '!$B:$B,Drs_Crs!$A364)</f>
        <v>6390774</v>
      </c>
      <c r="K364" s="54">
        <f>SUMIFS('List of Ledgers '!Q:Q,'List of Ledgers '!$E:$E,Drs_Crs!$A$173,'List of Ledgers '!$B:$B,Drs_Crs!$A364)</f>
        <v>0</v>
      </c>
    </row>
    <row r="365" spans="1:11" ht="13.9" x14ac:dyDescent="0.25">
      <c r="A365" s="125" t="s">
        <v>1215</v>
      </c>
      <c r="B365" s="102" t="s">
        <v>9</v>
      </c>
      <c r="C365" s="54">
        <f>SUMIFS('List of Ledgers '!I:I,'List of Ledgers '!$E:$E,Drs_Crs!$A$173,'List of Ledgers '!$B:$B,Drs_Crs!$A365)</f>
        <v>455.32</v>
      </c>
      <c r="D365" s="54">
        <f>SUMIFS('List of Ledgers '!J:J,'List of Ledgers '!$E:$E,Drs_Crs!$A$173,'List of Ledgers '!$B:$B,Drs_Crs!$A365)</f>
        <v>133.5</v>
      </c>
      <c r="E365" s="54">
        <f>SUMIFS('List of Ledgers '!K:K,'List of Ledgers '!$E:$E,Drs_Crs!$A$173,'List of Ledgers '!$B:$B,Drs_Crs!$A365)</f>
        <v>588.82000000000005</v>
      </c>
      <c r="F365" s="54">
        <f>SUMIFS('List of Ledgers '!L:L,'List of Ledgers '!$E:$E,Drs_Crs!$A$173,'List of Ledgers '!$B:$B,Drs_Crs!$A365)</f>
        <v>0</v>
      </c>
      <c r="H365" s="54">
        <f>SUMIFS('List of Ledgers '!N:N,'List of Ledgers '!$E:$E,Drs_Crs!$A$173,'List of Ledgers '!$B:$B,Drs_Crs!$A365)</f>
        <v>0</v>
      </c>
      <c r="I365" s="54">
        <f>SUMIFS('List of Ledgers '!O:O,'List of Ledgers '!$E:$E,Drs_Crs!$A$173,'List of Ledgers '!$B:$B,Drs_Crs!$A365)</f>
        <v>1633.5</v>
      </c>
      <c r="J365" s="54">
        <f>SUMIFS('List of Ledgers '!P:P,'List of Ledgers '!$E:$E,Drs_Crs!$A$173,'List of Ledgers '!$B:$B,Drs_Crs!$A365)</f>
        <v>1633.5</v>
      </c>
      <c r="K365" s="54">
        <f>SUMIFS('List of Ledgers '!Q:Q,'List of Ledgers '!$E:$E,Drs_Crs!$A$173,'List of Ledgers '!$B:$B,Drs_Crs!$A365)</f>
        <v>0</v>
      </c>
    </row>
    <row r="366" spans="1:11" ht="13.9" x14ac:dyDescent="0.25">
      <c r="A366" s="125" t="s">
        <v>1244</v>
      </c>
      <c r="B366" s="102" t="s">
        <v>9</v>
      </c>
      <c r="C366" s="54">
        <f>SUMIFS('List of Ledgers '!I:I,'List of Ledgers '!$E:$E,Drs_Crs!$A$173,'List of Ledgers '!$B:$B,Drs_Crs!$A366)</f>
        <v>0</v>
      </c>
      <c r="D366" s="54">
        <f>SUMIFS('List of Ledgers '!J:J,'List of Ledgers '!$E:$E,Drs_Crs!$A$173,'List of Ledgers '!$B:$B,Drs_Crs!$A366)</f>
        <v>0</v>
      </c>
      <c r="E366" s="54">
        <f>SUMIFS('List of Ledgers '!K:K,'List of Ledgers '!$E:$E,Drs_Crs!$A$173,'List of Ledgers '!$B:$B,Drs_Crs!$A366)</f>
        <v>0</v>
      </c>
      <c r="F366" s="54">
        <f>SUMIFS('List of Ledgers '!L:L,'List of Ledgers '!$E:$E,Drs_Crs!$A$173,'List of Ledgers '!$B:$B,Drs_Crs!$A366)</f>
        <v>0</v>
      </c>
      <c r="H366" s="54">
        <f>SUMIFS('List of Ledgers '!N:N,'List of Ledgers '!$E:$E,Drs_Crs!$A$173,'List of Ledgers '!$B:$B,Drs_Crs!$A366)</f>
        <v>0</v>
      </c>
      <c r="I366" s="54">
        <f>SUMIFS('List of Ledgers '!O:O,'List of Ledgers '!$E:$E,Drs_Crs!$A$173,'List of Ledgers '!$B:$B,Drs_Crs!$A366)</f>
        <v>37388</v>
      </c>
      <c r="J366" s="54">
        <f>SUMIFS('List of Ledgers '!P:P,'List of Ledgers '!$E:$E,Drs_Crs!$A$173,'List of Ledgers '!$B:$B,Drs_Crs!$A366)</f>
        <v>37388</v>
      </c>
      <c r="K366" s="54">
        <f>SUMIFS('List of Ledgers '!Q:Q,'List of Ledgers '!$E:$E,Drs_Crs!$A$173,'List of Ledgers '!$B:$B,Drs_Crs!$A366)</f>
        <v>0</v>
      </c>
    </row>
    <row r="367" spans="1:11" ht="13.9" x14ac:dyDescent="0.25">
      <c r="A367" s="125" t="s">
        <v>1245</v>
      </c>
      <c r="B367" s="102" t="s">
        <v>9</v>
      </c>
      <c r="C367" s="54">
        <f>SUMIFS('List of Ledgers '!I:I,'List of Ledgers '!$E:$E,Drs_Crs!$A$173,'List of Ledgers '!$B:$B,Drs_Crs!$A367)</f>
        <v>0</v>
      </c>
      <c r="D367" s="54">
        <f>SUMIFS('List of Ledgers '!J:J,'List of Ledgers '!$E:$E,Drs_Crs!$A$173,'List of Ledgers '!$B:$B,Drs_Crs!$A367)</f>
        <v>1013253</v>
      </c>
      <c r="E367" s="54">
        <f>SUMIFS('List of Ledgers '!K:K,'List of Ledgers '!$E:$E,Drs_Crs!$A$173,'List of Ledgers '!$B:$B,Drs_Crs!$A367)</f>
        <v>1013253</v>
      </c>
      <c r="F367" s="54">
        <f>SUMIFS('List of Ledgers '!L:L,'List of Ledgers '!$E:$E,Drs_Crs!$A$173,'List of Ledgers '!$B:$B,Drs_Crs!$A367)</f>
        <v>0</v>
      </c>
      <c r="H367" s="54">
        <f>SUMIFS('List of Ledgers '!N:N,'List of Ledgers '!$E:$E,Drs_Crs!$A$173,'List of Ledgers '!$B:$B,Drs_Crs!$A367)</f>
        <v>0</v>
      </c>
      <c r="I367" s="54">
        <f>SUMIFS('List of Ledgers '!O:O,'List of Ledgers '!$E:$E,Drs_Crs!$A$173,'List of Ledgers '!$B:$B,Drs_Crs!$A367)</f>
        <v>1365004</v>
      </c>
      <c r="J367" s="54">
        <f>SUMIFS('List of Ledgers '!P:P,'List of Ledgers '!$E:$E,Drs_Crs!$A$173,'List of Ledgers '!$B:$B,Drs_Crs!$A367)</f>
        <v>1365004</v>
      </c>
      <c r="K367" s="54">
        <f>SUMIFS('List of Ledgers '!Q:Q,'List of Ledgers '!$E:$E,Drs_Crs!$A$173,'List of Ledgers '!$B:$B,Drs_Crs!$A367)</f>
        <v>0</v>
      </c>
    </row>
    <row r="368" spans="1:11" ht="13.9" x14ac:dyDescent="0.25">
      <c r="A368" s="125" t="s">
        <v>1247</v>
      </c>
      <c r="B368" s="102" t="s">
        <v>9</v>
      </c>
      <c r="C368" s="54">
        <f>SUMIFS('List of Ledgers '!I:I,'List of Ledgers '!$E:$E,Drs_Crs!$A$173,'List of Ledgers '!$B:$B,Drs_Crs!$A368)</f>
        <v>0</v>
      </c>
      <c r="D368" s="54">
        <f>SUMIFS('List of Ledgers '!J:J,'List of Ledgers '!$E:$E,Drs_Crs!$A$173,'List of Ledgers '!$B:$B,Drs_Crs!$A368)</f>
        <v>1128897</v>
      </c>
      <c r="E368" s="54">
        <f>SUMIFS('List of Ledgers '!K:K,'List of Ledgers '!$E:$E,Drs_Crs!$A$173,'List of Ledgers '!$B:$B,Drs_Crs!$A368)</f>
        <v>1128897</v>
      </c>
      <c r="F368" s="54">
        <f>SUMIFS('List of Ledgers '!L:L,'List of Ledgers '!$E:$E,Drs_Crs!$A$173,'List of Ledgers '!$B:$B,Drs_Crs!$A368)</f>
        <v>0</v>
      </c>
      <c r="H368" s="54">
        <f>SUMIFS('List of Ledgers '!N:N,'List of Ledgers '!$E:$E,Drs_Crs!$A$173,'List of Ledgers '!$B:$B,Drs_Crs!$A368)</f>
        <v>0</v>
      </c>
      <c r="I368" s="54">
        <f>SUMIFS('List of Ledgers '!O:O,'List of Ledgers '!$E:$E,Drs_Crs!$A$173,'List of Ledgers '!$B:$B,Drs_Crs!$A368)</f>
        <v>1635653</v>
      </c>
      <c r="J368" s="54">
        <f>SUMIFS('List of Ledgers '!P:P,'List of Ledgers '!$E:$E,Drs_Crs!$A$173,'List of Ledgers '!$B:$B,Drs_Crs!$A368)</f>
        <v>1635653</v>
      </c>
      <c r="K368" s="54">
        <f>SUMIFS('List of Ledgers '!Q:Q,'List of Ledgers '!$E:$E,Drs_Crs!$A$173,'List of Ledgers '!$B:$B,Drs_Crs!$A368)</f>
        <v>0</v>
      </c>
    </row>
    <row r="369" spans="1:11" ht="13.9" x14ac:dyDescent="0.25">
      <c r="A369" s="125" t="s">
        <v>1249</v>
      </c>
      <c r="B369" s="102" t="s">
        <v>9</v>
      </c>
      <c r="C369" s="54">
        <f>SUMIFS('List of Ledgers '!I:I,'List of Ledgers '!$E:$E,Drs_Crs!$A$173,'List of Ledgers '!$B:$B,Drs_Crs!$A369)</f>
        <v>0</v>
      </c>
      <c r="D369" s="54">
        <f>SUMIFS('List of Ledgers '!J:J,'List of Ledgers '!$E:$E,Drs_Crs!$A$173,'List of Ledgers '!$B:$B,Drs_Crs!$A369)</f>
        <v>0</v>
      </c>
      <c r="E369" s="54">
        <f>SUMIFS('List of Ledgers '!K:K,'List of Ledgers '!$E:$E,Drs_Crs!$A$173,'List of Ledgers '!$B:$B,Drs_Crs!$A369)</f>
        <v>0</v>
      </c>
      <c r="F369" s="54">
        <f>SUMIFS('List of Ledgers '!L:L,'List of Ledgers '!$E:$E,Drs_Crs!$A$173,'List of Ledgers '!$B:$B,Drs_Crs!$A369)</f>
        <v>0</v>
      </c>
      <c r="H369" s="54">
        <f>SUMIFS('List of Ledgers '!N:N,'List of Ledgers '!$E:$E,Drs_Crs!$A$173,'List of Ledgers '!$B:$B,Drs_Crs!$A369)</f>
        <v>0</v>
      </c>
      <c r="I369" s="54">
        <f>SUMIFS('List of Ledgers '!O:O,'List of Ledgers '!$E:$E,Drs_Crs!$A$173,'List of Ledgers '!$B:$B,Drs_Crs!$A369)</f>
        <v>4000</v>
      </c>
      <c r="J369" s="54">
        <f>SUMIFS('List of Ledgers '!P:P,'List of Ledgers '!$E:$E,Drs_Crs!$A$173,'List of Ledgers '!$B:$B,Drs_Crs!$A369)</f>
        <v>4000</v>
      </c>
      <c r="K369" s="54">
        <f>SUMIFS('List of Ledgers '!Q:Q,'List of Ledgers '!$E:$E,Drs_Crs!$A$173,'List of Ledgers '!$B:$B,Drs_Crs!$A369)</f>
        <v>0</v>
      </c>
    </row>
    <row r="370" spans="1:11" ht="13.9" x14ac:dyDescent="0.25">
      <c r="A370" s="125" t="s">
        <v>1251</v>
      </c>
      <c r="B370" s="102" t="s">
        <v>9</v>
      </c>
      <c r="C370" s="54">
        <f>SUMIFS('List of Ledgers '!I:I,'List of Ledgers '!$E:$E,Drs_Crs!$A$173,'List of Ledgers '!$B:$B,Drs_Crs!$A370)</f>
        <v>-17246</v>
      </c>
      <c r="D370" s="54">
        <f>SUMIFS('List of Ledgers '!J:J,'List of Ledgers '!$E:$E,Drs_Crs!$A$173,'List of Ledgers '!$B:$B,Drs_Crs!$A370)</f>
        <v>402716</v>
      </c>
      <c r="E370" s="54">
        <f>SUMIFS('List of Ledgers '!K:K,'List of Ledgers '!$E:$E,Drs_Crs!$A$173,'List of Ledgers '!$B:$B,Drs_Crs!$A370)</f>
        <v>2319667.73</v>
      </c>
      <c r="F370" s="54">
        <f>SUMIFS('List of Ledgers '!L:L,'List of Ledgers '!$E:$E,Drs_Crs!$A$173,'List of Ledgers '!$B:$B,Drs_Crs!$A370)</f>
        <v>-1934197.73</v>
      </c>
      <c r="H370" s="54">
        <f>SUMIFS('List of Ledgers '!N:N,'List of Ledgers '!$E:$E,Drs_Crs!$A$173,'List of Ledgers '!$B:$B,Drs_Crs!$A370)</f>
        <v>0</v>
      </c>
      <c r="I370" s="54">
        <f>SUMIFS('List of Ledgers '!O:O,'List of Ledgers '!$E:$E,Drs_Crs!$A$173,'List of Ledgers '!$B:$B,Drs_Crs!$A370)</f>
        <v>1513808</v>
      </c>
      <c r="J370" s="54">
        <f>SUMIFS('List of Ledgers '!P:P,'List of Ledgers '!$E:$E,Drs_Crs!$A$173,'List of Ledgers '!$B:$B,Drs_Crs!$A370)</f>
        <v>3448005.73</v>
      </c>
      <c r="K370" s="54">
        <f>SUMIFS('List of Ledgers '!Q:Q,'List of Ledgers '!$E:$E,Drs_Crs!$A$173,'List of Ledgers '!$B:$B,Drs_Crs!$A370)</f>
        <v>-1934197.73</v>
      </c>
    </row>
    <row r="371" spans="1:11" ht="13.9" x14ac:dyDescent="0.25">
      <c r="A371" s="125" t="s">
        <v>1252</v>
      </c>
      <c r="B371" s="102" t="s">
        <v>9</v>
      </c>
      <c r="C371" s="54">
        <f>SUMIFS('List of Ledgers '!I:I,'List of Ledgers '!$E:$E,Drs_Crs!$A$173,'List of Ledgers '!$B:$B,Drs_Crs!$A371)</f>
        <v>0</v>
      </c>
      <c r="D371" s="54">
        <f>SUMIFS('List of Ledgers '!J:J,'List of Ledgers '!$E:$E,Drs_Crs!$A$173,'List of Ledgers '!$B:$B,Drs_Crs!$A371)</f>
        <v>0</v>
      </c>
      <c r="E371" s="54">
        <f>SUMIFS('List of Ledgers '!K:K,'List of Ledgers '!$E:$E,Drs_Crs!$A$173,'List of Ledgers '!$B:$B,Drs_Crs!$A371)</f>
        <v>0</v>
      </c>
      <c r="F371" s="54">
        <f>SUMIFS('List of Ledgers '!L:L,'List of Ledgers '!$E:$E,Drs_Crs!$A$173,'List of Ledgers '!$B:$B,Drs_Crs!$A371)</f>
        <v>0</v>
      </c>
      <c r="H371" s="54">
        <f>SUMIFS('List of Ledgers '!N:N,'List of Ledgers '!$E:$E,Drs_Crs!$A$173,'List of Ledgers '!$B:$B,Drs_Crs!$A371)</f>
        <v>0</v>
      </c>
      <c r="I371" s="54">
        <f>SUMIFS('List of Ledgers '!O:O,'List of Ledgers '!$E:$E,Drs_Crs!$A$173,'List of Ledgers '!$B:$B,Drs_Crs!$A371)</f>
        <v>24600</v>
      </c>
      <c r="J371" s="54">
        <f>SUMIFS('List of Ledgers '!P:P,'List of Ledgers '!$E:$E,Drs_Crs!$A$173,'List of Ledgers '!$B:$B,Drs_Crs!$A371)</f>
        <v>24600</v>
      </c>
      <c r="K371" s="54">
        <f>SUMIFS('List of Ledgers '!Q:Q,'List of Ledgers '!$E:$E,Drs_Crs!$A$173,'List of Ledgers '!$B:$B,Drs_Crs!$A371)</f>
        <v>0</v>
      </c>
    </row>
    <row r="372" spans="1:11" ht="13.9" x14ac:dyDescent="0.25">
      <c r="A372" s="125" t="s">
        <v>1254</v>
      </c>
      <c r="B372" s="102" t="s">
        <v>9</v>
      </c>
      <c r="C372" s="54">
        <f>SUMIFS('List of Ledgers '!I:I,'List of Ledgers '!$E:$E,Drs_Crs!$A$173,'List of Ledgers '!$B:$B,Drs_Crs!$A372)</f>
        <v>0</v>
      </c>
      <c r="D372" s="54">
        <f>SUMIFS('List of Ledgers '!J:J,'List of Ledgers '!$E:$E,Drs_Crs!$A$173,'List of Ledgers '!$B:$B,Drs_Crs!$A372)</f>
        <v>0</v>
      </c>
      <c r="E372" s="54">
        <f>SUMIFS('List of Ledgers '!K:K,'List of Ledgers '!$E:$E,Drs_Crs!$A$173,'List of Ledgers '!$B:$B,Drs_Crs!$A372)</f>
        <v>0</v>
      </c>
      <c r="F372" s="54">
        <f>SUMIFS('List of Ledgers '!L:L,'List of Ledgers '!$E:$E,Drs_Crs!$A$173,'List of Ledgers '!$B:$B,Drs_Crs!$A372)</f>
        <v>0</v>
      </c>
      <c r="H372" s="54">
        <f>SUMIFS('List of Ledgers '!N:N,'List of Ledgers '!$E:$E,Drs_Crs!$A$173,'List of Ledgers '!$B:$B,Drs_Crs!$A372)</f>
        <v>0</v>
      </c>
      <c r="I372" s="54">
        <f>SUMIFS('List of Ledgers '!O:O,'List of Ledgers '!$E:$E,Drs_Crs!$A$173,'List of Ledgers '!$B:$B,Drs_Crs!$A372)</f>
        <v>6500</v>
      </c>
      <c r="J372" s="54">
        <f>SUMIFS('List of Ledgers '!P:P,'List of Ledgers '!$E:$E,Drs_Crs!$A$173,'List of Ledgers '!$B:$B,Drs_Crs!$A372)</f>
        <v>6500</v>
      </c>
      <c r="K372" s="54">
        <f>SUMIFS('List of Ledgers '!Q:Q,'List of Ledgers '!$E:$E,Drs_Crs!$A$173,'List of Ledgers '!$B:$B,Drs_Crs!$A372)</f>
        <v>0</v>
      </c>
    </row>
    <row r="373" spans="1:11" ht="13.9" x14ac:dyDescent="0.25">
      <c r="A373" s="125" t="s">
        <v>1255</v>
      </c>
      <c r="B373" s="102" t="s">
        <v>9</v>
      </c>
      <c r="C373" s="54">
        <f>SUMIFS('List of Ledgers '!I:I,'List of Ledgers '!$E:$E,Drs_Crs!$A$173,'List of Ledgers '!$B:$B,Drs_Crs!$A373)</f>
        <v>0</v>
      </c>
      <c r="D373" s="54">
        <f>SUMIFS('List of Ledgers '!J:J,'List of Ledgers '!$E:$E,Drs_Crs!$A$173,'List of Ledgers '!$B:$B,Drs_Crs!$A373)</f>
        <v>21660</v>
      </c>
      <c r="E373" s="54">
        <f>SUMIFS('List of Ledgers '!K:K,'List of Ledgers '!$E:$E,Drs_Crs!$A$173,'List of Ledgers '!$B:$B,Drs_Crs!$A373)</f>
        <v>21660</v>
      </c>
      <c r="F373" s="54">
        <f>SUMIFS('List of Ledgers '!L:L,'List of Ledgers '!$E:$E,Drs_Crs!$A$173,'List of Ledgers '!$B:$B,Drs_Crs!$A373)</f>
        <v>0</v>
      </c>
      <c r="H373" s="54">
        <f>SUMIFS('List of Ledgers '!N:N,'List of Ledgers '!$E:$E,Drs_Crs!$A$173,'List of Ledgers '!$B:$B,Drs_Crs!$A373)</f>
        <v>0</v>
      </c>
      <c r="I373" s="54">
        <f>SUMIFS('List of Ledgers '!O:O,'List of Ledgers '!$E:$E,Drs_Crs!$A$173,'List of Ledgers '!$B:$B,Drs_Crs!$A373)</f>
        <v>104585</v>
      </c>
      <c r="J373" s="54">
        <f>SUMIFS('List of Ledgers '!P:P,'List of Ledgers '!$E:$E,Drs_Crs!$A$173,'List of Ledgers '!$B:$B,Drs_Crs!$A373)</f>
        <v>104585</v>
      </c>
      <c r="K373" s="54">
        <f>SUMIFS('List of Ledgers '!Q:Q,'List of Ledgers '!$E:$E,Drs_Crs!$A$173,'List of Ledgers '!$B:$B,Drs_Crs!$A373)</f>
        <v>0</v>
      </c>
    </row>
    <row r="374" spans="1:11" ht="13.9" x14ac:dyDescent="0.25">
      <c r="A374" s="125" t="s">
        <v>1275</v>
      </c>
      <c r="B374" s="102" t="s">
        <v>9</v>
      </c>
      <c r="C374" s="54">
        <f>SUMIFS('List of Ledgers '!I:I,'List of Ledgers '!$E:$E,Drs_Crs!$A$173,'List of Ledgers '!$B:$B,Drs_Crs!$A374)</f>
        <v>8785</v>
      </c>
      <c r="D374" s="54">
        <f>SUMIFS('List of Ledgers '!J:J,'List of Ledgers '!$E:$E,Drs_Crs!$A$173,'List of Ledgers '!$B:$B,Drs_Crs!$A374)</f>
        <v>9987215</v>
      </c>
      <c r="E374" s="54">
        <f>SUMIFS('List of Ledgers '!K:K,'List of Ledgers '!$E:$E,Drs_Crs!$A$173,'List of Ledgers '!$B:$B,Drs_Crs!$A374)</f>
        <v>9996000</v>
      </c>
      <c r="F374" s="54">
        <f>SUMIFS('List of Ledgers '!L:L,'List of Ledgers '!$E:$E,Drs_Crs!$A$173,'List of Ledgers '!$B:$B,Drs_Crs!$A374)</f>
        <v>0</v>
      </c>
      <c r="H374" s="54">
        <f>SUMIFS('List of Ledgers '!N:N,'List of Ledgers '!$E:$E,Drs_Crs!$A$173,'List of Ledgers '!$B:$B,Drs_Crs!$A374)</f>
        <v>0</v>
      </c>
      <c r="I374" s="54">
        <f>SUMIFS('List of Ledgers '!O:O,'List of Ledgers '!$E:$E,Drs_Crs!$A$173,'List of Ledgers '!$B:$B,Drs_Crs!$A374)</f>
        <v>24470460</v>
      </c>
      <c r="J374" s="54">
        <f>SUMIFS('List of Ledgers '!P:P,'List of Ledgers '!$E:$E,Drs_Crs!$A$173,'List of Ledgers '!$B:$B,Drs_Crs!$A374)</f>
        <v>24470460</v>
      </c>
      <c r="K374" s="54">
        <f>SUMIFS('List of Ledgers '!Q:Q,'List of Ledgers '!$E:$E,Drs_Crs!$A$173,'List of Ledgers '!$B:$B,Drs_Crs!$A374)</f>
        <v>0</v>
      </c>
    </row>
    <row r="375" spans="1:11" ht="13.9" x14ac:dyDescent="0.25">
      <c r="A375" s="125" t="s">
        <v>1261</v>
      </c>
      <c r="B375" s="102" t="s">
        <v>9</v>
      </c>
      <c r="C375" s="54">
        <f>SUMIFS('List of Ledgers '!I:I,'List of Ledgers '!$E:$E,Drs_Crs!$A$173,'List of Ledgers '!$B:$B,Drs_Crs!$A375)</f>
        <v>0</v>
      </c>
      <c r="D375" s="54">
        <f>SUMIFS('List of Ledgers '!J:J,'List of Ledgers '!$E:$E,Drs_Crs!$A$173,'List of Ledgers '!$B:$B,Drs_Crs!$A375)</f>
        <v>0</v>
      </c>
      <c r="E375" s="54">
        <f>SUMIFS('List of Ledgers '!K:K,'List of Ledgers '!$E:$E,Drs_Crs!$A$173,'List of Ledgers '!$B:$B,Drs_Crs!$A375)</f>
        <v>0</v>
      </c>
      <c r="F375" s="54">
        <f>SUMIFS('List of Ledgers '!L:L,'List of Ledgers '!$E:$E,Drs_Crs!$A$173,'List of Ledgers '!$B:$B,Drs_Crs!$A375)</f>
        <v>0</v>
      </c>
      <c r="H375" s="54">
        <f>SUMIFS('List of Ledgers '!N:N,'List of Ledgers '!$E:$E,Drs_Crs!$A$173,'List of Ledgers '!$B:$B,Drs_Crs!$A375)</f>
        <v>0</v>
      </c>
      <c r="I375" s="54">
        <f>SUMIFS('List of Ledgers '!O:O,'List of Ledgers '!$E:$E,Drs_Crs!$A$173,'List of Ledgers '!$B:$B,Drs_Crs!$A375)</f>
        <v>148000</v>
      </c>
      <c r="J375" s="54">
        <f>SUMIFS('List of Ledgers '!P:P,'List of Ledgers '!$E:$E,Drs_Crs!$A$173,'List of Ledgers '!$B:$B,Drs_Crs!$A375)</f>
        <v>148000</v>
      </c>
      <c r="K375" s="54">
        <f>SUMIFS('List of Ledgers '!Q:Q,'List of Ledgers '!$E:$E,Drs_Crs!$A$173,'List of Ledgers '!$B:$B,Drs_Crs!$A375)</f>
        <v>0</v>
      </c>
    </row>
    <row r="376" spans="1:11" ht="13.9" x14ac:dyDescent="0.25">
      <c r="A376" s="125" t="s">
        <v>1030</v>
      </c>
      <c r="B376" s="102" t="s">
        <v>7</v>
      </c>
      <c r="C376" s="54">
        <f>SUMIFS('List of Ledgers '!I:I,'List of Ledgers '!$E:$E,Drs_Crs!$A$173,'List of Ledgers '!$B:$B,Drs_Crs!$A376)</f>
        <v>0</v>
      </c>
      <c r="D376" s="54">
        <f>SUMIFS('List of Ledgers '!J:J,'List of Ledgers '!$E:$E,Drs_Crs!$A$173,'List of Ledgers '!$B:$B,Drs_Crs!$A376)</f>
        <v>0</v>
      </c>
      <c r="E376" s="54">
        <f>SUMIFS('List of Ledgers '!K:K,'List of Ledgers '!$E:$E,Drs_Crs!$A$173,'List of Ledgers '!$B:$B,Drs_Crs!$A376)</f>
        <v>0</v>
      </c>
      <c r="F376" s="54">
        <f>SUMIFS('List of Ledgers '!L:L,'List of Ledgers '!$E:$E,Drs_Crs!$A$173,'List of Ledgers '!$B:$B,Drs_Crs!$A376)</f>
        <v>0</v>
      </c>
      <c r="H376" s="54">
        <f>SUMIFS('List of Ledgers '!N:N,'List of Ledgers '!$E:$E,Drs_Crs!$A$173,'List of Ledgers '!$B:$B,Drs_Crs!$A376)</f>
        <v>0</v>
      </c>
      <c r="I376" s="54">
        <f>SUMIFS('List of Ledgers '!O:O,'List of Ledgers '!$E:$E,Drs_Crs!$A$173,'List of Ledgers '!$B:$B,Drs_Crs!$A376)</f>
        <v>21240</v>
      </c>
      <c r="J376" s="54">
        <f>SUMIFS('List of Ledgers '!P:P,'List of Ledgers '!$E:$E,Drs_Crs!$A$173,'List of Ledgers '!$B:$B,Drs_Crs!$A376)</f>
        <v>21240</v>
      </c>
      <c r="K376" s="54">
        <f>SUMIFS('List of Ledgers '!Q:Q,'List of Ledgers '!$E:$E,Drs_Crs!$A$173,'List of Ledgers '!$B:$B,Drs_Crs!$A376)</f>
        <v>0</v>
      </c>
    </row>
    <row r="377" spans="1:11" ht="13.9" x14ac:dyDescent="0.25">
      <c r="A377" s="125" t="s">
        <v>1050</v>
      </c>
      <c r="B377" s="102" t="s">
        <v>7</v>
      </c>
      <c r="C377" s="54">
        <f>SUMIFS('List of Ledgers '!I:I,'List of Ledgers '!$E:$E,Drs_Crs!$A$173,'List of Ledgers '!$B:$B,Drs_Crs!$A377)</f>
        <v>0</v>
      </c>
      <c r="D377" s="54">
        <f>SUMIFS('List of Ledgers '!J:J,'List of Ledgers '!$E:$E,Drs_Crs!$A$173,'List of Ledgers '!$B:$B,Drs_Crs!$A377)</f>
        <v>0</v>
      </c>
      <c r="E377" s="54">
        <f>SUMIFS('List of Ledgers '!K:K,'List of Ledgers '!$E:$E,Drs_Crs!$A$173,'List of Ledgers '!$B:$B,Drs_Crs!$A377)</f>
        <v>0</v>
      </c>
      <c r="F377" s="54">
        <f>SUMIFS('List of Ledgers '!L:L,'List of Ledgers '!$E:$E,Drs_Crs!$A$173,'List of Ledgers '!$B:$B,Drs_Crs!$A377)</f>
        <v>0</v>
      </c>
      <c r="H377" s="54">
        <f>SUMIFS('List of Ledgers '!N:N,'List of Ledgers '!$E:$E,Drs_Crs!$A$173,'List of Ledgers '!$B:$B,Drs_Crs!$A377)</f>
        <v>0</v>
      </c>
      <c r="I377" s="54">
        <f>SUMIFS('List of Ledgers '!O:O,'List of Ledgers '!$E:$E,Drs_Crs!$A$173,'List of Ledgers '!$B:$B,Drs_Crs!$A377)</f>
        <v>8364</v>
      </c>
      <c r="J377" s="54">
        <f>SUMIFS('List of Ledgers '!P:P,'List of Ledgers '!$E:$E,Drs_Crs!$A$173,'List of Ledgers '!$B:$B,Drs_Crs!$A377)</f>
        <v>8364</v>
      </c>
      <c r="K377" s="54">
        <f>SUMIFS('List of Ledgers '!Q:Q,'List of Ledgers '!$E:$E,Drs_Crs!$A$173,'List of Ledgers '!$B:$B,Drs_Crs!$A377)</f>
        <v>0</v>
      </c>
    </row>
    <row r="378" spans="1:11" ht="13.9" x14ac:dyDescent="0.25">
      <c r="A378" s="125" t="s">
        <v>1059</v>
      </c>
      <c r="B378" s="102" t="s">
        <v>7</v>
      </c>
      <c r="C378" s="54">
        <f>SUMIFS('List of Ledgers '!I:I,'List of Ledgers '!$E:$E,Drs_Crs!$A$173,'List of Ledgers '!$B:$B,Drs_Crs!$A378)</f>
        <v>0</v>
      </c>
      <c r="D378" s="54">
        <f>SUMIFS('List of Ledgers '!J:J,'List of Ledgers '!$E:$E,Drs_Crs!$A$173,'List of Ledgers '!$B:$B,Drs_Crs!$A378)</f>
        <v>0</v>
      </c>
      <c r="E378" s="54">
        <f>SUMIFS('List of Ledgers '!K:K,'List of Ledgers '!$E:$E,Drs_Crs!$A$173,'List of Ledgers '!$B:$B,Drs_Crs!$A378)</f>
        <v>0</v>
      </c>
      <c r="F378" s="54">
        <f>SUMIFS('List of Ledgers '!L:L,'List of Ledgers '!$E:$E,Drs_Crs!$A$173,'List of Ledgers '!$B:$B,Drs_Crs!$A378)</f>
        <v>0</v>
      </c>
      <c r="H378" s="54">
        <f>SUMIFS('List of Ledgers '!N:N,'List of Ledgers '!$E:$E,Drs_Crs!$A$173,'List of Ledgers '!$B:$B,Drs_Crs!$A378)</f>
        <v>0</v>
      </c>
      <c r="I378" s="54">
        <f>SUMIFS('List of Ledgers '!O:O,'List of Ledgers '!$E:$E,Drs_Crs!$A$173,'List of Ledgers '!$B:$B,Drs_Crs!$A378)</f>
        <v>6799</v>
      </c>
      <c r="J378" s="54">
        <f>SUMIFS('List of Ledgers '!P:P,'List of Ledgers '!$E:$E,Drs_Crs!$A$173,'List of Ledgers '!$B:$B,Drs_Crs!$A378)</f>
        <v>6799</v>
      </c>
      <c r="K378" s="54">
        <f>SUMIFS('List of Ledgers '!Q:Q,'List of Ledgers '!$E:$E,Drs_Crs!$A$173,'List of Ledgers '!$B:$B,Drs_Crs!$A378)</f>
        <v>0</v>
      </c>
    </row>
    <row r="379" spans="1:11" s="193" customFormat="1" ht="13.9" x14ac:dyDescent="0.25">
      <c r="A379" s="226" t="s">
        <v>1089</v>
      </c>
      <c r="B379" s="227" t="s">
        <v>7</v>
      </c>
      <c r="C379" s="228">
        <f>SUMIFS('List of Ledgers '!I:I,'List of Ledgers '!$E:$E,Drs_Crs!$A$173,'List of Ledgers '!$B:$B,Drs_Crs!$A379)</f>
        <v>100000</v>
      </c>
      <c r="D379" s="228">
        <f>SUMIFS('List of Ledgers '!J:J,'List of Ledgers '!$E:$E,Drs_Crs!$A$173,'List of Ledgers '!$B:$B,Drs_Crs!$A379)</f>
        <v>0</v>
      </c>
      <c r="E379" s="228">
        <f>SUMIFS('List of Ledgers '!K:K,'List of Ledgers '!$E:$E,Drs_Crs!$A$173,'List of Ledgers '!$B:$B,Drs_Crs!$A379)</f>
        <v>0</v>
      </c>
      <c r="F379" s="228">
        <f>SUMIFS('List of Ledgers '!L:L,'List of Ledgers '!$E:$E,Drs_Crs!$A$173,'List of Ledgers '!$B:$B,Drs_Crs!$A379)</f>
        <v>100000</v>
      </c>
      <c r="G379" s="197"/>
      <c r="H379" s="228">
        <f>SUMIFS('List of Ledgers '!N:N,'List of Ledgers '!$E:$E,Drs_Crs!$A$173,'List of Ledgers '!$B:$B,Drs_Crs!$A379)</f>
        <v>0</v>
      </c>
      <c r="I379" s="228">
        <f>SUMIFS('List of Ledgers '!O:O,'List of Ledgers '!$E:$E,Drs_Crs!$A$173,'List of Ledgers '!$B:$B,Drs_Crs!$A379)</f>
        <v>100000</v>
      </c>
      <c r="J379" s="228">
        <f>SUMIFS('List of Ledgers '!P:P,'List of Ledgers '!$E:$E,Drs_Crs!$A$173,'List of Ledgers '!$B:$B,Drs_Crs!$A379)</f>
        <v>0</v>
      </c>
      <c r="K379" s="228">
        <f>SUMIFS('List of Ledgers '!Q:Q,'List of Ledgers '!$E:$E,Drs_Crs!$A$173,'List of Ledgers '!$B:$B,Drs_Crs!$A379)</f>
        <v>100000</v>
      </c>
    </row>
    <row r="380" spans="1:11" ht="13.9" x14ac:dyDescent="0.25">
      <c r="A380" s="125" t="s">
        <v>1091</v>
      </c>
      <c r="B380" s="102" t="s">
        <v>7</v>
      </c>
      <c r="C380" s="54">
        <f>SUMIFS('List of Ledgers '!I:I,'List of Ledgers '!$E:$E,Drs_Crs!$A$173,'List of Ledgers '!$B:$B,Drs_Crs!$A380)</f>
        <v>0</v>
      </c>
      <c r="D380" s="54">
        <f>SUMIFS('List of Ledgers '!J:J,'List of Ledgers '!$E:$E,Drs_Crs!$A$173,'List of Ledgers '!$B:$B,Drs_Crs!$A380)</f>
        <v>7918</v>
      </c>
      <c r="E380" s="54">
        <f>SUMIFS('List of Ledgers '!K:K,'List of Ledgers '!$E:$E,Drs_Crs!$A$173,'List of Ledgers '!$B:$B,Drs_Crs!$A380)</f>
        <v>7918</v>
      </c>
      <c r="F380" s="54">
        <f>SUMIFS('List of Ledgers '!L:L,'List of Ledgers '!$E:$E,Drs_Crs!$A$173,'List of Ledgers '!$B:$B,Drs_Crs!$A380)</f>
        <v>0</v>
      </c>
      <c r="H380" s="54">
        <f>SUMIFS('List of Ledgers '!N:N,'List of Ledgers '!$E:$E,Drs_Crs!$A$173,'List of Ledgers '!$B:$B,Drs_Crs!$A380)</f>
        <v>0</v>
      </c>
      <c r="I380" s="54">
        <f>SUMIFS('List of Ledgers '!O:O,'List of Ledgers '!$E:$E,Drs_Crs!$A$173,'List of Ledgers '!$B:$B,Drs_Crs!$A380)</f>
        <v>13534</v>
      </c>
      <c r="J380" s="54">
        <f>SUMIFS('List of Ledgers '!P:P,'List of Ledgers '!$E:$E,Drs_Crs!$A$173,'List of Ledgers '!$B:$B,Drs_Crs!$A380)</f>
        <v>13534</v>
      </c>
      <c r="K380" s="54">
        <f>SUMIFS('List of Ledgers '!Q:Q,'List of Ledgers '!$E:$E,Drs_Crs!$A$173,'List of Ledgers '!$B:$B,Drs_Crs!$A380)</f>
        <v>0</v>
      </c>
    </row>
    <row r="381" spans="1:11" ht="13.9" x14ac:dyDescent="0.25">
      <c r="A381" s="125" t="s">
        <v>1228</v>
      </c>
      <c r="B381" s="102" t="s">
        <v>7</v>
      </c>
      <c r="C381" s="54">
        <f>SUMIFS('List of Ledgers '!I:I,'List of Ledgers '!$E:$E,Drs_Crs!$A$173,'List of Ledgers '!$B:$B,Drs_Crs!$A381)</f>
        <v>0</v>
      </c>
      <c r="D381" s="54">
        <f>SUMIFS('List of Ledgers '!J:J,'List of Ledgers '!$E:$E,Drs_Crs!$A$173,'List of Ledgers '!$B:$B,Drs_Crs!$A381)</f>
        <v>0</v>
      </c>
      <c r="E381" s="54">
        <f>SUMIFS('List of Ledgers '!K:K,'List of Ledgers '!$E:$E,Drs_Crs!$A$173,'List of Ledgers '!$B:$B,Drs_Crs!$A381)</f>
        <v>0</v>
      </c>
      <c r="F381" s="54">
        <f>SUMIFS('List of Ledgers '!L:L,'List of Ledgers '!$E:$E,Drs_Crs!$A$173,'List of Ledgers '!$B:$B,Drs_Crs!$A381)</f>
        <v>0</v>
      </c>
      <c r="H381" s="54">
        <f>SUMIFS('List of Ledgers '!N:N,'List of Ledgers '!$E:$E,Drs_Crs!$A$173,'List of Ledgers '!$B:$B,Drs_Crs!$A381)</f>
        <v>0</v>
      </c>
      <c r="I381" s="54">
        <f>SUMIFS('List of Ledgers '!O:O,'List of Ledgers '!$E:$E,Drs_Crs!$A$173,'List of Ledgers '!$B:$B,Drs_Crs!$A381)</f>
        <v>124100</v>
      </c>
      <c r="J381" s="54">
        <f>SUMIFS('List of Ledgers '!P:P,'List of Ledgers '!$E:$E,Drs_Crs!$A$173,'List of Ledgers '!$B:$B,Drs_Crs!$A381)</f>
        <v>124100</v>
      </c>
      <c r="K381" s="54">
        <f>SUMIFS('List of Ledgers '!Q:Q,'List of Ledgers '!$E:$E,Drs_Crs!$A$173,'List of Ledgers '!$B:$B,Drs_Crs!$A381)</f>
        <v>0</v>
      </c>
    </row>
    <row r="382" spans="1:11" ht="13.9" x14ac:dyDescent="0.25">
      <c r="A382" s="125" t="s">
        <v>1217</v>
      </c>
      <c r="B382" s="102" t="s">
        <v>7</v>
      </c>
      <c r="C382" s="54">
        <f>SUMIFS('List of Ledgers '!I:I,'List of Ledgers '!$E:$E,Drs_Crs!$A$173,'List of Ledgers '!$B:$B,Drs_Crs!$A382)</f>
        <v>0</v>
      </c>
      <c r="D382" s="54">
        <f>SUMIFS('List of Ledgers '!J:J,'List of Ledgers '!$E:$E,Drs_Crs!$A$173,'List of Ledgers '!$B:$B,Drs_Crs!$A382)</f>
        <v>0</v>
      </c>
      <c r="E382" s="54">
        <f>SUMIFS('List of Ledgers '!K:K,'List of Ledgers '!$E:$E,Drs_Crs!$A$173,'List of Ledgers '!$B:$B,Drs_Crs!$A382)</f>
        <v>0</v>
      </c>
      <c r="F382" s="54">
        <f>SUMIFS('List of Ledgers '!L:L,'List of Ledgers '!$E:$E,Drs_Crs!$A$173,'List of Ledgers '!$B:$B,Drs_Crs!$A382)</f>
        <v>0</v>
      </c>
      <c r="H382" s="54">
        <f>SUMIFS('List of Ledgers '!N:N,'List of Ledgers '!$E:$E,Drs_Crs!$A$173,'List of Ledgers '!$B:$B,Drs_Crs!$A382)</f>
        <v>0</v>
      </c>
      <c r="I382" s="54">
        <f>SUMIFS('List of Ledgers '!O:O,'List of Ledgers '!$E:$E,Drs_Crs!$A$173,'List of Ledgers '!$B:$B,Drs_Crs!$A382)</f>
        <v>8850</v>
      </c>
      <c r="J382" s="54">
        <f>SUMIFS('List of Ledgers '!P:P,'List of Ledgers '!$E:$E,Drs_Crs!$A$173,'List of Ledgers '!$B:$B,Drs_Crs!$A382)</f>
        <v>8850</v>
      </c>
      <c r="K382" s="54">
        <f>SUMIFS('List of Ledgers '!Q:Q,'List of Ledgers '!$E:$E,Drs_Crs!$A$173,'List of Ledgers '!$B:$B,Drs_Crs!$A382)</f>
        <v>0</v>
      </c>
    </row>
    <row r="383" spans="1:11" ht="13.9" x14ac:dyDescent="0.25">
      <c r="A383" s="125" t="s">
        <v>1218</v>
      </c>
      <c r="B383" s="102" t="s">
        <v>7</v>
      </c>
      <c r="C383" s="54">
        <f>SUMIFS('List of Ledgers '!I:I,'List of Ledgers '!$E:$E,Drs_Crs!$A$173,'List of Ledgers '!$B:$B,Drs_Crs!$A383)</f>
        <v>0</v>
      </c>
      <c r="D383" s="54">
        <f>SUMIFS('List of Ledgers '!J:J,'List of Ledgers '!$E:$E,Drs_Crs!$A$173,'List of Ledgers '!$B:$B,Drs_Crs!$A383)</f>
        <v>0</v>
      </c>
      <c r="E383" s="54">
        <f>SUMIFS('List of Ledgers '!K:K,'List of Ledgers '!$E:$E,Drs_Crs!$A$173,'List of Ledgers '!$B:$B,Drs_Crs!$A383)</f>
        <v>0</v>
      </c>
      <c r="F383" s="54">
        <f>SUMIFS('List of Ledgers '!L:L,'List of Ledgers '!$E:$E,Drs_Crs!$A$173,'List of Ledgers '!$B:$B,Drs_Crs!$A383)</f>
        <v>0</v>
      </c>
      <c r="H383" s="54">
        <f>SUMIFS('List of Ledgers '!N:N,'List of Ledgers '!$E:$E,Drs_Crs!$A$173,'List of Ledgers '!$B:$B,Drs_Crs!$A383)</f>
        <v>0</v>
      </c>
      <c r="I383" s="54">
        <f>SUMIFS('List of Ledgers '!O:O,'List of Ledgers '!$E:$E,Drs_Crs!$A$173,'List of Ledgers '!$B:$B,Drs_Crs!$A383)</f>
        <v>0</v>
      </c>
      <c r="J383" s="54">
        <f>SUMIFS('List of Ledgers '!P:P,'List of Ledgers '!$E:$E,Drs_Crs!$A$173,'List of Ledgers '!$B:$B,Drs_Crs!$A383)</f>
        <v>0</v>
      </c>
      <c r="K383" s="54">
        <f>SUMIFS('List of Ledgers '!Q:Q,'List of Ledgers '!$E:$E,Drs_Crs!$A$173,'List of Ledgers '!$B:$B,Drs_Crs!$A383)</f>
        <v>0</v>
      </c>
    </row>
    <row r="384" spans="1:11" ht="13.9" x14ac:dyDescent="0.25">
      <c r="A384" s="125" t="s">
        <v>1259</v>
      </c>
      <c r="B384" s="102" t="s">
        <v>7</v>
      </c>
      <c r="C384" s="54">
        <f>SUMIFS('List of Ledgers '!I:I,'List of Ledgers '!$E:$E,Drs_Crs!$A$173,'List of Ledgers '!$B:$B,Drs_Crs!$A384)</f>
        <v>0</v>
      </c>
      <c r="D384" s="54">
        <f>SUMIFS('List of Ledgers '!J:J,'List of Ledgers '!$E:$E,Drs_Crs!$A$173,'List of Ledgers '!$B:$B,Drs_Crs!$A384)</f>
        <v>0</v>
      </c>
      <c r="E384" s="54">
        <f>SUMIFS('List of Ledgers '!K:K,'List of Ledgers '!$E:$E,Drs_Crs!$A$173,'List of Ledgers '!$B:$B,Drs_Crs!$A384)</f>
        <v>0</v>
      </c>
      <c r="F384" s="54">
        <f>SUMIFS('List of Ledgers '!L:L,'List of Ledgers '!$E:$E,Drs_Crs!$A$173,'List of Ledgers '!$B:$B,Drs_Crs!$A384)</f>
        <v>0</v>
      </c>
      <c r="H384" s="54">
        <f>SUMIFS('List of Ledgers '!N:N,'List of Ledgers '!$E:$E,Drs_Crs!$A$173,'List of Ledgers '!$B:$B,Drs_Crs!$A384)</f>
        <v>0</v>
      </c>
      <c r="I384" s="54">
        <f>SUMIFS('List of Ledgers '!O:O,'List of Ledgers '!$E:$E,Drs_Crs!$A$173,'List of Ledgers '!$B:$B,Drs_Crs!$A384)</f>
        <v>34810</v>
      </c>
      <c r="J384" s="54">
        <f>SUMIFS('List of Ledgers '!P:P,'List of Ledgers '!$E:$E,Drs_Crs!$A$173,'List of Ledgers '!$B:$B,Drs_Crs!$A384)</f>
        <v>34810</v>
      </c>
      <c r="K384" s="54">
        <f>SUMIFS('List of Ledgers '!Q:Q,'List of Ledgers '!$E:$E,Drs_Crs!$A$173,'List of Ledgers '!$B:$B,Drs_Crs!$A384)</f>
        <v>0</v>
      </c>
    </row>
    <row r="385" spans="1:11" ht="13.9" x14ac:dyDescent="0.25">
      <c r="A385" s="125" t="s">
        <v>514</v>
      </c>
      <c r="B385" s="102" t="s">
        <v>7</v>
      </c>
      <c r="C385" s="54">
        <f>SUMIFS('List of Ledgers '!I:I,'List of Ledgers '!$E:$E,Drs_Crs!$A$173,'List of Ledgers '!$B:$B,Drs_Crs!$A385)</f>
        <v>0</v>
      </c>
      <c r="D385" s="54">
        <f>SUMIFS('List of Ledgers '!J:J,'List of Ledgers '!$E:$E,Drs_Crs!$A$173,'List of Ledgers '!$B:$B,Drs_Crs!$A385)</f>
        <v>0</v>
      </c>
      <c r="E385" s="54">
        <f>SUMIFS('List of Ledgers '!K:K,'List of Ledgers '!$E:$E,Drs_Crs!$A$173,'List of Ledgers '!$B:$B,Drs_Crs!$A385)</f>
        <v>0</v>
      </c>
      <c r="F385" s="54">
        <f>SUMIFS('List of Ledgers '!L:L,'List of Ledgers '!$E:$E,Drs_Crs!$A$173,'List of Ledgers '!$B:$B,Drs_Crs!$A385)</f>
        <v>0</v>
      </c>
      <c r="H385" s="54">
        <f>SUMIFS('List of Ledgers '!N:N,'List of Ledgers '!$E:$E,Drs_Crs!$A$173,'List of Ledgers '!$B:$B,Drs_Crs!$A385)</f>
        <v>18</v>
      </c>
      <c r="I385" s="54">
        <f>SUMIFS('List of Ledgers '!O:O,'List of Ledgers '!$E:$E,Drs_Crs!$A$173,'List of Ledgers '!$B:$B,Drs_Crs!$A385)</f>
        <v>0</v>
      </c>
      <c r="J385" s="54">
        <f>SUMIFS('List of Ledgers '!P:P,'List of Ledgers '!$E:$E,Drs_Crs!$A$173,'List of Ledgers '!$B:$B,Drs_Crs!$A385)</f>
        <v>18</v>
      </c>
      <c r="K385" s="54">
        <f>SUMIFS('List of Ledgers '!Q:Q,'List of Ledgers '!$E:$E,Drs_Crs!$A$173,'List of Ledgers '!$B:$B,Drs_Crs!$A385)</f>
        <v>0</v>
      </c>
    </row>
    <row r="386" spans="1:11" s="193" customFormat="1" ht="13.9" x14ac:dyDescent="0.25">
      <c r="A386" s="226" t="s">
        <v>855</v>
      </c>
      <c r="B386" s="227" t="str">
        <f>VLOOKUP(A386,'List of Ledgers '!B:G,6,0)</f>
        <v>Common</v>
      </c>
      <c r="C386" s="228">
        <f>SUMIFS('List of Ledgers '!I:I,'List of Ledgers '!$E:$E,Drs_Crs!$A$173,'List of Ledgers '!$B:$B,Drs_Crs!$A386)</f>
        <v>-226</v>
      </c>
      <c r="D386" s="228">
        <f>SUMIFS('List of Ledgers '!J:J,'List of Ledgers '!$E:$E,Drs_Crs!$A$173,'List of Ledgers '!$B:$B,Drs_Crs!$A386)</f>
        <v>0</v>
      </c>
      <c r="E386" s="228">
        <f>SUMIFS('List of Ledgers '!K:K,'List of Ledgers '!$E:$E,Drs_Crs!$A$173,'List of Ledgers '!$B:$B,Drs_Crs!$A386)</f>
        <v>0</v>
      </c>
      <c r="F386" s="228">
        <f>SUMIFS('List of Ledgers '!L:L,'List of Ledgers '!$E:$E,Drs_Crs!$A$173,'List of Ledgers '!$B:$B,Drs_Crs!$A386)</f>
        <v>-226</v>
      </c>
      <c r="G386" s="197"/>
      <c r="H386" s="228">
        <f>SUMIFS('List of Ledgers '!N:N,'List of Ledgers '!$E:$E,Drs_Crs!$A$173,'List of Ledgers '!$B:$B,Drs_Crs!$A386)</f>
        <v>-5359</v>
      </c>
      <c r="I386" s="228">
        <f>SUMIFS('List of Ledgers '!O:O,'List of Ledgers '!$E:$E,Drs_Crs!$A$173,'List of Ledgers '!$B:$B,Drs_Crs!$A386)</f>
        <v>16284</v>
      </c>
      <c r="J386" s="228">
        <f>SUMIFS('List of Ledgers '!P:P,'List of Ledgers '!$E:$E,Drs_Crs!$A$173,'List of Ledgers '!$B:$B,Drs_Crs!$A386)</f>
        <v>11151</v>
      </c>
      <c r="K386" s="228">
        <f>SUMIFS('List of Ledgers '!Q:Q,'List of Ledgers '!$E:$E,Drs_Crs!$A$173,'List of Ledgers '!$B:$B,Drs_Crs!$A386)</f>
        <v>-226</v>
      </c>
    </row>
    <row r="387" spans="1:11" ht="13.9" x14ac:dyDescent="0.25">
      <c r="A387" s="125" t="s">
        <v>1051</v>
      </c>
      <c r="B387" s="102" t="s">
        <v>4</v>
      </c>
      <c r="C387" s="54">
        <f>SUMIFS('List of Ledgers '!I:I,'List of Ledgers '!$E:$E,Drs_Crs!$A$173,'List of Ledgers '!$B:$B,Drs_Crs!$A387)</f>
        <v>19798</v>
      </c>
      <c r="D387" s="54">
        <f>SUMIFS('List of Ledgers '!J:J,'List of Ledgers '!$E:$E,Drs_Crs!$A$173,'List of Ledgers '!$B:$B,Drs_Crs!$A387)</f>
        <v>790001</v>
      </c>
      <c r="E387" s="54">
        <f>SUMIFS('List of Ledgers '!K:K,'List of Ledgers '!$E:$E,Drs_Crs!$A$173,'List of Ledgers '!$B:$B,Drs_Crs!$A387)</f>
        <v>809799</v>
      </c>
      <c r="F387" s="54">
        <f>SUMIFS('List of Ledgers '!L:L,'List of Ledgers '!$E:$E,Drs_Crs!$A$173,'List of Ledgers '!$B:$B,Drs_Crs!$A387)</f>
        <v>0</v>
      </c>
      <c r="H387" s="54">
        <f>SUMIFS('List of Ledgers '!N:N,'List of Ledgers '!$E:$E,Drs_Crs!$A$173,'List of Ledgers '!$B:$B,Drs_Crs!$A387)</f>
        <v>0</v>
      </c>
      <c r="I387" s="54">
        <f>SUMIFS('List of Ledgers '!O:O,'List of Ledgers '!$E:$E,Drs_Crs!$A$173,'List of Ledgers '!$B:$B,Drs_Crs!$A387)</f>
        <v>30071711</v>
      </c>
      <c r="J387" s="54">
        <f>SUMIFS('List of Ledgers '!P:P,'List of Ledgers '!$E:$E,Drs_Crs!$A$173,'List of Ledgers '!$B:$B,Drs_Crs!$A387)</f>
        <v>30071711</v>
      </c>
      <c r="K387" s="54">
        <f>SUMIFS('List of Ledgers '!Q:Q,'List of Ledgers '!$E:$E,Drs_Crs!$A$173,'List of Ledgers '!$B:$B,Drs_Crs!$A387)</f>
        <v>0</v>
      </c>
    </row>
    <row r="388" spans="1:11" ht="13.9" x14ac:dyDescent="0.25">
      <c r="A388" s="125" t="s">
        <v>1011</v>
      </c>
      <c r="B388" s="102" t="str">
        <f>VLOOKUP(A388,'List of Ledgers '!B:G,6,0)</f>
        <v>Common</v>
      </c>
      <c r="C388" s="54">
        <f>SUMIFS('List of Ledgers '!I:I,'List of Ledgers '!$E:$E,Drs_Crs!$A$173,'List of Ledgers '!$B:$B,Drs_Crs!$A388)</f>
        <v>0</v>
      </c>
      <c r="D388" s="54">
        <f>SUMIFS('List of Ledgers '!J:J,'List of Ledgers '!$E:$E,Drs_Crs!$A$173,'List of Ledgers '!$B:$B,Drs_Crs!$A388)</f>
        <v>0</v>
      </c>
      <c r="E388" s="54">
        <f>SUMIFS('List of Ledgers '!K:K,'List of Ledgers '!$E:$E,Drs_Crs!$A$173,'List of Ledgers '!$B:$B,Drs_Crs!$A388)</f>
        <v>0</v>
      </c>
      <c r="F388" s="54">
        <f>SUMIFS('List of Ledgers '!L:L,'List of Ledgers '!$E:$E,Drs_Crs!$A$173,'List of Ledgers '!$B:$B,Drs_Crs!$A388)</f>
        <v>0</v>
      </c>
      <c r="H388" s="54">
        <f>SUMIFS('List of Ledgers '!N:N,'List of Ledgers '!$E:$E,Drs_Crs!$A$173,'List of Ledgers '!$B:$B,Drs_Crs!$A388)</f>
        <v>-12744</v>
      </c>
      <c r="I388" s="54">
        <f>SUMIFS('List of Ledgers '!O:O,'List of Ledgers '!$E:$E,Drs_Crs!$A$173,'List of Ledgers '!$B:$B,Drs_Crs!$A388)</f>
        <v>27134</v>
      </c>
      <c r="J388" s="54">
        <f>SUMIFS('List of Ledgers '!P:P,'List of Ledgers '!$E:$E,Drs_Crs!$A$173,'List of Ledgers '!$B:$B,Drs_Crs!$A388)</f>
        <v>14390</v>
      </c>
      <c r="K388" s="54">
        <f>SUMIFS('List of Ledgers '!Q:Q,'List of Ledgers '!$E:$E,Drs_Crs!$A$173,'List of Ledgers '!$B:$B,Drs_Crs!$A388)</f>
        <v>0</v>
      </c>
    </row>
    <row r="389" spans="1:11" ht="13.9" x14ac:dyDescent="0.25">
      <c r="A389" s="125" t="s">
        <v>1278</v>
      </c>
      <c r="B389" s="102" t="s">
        <v>9</v>
      </c>
      <c r="C389" s="54">
        <f>SUMIFS('List of Ledgers '!I:I,'List of Ledgers '!$E:$E,Drs_Crs!$A$173,'List of Ledgers '!$B:$B,Drs_Crs!$A389)</f>
        <v>0</v>
      </c>
      <c r="D389" s="54">
        <f>SUMIFS('List of Ledgers '!J:J,'List of Ledgers '!$E:$E,Drs_Crs!$A$173,'List of Ledgers '!$B:$B,Drs_Crs!$A389)</f>
        <v>663348</v>
      </c>
      <c r="E389" s="54">
        <f>SUMIFS('List of Ledgers '!K:K,'List of Ledgers '!$E:$E,Drs_Crs!$A$173,'List of Ledgers '!$B:$B,Drs_Crs!$A389)</f>
        <v>663348</v>
      </c>
      <c r="F389" s="54">
        <f>SUMIFS('List of Ledgers '!L:L,'List of Ledgers '!$E:$E,Drs_Crs!$A$173,'List of Ledgers '!$B:$B,Drs_Crs!$A389)</f>
        <v>0</v>
      </c>
      <c r="H389" s="54">
        <f>SUMIFS('List of Ledgers '!N:N,'List of Ledgers '!$E:$E,Drs_Crs!$A$173,'List of Ledgers '!$B:$B,Drs_Crs!$A389)</f>
        <v>0</v>
      </c>
      <c r="I389" s="54">
        <f>SUMIFS('List of Ledgers '!O:O,'List of Ledgers '!$E:$E,Drs_Crs!$A$173,'List of Ledgers '!$B:$B,Drs_Crs!$A389)</f>
        <v>3329823</v>
      </c>
      <c r="J389" s="54">
        <f>SUMIFS('List of Ledgers '!P:P,'List of Ledgers '!$E:$E,Drs_Crs!$A$173,'List of Ledgers '!$B:$B,Drs_Crs!$A389)</f>
        <v>3329823</v>
      </c>
      <c r="K389" s="54">
        <f>SUMIFS('List of Ledgers '!Q:Q,'List of Ledgers '!$E:$E,Drs_Crs!$A$173,'List of Ledgers '!$B:$B,Drs_Crs!$A389)</f>
        <v>0</v>
      </c>
    </row>
    <row r="390" spans="1:11" ht="13.9" x14ac:dyDescent="0.25">
      <c r="A390" s="125" t="s">
        <v>1301</v>
      </c>
      <c r="B390" s="102" t="s">
        <v>9</v>
      </c>
      <c r="C390" s="54">
        <f>SUMIFS('List of Ledgers '!I:I,'List of Ledgers '!$E:$E,Drs_Crs!$A$173,'List of Ledgers '!$B:$B,Drs_Crs!$A390)</f>
        <v>0</v>
      </c>
      <c r="D390" s="54">
        <f>SUMIFS('List of Ledgers '!J:J,'List of Ledgers '!$E:$E,Drs_Crs!$A$173,'List of Ledgers '!$B:$B,Drs_Crs!$A390)</f>
        <v>0</v>
      </c>
      <c r="E390" s="54">
        <f>SUMIFS('List of Ledgers '!K:K,'List of Ledgers '!$E:$E,Drs_Crs!$A$173,'List of Ledgers '!$B:$B,Drs_Crs!$A390)</f>
        <v>0</v>
      </c>
      <c r="F390" s="54">
        <f>SUMIFS('List of Ledgers '!L:L,'List of Ledgers '!$E:$E,Drs_Crs!$A$173,'List of Ledgers '!$B:$B,Drs_Crs!$A390)</f>
        <v>0</v>
      </c>
      <c r="H390" s="54">
        <f>SUMIFS('List of Ledgers '!N:N,'List of Ledgers '!$E:$E,Drs_Crs!$A$173,'List of Ledgers '!$B:$B,Drs_Crs!$A390)</f>
        <v>0</v>
      </c>
      <c r="I390" s="54">
        <f>SUMIFS('List of Ledgers '!O:O,'List of Ledgers '!$E:$E,Drs_Crs!$A$173,'List of Ledgers '!$B:$B,Drs_Crs!$A390)</f>
        <v>436450</v>
      </c>
      <c r="J390" s="54">
        <f>SUMIFS('List of Ledgers '!P:P,'List of Ledgers '!$E:$E,Drs_Crs!$A$173,'List of Ledgers '!$B:$B,Drs_Crs!$A390)</f>
        <v>436450</v>
      </c>
      <c r="K390" s="54">
        <f>SUMIFS('List of Ledgers '!Q:Q,'List of Ledgers '!$E:$E,Drs_Crs!$A$173,'List of Ledgers '!$B:$B,Drs_Crs!$A390)</f>
        <v>0</v>
      </c>
    </row>
    <row r="391" spans="1:11" ht="13.9" x14ac:dyDescent="0.25">
      <c r="A391" s="125" t="s">
        <v>1305</v>
      </c>
      <c r="B391" s="102" t="s">
        <v>9</v>
      </c>
      <c r="C391" s="54">
        <f>SUMIFS('List of Ledgers '!I:I,'List of Ledgers '!$E:$E,Drs_Crs!$A$173,'List of Ledgers '!$B:$B,Drs_Crs!$A391)</f>
        <v>0</v>
      </c>
      <c r="D391" s="54">
        <f>SUMIFS('List of Ledgers '!J:J,'List of Ledgers '!$E:$E,Drs_Crs!$A$173,'List of Ledgers '!$B:$B,Drs_Crs!$A391)</f>
        <v>2552000</v>
      </c>
      <c r="E391" s="54">
        <f>SUMIFS('List of Ledgers '!K:K,'List of Ledgers '!$E:$E,Drs_Crs!$A$173,'List of Ledgers '!$B:$B,Drs_Crs!$A391)</f>
        <v>2652000</v>
      </c>
      <c r="F391" s="54">
        <f>SUMIFS('List of Ledgers '!L:L,'List of Ledgers '!$E:$E,Drs_Crs!$A$173,'List of Ledgers '!$B:$B,Drs_Crs!$A391)</f>
        <v>-100000</v>
      </c>
      <c r="H391" s="54">
        <f>SUMIFS('List of Ledgers '!N:N,'List of Ledgers '!$E:$E,Drs_Crs!$A$173,'List of Ledgers '!$B:$B,Drs_Crs!$A391)</f>
        <v>0</v>
      </c>
      <c r="I391" s="54">
        <f>SUMIFS('List of Ledgers '!O:O,'List of Ledgers '!$E:$E,Drs_Crs!$A$173,'List of Ledgers '!$B:$B,Drs_Crs!$A391)</f>
        <v>2552000</v>
      </c>
      <c r="J391" s="54">
        <f>SUMIFS('List of Ledgers '!P:P,'List of Ledgers '!$E:$E,Drs_Crs!$A$173,'List of Ledgers '!$B:$B,Drs_Crs!$A391)</f>
        <v>2652000</v>
      </c>
      <c r="K391" s="54">
        <f>SUMIFS('List of Ledgers '!Q:Q,'List of Ledgers '!$E:$E,Drs_Crs!$A$173,'List of Ledgers '!$B:$B,Drs_Crs!$A391)</f>
        <v>-100000</v>
      </c>
    </row>
    <row r="392" spans="1:11" ht="13.9" x14ac:dyDescent="0.25">
      <c r="A392" s="125" t="s">
        <v>1307</v>
      </c>
      <c r="B392" s="102" t="s">
        <v>9</v>
      </c>
      <c r="C392" s="54">
        <f>SUMIFS('List of Ledgers '!I:I,'List of Ledgers '!$E:$E,Drs_Crs!$A$173,'List of Ledgers '!$B:$B,Drs_Crs!$A392)</f>
        <v>-2065</v>
      </c>
      <c r="D392" s="54">
        <f>SUMIFS('List of Ledgers '!J:J,'List of Ledgers '!$E:$E,Drs_Crs!$A$173,'List of Ledgers '!$B:$B,Drs_Crs!$A392)</f>
        <v>3319</v>
      </c>
      <c r="E392" s="54">
        <f>SUMIFS('List of Ledgers '!K:K,'List of Ledgers '!$E:$E,Drs_Crs!$A$173,'List of Ledgers '!$B:$B,Drs_Crs!$A392)</f>
        <v>1254</v>
      </c>
      <c r="F392" s="54">
        <f>SUMIFS('List of Ledgers '!L:L,'List of Ledgers '!$E:$E,Drs_Crs!$A$173,'List of Ledgers '!$B:$B,Drs_Crs!$A392)</f>
        <v>0</v>
      </c>
      <c r="H392" s="54">
        <f>SUMIFS('List of Ledgers '!N:N,'List of Ledgers '!$E:$E,Drs_Crs!$A$173,'List of Ledgers '!$B:$B,Drs_Crs!$A392)</f>
        <v>0</v>
      </c>
      <c r="I392" s="54">
        <f>SUMIFS('List of Ledgers '!O:O,'List of Ledgers '!$E:$E,Drs_Crs!$A$173,'List of Ledgers '!$B:$B,Drs_Crs!$A392)</f>
        <v>3319</v>
      </c>
      <c r="J392" s="54">
        <f>SUMIFS('List of Ledgers '!P:P,'List of Ledgers '!$E:$E,Drs_Crs!$A$173,'List of Ledgers '!$B:$B,Drs_Crs!$A392)</f>
        <v>3319</v>
      </c>
      <c r="K392" s="54">
        <f>SUMIFS('List of Ledgers '!Q:Q,'List of Ledgers '!$E:$E,Drs_Crs!$A$173,'List of Ledgers '!$B:$B,Drs_Crs!$A392)</f>
        <v>0</v>
      </c>
    </row>
    <row r="393" spans="1:11" ht="13.9" x14ac:dyDescent="0.25">
      <c r="A393" s="125" t="s">
        <v>1309</v>
      </c>
      <c r="B393" s="102" t="s">
        <v>9</v>
      </c>
      <c r="C393" s="54">
        <f>SUMIFS('List of Ledgers '!I:I,'List of Ledgers '!$E:$E,Drs_Crs!$A$173,'List of Ledgers '!$B:$B,Drs_Crs!$A393)</f>
        <v>-30377</v>
      </c>
      <c r="D393" s="54">
        <f>SUMIFS('List of Ledgers '!J:J,'List of Ledgers '!$E:$E,Drs_Crs!$A$173,'List of Ledgers '!$B:$B,Drs_Crs!$A393)</f>
        <v>23375</v>
      </c>
      <c r="E393" s="54">
        <f>SUMIFS('List of Ledgers '!K:K,'List of Ledgers '!$E:$E,Drs_Crs!$A$173,'List of Ledgers '!$B:$B,Drs_Crs!$A393)</f>
        <v>0</v>
      </c>
      <c r="F393" s="54">
        <f>SUMIFS('List of Ledgers '!L:L,'List of Ledgers '!$E:$E,Drs_Crs!$A$173,'List of Ledgers '!$B:$B,Drs_Crs!$A393)</f>
        <v>-7002</v>
      </c>
      <c r="H393" s="54">
        <f>SUMIFS('List of Ledgers '!N:N,'List of Ledgers '!$E:$E,Drs_Crs!$A$173,'List of Ledgers '!$B:$B,Drs_Crs!$A393)</f>
        <v>0</v>
      </c>
      <c r="I393" s="54">
        <f>SUMIFS('List of Ledgers '!O:O,'List of Ledgers '!$E:$E,Drs_Crs!$A$173,'List of Ledgers '!$B:$B,Drs_Crs!$A393)</f>
        <v>32325</v>
      </c>
      <c r="J393" s="54">
        <f>SUMIFS('List of Ledgers '!P:P,'List of Ledgers '!$E:$E,Drs_Crs!$A$173,'List of Ledgers '!$B:$B,Drs_Crs!$A393)</f>
        <v>39327</v>
      </c>
      <c r="K393" s="54">
        <f>SUMIFS('List of Ledgers '!Q:Q,'List of Ledgers '!$E:$E,Drs_Crs!$A$173,'List of Ledgers '!$B:$B,Drs_Crs!$A393)</f>
        <v>-7002</v>
      </c>
    </row>
    <row r="394" spans="1:11" ht="13.9" x14ac:dyDescent="0.25">
      <c r="A394" s="125" t="s">
        <v>1310</v>
      </c>
      <c r="B394" s="102" t="s">
        <v>7</v>
      </c>
      <c r="C394" s="54">
        <f>SUMIFS('List of Ledgers '!I:I,'List of Ledgers '!$E:$E,Drs_Crs!$A$173,'List of Ledgers '!$B:$B,Drs_Crs!$A394)</f>
        <v>0</v>
      </c>
      <c r="D394" s="54">
        <f>SUMIFS('List of Ledgers '!J:J,'List of Ledgers '!$E:$E,Drs_Crs!$A$173,'List of Ledgers '!$B:$B,Drs_Crs!$A394)</f>
        <v>306800</v>
      </c>
      <c r="E394" s="54">
        <f>SUMIFS('List of Ledgers '!K:K,'List of Ledgers '!$E:$E,Drs_Crs!$A$173,'List of Ledgers '!$B:$B,Drs_Crs!$A394)</f>
        <v>306800</v>
      </c>
      <c r="F394" s="54">
        <f>SUMIFS('List of Ledgers '!L:L,'List of Ledgers '!$E:$E,Drs_Crs!$A$173,'List of Ledgers '!$B:$B,Drs_Crs!$A394)</f>
        <v>0</v>
      </c>
      <c r="H394" s="54">
        <f>SUMIFS('List of Ledgers '!N:N,'List of Ledgers '!$E:$E,Drs_Crs!$A$173,'List of Ledgers '!$B:$B,Drs_Crs!$A394)</f>
        <v>0</v>
      </c>
      <c r="I394" s="54">
        <f>SUMIFS('List of Ledgers '!O:O,'List of Ledgers '!$E:$E,Drs_Crs!$A$173,'List of Ledgers '!$B:$B,Drs_Crs!$A394)</f>
        <v>306800</v>
      </c>
      <c r="J394" s="54">
        <f>SUMIFS('List of Ledgers '!P:P,'List of Ledgers '!$E:$E,Drs_Crs!$A$173,'List of Ledgers '!$B:$B,Drs_Crs!$A394)</f>
        <v>306800</v>
      </c>
      <c r="K394" s="54">
        <f>SUMIFS('List of Ledgers '!Q:Q,'List of Ledgers '!$E:$E,Drs_Crs!$A$173,'List of Ledgers '!$B:$B,Drs_Crs!$A394)</f>
        <v>0</v>
      </c>
    </row>
    <row r="395" spans="1:11" ht="13.9" x14ac:dyDescent="0.25">
      <c r="A395" s="125" t="s">
        <v>1311</v>
      </c>
      <c r="B395" s="102" t="s">
        <v>7</v>
      </c>
      <c r="C395" s="54">
        <f>SUMIFS('List of Ledgers '!I:I,'List of Ledgers '!$E:$E,Drs_Crs!$A$173,'List of Ledgers '!$B:$B,Drs_Crs!$A395)</f>
        <v>0</v>
      </c>
      <c r="D395" s="54">
        <f>SUMIFS('List of Ledgers '!J:J,'List of Ledgers '!$E:$E,Drs_Crs!$A$173,'List of Ledgers '!$B:$B,Drs_Crs!$A395)</f>
        <v>0</v>
      </c>
      <c r="E395" s="54">
        <f>SUMIFS('List of Ledgers '!K:K,'List of Ledgers '!$E:$E,Drs_Crs!$A$173,'List of Ledgers '!$B:$B,Drs_Crs!$A395)</f>
        <v>0</v>
      </c>
      <c r="F395" s="54">
        <f>SUMIFS('List of Ledgers '!L:L,'List of Ledgers '!$E:$E,Drs_Crs!$A$173,'List of Ledgers '!$B:$B,Drs_Crs!$A395)</f>
        <v>0</v>
      </c>
      <c r="H395" s="54">
        <f>SUMIFS('List of Ledgers '!N:N,'List of Ledgers '!$E:$E,Drs_Crs!$A$173,'List of Ledgers '!$B:$B,Drs_Crs!$A395)</f>
        <v>0</v>
      </c>
      <c r="I395" s="54">
        <f>SUMIFS('List of Ledgers '!O:O,'List of Ledgers '!$E:$E,Drs_Crs!$A$173,'List of Ledgers '!$B:$B,Drs_Crs!$A395)</f>
        <v>5457.5</v>
      </c>
      <c r="J395" s="54">
        <f>SUMIFS('List of Ledgers '!P:P,'List of Ledgers '!$E:$E,Drs_Crs!$A$173,'List of Ledgers '!$B:$B,Drs_Crs!$A395)</f>
        <v>5457.5</v>
      </c>
      <c r="K395" s="54">
        <f>SUMIFS('List of Ledgers '!Q:Q,'List of Ledgers '!$E:$E,Drs_Crs!$A$173,'List of Ledgers '!$B:$B,Drs_Crs!$A395)</f>
        <v>0</v>
      </c>
    </row>
    <row r="396" spans="1:11" s="193" customFormat="1" ht="13.9" x14ac:dyDescent="0.25">
      <c r="A396" s="226" t="s">
        <v>1312</v>
      </c>
      <c r="B396" s="227" t="s">
        <v>9</v>
      </c>
      <c r="C396" s="228">
        <f>SUMIFS('List of Ledgers '!I:I,'List of Ledgers '!$E:$E,Drs_Crs!$A$173,'List of Ledgers '!$B:$B,Drs_Crs!$A396)</f>
        <v>-50000</v>
      </c>
      <c r="D396" s="228">
        <f>SUMIFS('List of Ledgers '!J:J,'List of Ledgers '!$E:$E,Drs_Crs!$A$173,'List of Ledgers '!$B:$B,Drs_Crs!$A396)</f>
        <v>0</v>
      </c>
      <c r="E396" s="228">
        <f>SUMIFS('List of Ledgers '!K:K,'List of Ledgers '!$E:$E,Drs_Crs!$A$173,'List of Ledgers '!$B:$B,Drs_Crs!$A396)</f>
        <v>0</v>
      </c>
      <c r="F396" s="228">
        <f>SUMIFS('List of Ledgers '!L:L,'List of Ledgers '!$E:$E,Drs_Crs!$A$173,'List of Ledgers '!$B:$B,Drs_Crs!$A396)</f>
        <v>-50000</v>
      </c>
      <c r="G396" s="197"/>
      <c r="H396" s="228">
        <f>SUMIFS('List of Ledgers '!N:N,'List of Ledgers '!$E:$E,Drs_Crs!$A$173,'List of Ledgers '!$B:$B,Drs_Crs!$A396)</f>
        <v>0</v>
      </c>
      <c r="I396" s="228">
        <f>SUMIFS('List of Ledgers '!O:O,'List of Ledgers '!$E:$E,Drs_Crs!$A$173,'List of Ledgers '!$B:$B,Drs_Crs!$A396)</f>
        <v>4757040</v>
      </c>
      <c r="J396" s="228">
        <f>SUMIFS('List of Ledgers '!P:P,'List of Ledgers '!$E:$E,Drs_Crs!$A$173,'List of Ledgers '!$B:$B,Drs_Crs!$A396)</f>
        <v>4807040</v>
      </c>
      <c r="K396" s="228">
        <f>SUMIFS('List of Ledgers '!Q:Q,'List of Ledgers '!$E:$E,Drs_Crs!$A$173,'List of Ledgers '!$B:$B,Drs_Crs!$A396)</f>
        <v>-50000</v>
      </c>
    </row>
    <row r="397" spans="1:11" ht="13.9" x14ac:dyDescent="0.25">
      <c r="A397" s="125" t="s">
        <v>1318</v>
      </c>
      <c r="B397" s="102" t="s">
        <v>7</v>
      </c>
      <c r="C397" s="54">
        <f>SUMIFS('List of Ledgers '!I:I,'List of Ledgers '!$E:$E,Drs_Crs!$A$173,'List of Ledgers '!$B:$B,Drs_Crs!$A397)</f>
        <v>-79006</v>
      </c>
      <c r="D397" s="54">
        <f>SUMIFS('List of Ledgers '!J:J,'List of Ledgers '!$E:$E,Drs_Crs!$A$173,'List of Ledgers '!$B:$B,Drs_Crs!$A397)</f>
        <v>161922</v>
      </c>
      <c r="E397" s="54">
        <f>SUMIFS('List of Ledgers '!K:K,'List of Ledgers '!$E:$E,Drs_Crs!$A$173,'List of Ledgers '!$B:$B,Drs_Crs!$A397)</f>
        <v>82916</v>
      </c>
      <c r="F397" s="54">
        <f>SUMIFS('List of Ledgers '!L:L,'List of Ledgers '!$E:$E,Drs_Crs!$A$173,'List of Ledgers '!$B:$B,Drs_Crs!$A397)</f>
        <v>0</v>
      </c>
      <c r="H397" s="54">
        <f>SUMIFS('List of Ledgers '!N:N,'List of Ledgers '!$E:$E,Drs_Crs!$A$173,'List of Ledgers '!$B:$B,Drs_Crs!$A397)</f>
        <v>0</v>
      </c>
      <c r="I397" s="54">
        <f>SUMIFS('List of Ledgers '!O:O,'List of Ledgers '!$E:$E,Drs_Crs!$A$173,'List of Ledgers '!$B:$B,Drs_Crs!$A397)</f>
        <v>161922</v>
      </c>
      <c r="J397" s="54">
        <f>SUMIFS('List of Ledgers '!P:P,'List of Ledgers '!$E:$E,Drs_Crs!$A$173,'List of Ledgers '!$B:$B,Drs_Crs!$A397)</f>
        <v>161922</v>
      </c>
      <c r="K397" s="54">
        <f>SUMIFS('List of Ledgers '!Q:Q,'List of Ledgers '!$E:$E,Drs_Crs!$A$173,'List of Ledgers '!$B:$B,Drs_Crs!$A397)</f>
        <v>0</v>
      </c>
    </row>
    <row r="398" spans="1:11" ht="13.9" x14ac:dyDescent="0.25">
      <c r="A398" s="125" t="s">
        <v>1319</v>
      </c>
      <c r="B398" s="102" t="s">
        <v>7</v>
      </c>
      <c r="C398" s="54">
        <f>SUMIFS('List of Ledgers '!I:I,'List of Ledgers '!$E:$E,Drs_Crs!$A$173,'List of Ledgers '!$B:$B,Drs_Crs!$A398)</f>
        <v>0</v>
      </c>
      <c r="D398" s="54">
        <f>SUMIFS('List of Ledgers '!J:J,'List of Ledgers '!$E:$E,Drs_Crs!$A$173,'List of Ledgers '!$B:$B,Drs_Crs!$A398)</f>
        <v>0</v>
      </c>
      <c r="E398" s="54">
        <f>SUMIFS('List of Ledgers '!K:K,'List of Ledgers '!$E:$E,Drs_Crs!$A$173,'List of Ledgers '!$B:$B,Drs_Crs!$A398)</f>
        <v>0</v>
      </c>
      <c r="F398" s="54">
        <f>SUMIFS('List of Ledgers '!L:L,'List of Ledgers '!$E:$E,Drs_Crs!$A$173,'List of Ledgers '!$B:$B,Drs_Crs!$A398)</f>
        <v>0</v>
      </c>
      <c r="H398" s="54">
        <f>SUMIFS('List of Ledgers '!N:N,'List of Ledgers '!$E:$E,Drs_Crs!$A$173,'List of Ledgers '!$B:$B,Drs_Crs!$A398)</f>
        <v>0</v>
      </c>
      <c r="I398" s="54">
        <f>SUMIFS('List of Ledgers '!O:O,'List of Ledgers '!$E:$E,Drs_Crs!$A$173,'List of Ledgers '!$B:$B,Drs_Crs!$A398)</f>
        <v>0</v>
      </c>
      <c r="J398" s="54">
        <f>SUMIFS('List of Ledgers '!P:P,'List of Ledgers '!$E:$E,Drs_Crs!$A$173,'List of Ledgers '!$B:$B,Drs_Crs!$A398)</f>
        <v>0</v>
      </c>
      <c r="K398" s="54">
        <f>SUMIFS('List of Ledgers '!Q:Q,'List of Ledgers '!$E:$E,Drs_Crs!$A$173,'List of Ledgers '!$B:$B,Drs_Crs!$A398)</f>
        <v>0</v>
      </c>
    </row>
    <row r="399" spans="1:11" ht="13.9" x14ac:dyDescent="0.25">
      <c r="A399" s="125" t="s">
        <v>1320</v>
      </c>
      <c r="B399" s="102" t="s">
        <v>9</v>
      </c>
      <c r="C399" s="54">
        <f>SUMIFS('List of Ledgers '!I:I,'List of Ledgers '!$E:$E,Drs_Crs!$A$173,'List of Ledgers '!$B:$B,Drs_Crs!$A399)</f>
        <v>-161460</v>
      </c>
      <c r="D399" s="54">
        <f>SUMIFS('List of Ledgers '!J:J,'List of Ledgers '!$E:$E,Drs_Crs!$A$173,'List of Ledgers '!$B:$B,Drs_Crs!$A399)</f>
        <v>161460</v>
      </c>
      <c r="E399" s="54">
        <f>SUMIFS('List of Ledgers '!K:K,'List of Ledgers '!$E:$E,Drs_Crs!$A$173,'List of Ledgers '!$B:$B,Drs_Crs!$A399)</f>
        <v>2146725</v>
      </c>
      <c r="F399" s="54">
        <f>SUMIFS('List of Ledgers '!L:L,'List of Ledgers '!$E:$E,Drs_Crs!$A$173,'List of Ledgers '!$B:$B,Drs_Crs!$A399)</f>
        <v>-2146725</v>
      </c>
      <c r="H399" s="54">
        <f>SUMIFS('List of Ledgers '!N:N,'List of Ledgers '!$E:$E,Drs_Crs!$A$173,'List of Ledgers '!$B:$B,Drs_Crs!$A399)</f>
        <v>0</v>
      </c>
      <c r="I399" s="54">
        <f>SUMIFS('List of Ledgers '!O:O,'List of Ledgers '!$E:$E,Drs_Crs!$A$173,'List of Ledgers '!$B:$B,Drs_Crs!$A399)</f>
        <v>2808000</v>
      </c>
      <c r="J399" s="54">
        <f>SUMIFS('List of Ledgers '!P:P,'List of Ledgers '!$E:$E,Drs_Crs!$A$173,'List of Ledgers '!$B:$B,Drs_Crs!$A399)</f>
        <v>4954725</v>
      </c>
      <c r="K399" s="54">
        <f>SUMIFS('List of Ledgers '!Q:Q,'List of Ledgers '!$E:$E,Drs_Crs!$A$173,'List of Ledgers '!$B:$B,Drs_Crs!$A399)</f>
        <v>-2146725</v>
      </c>
    </row>
    <row r="400" spans="1:11" ht="13.9" x14ac:dyDescent="0.25">
      <c r="A400" s="125" t="s">
        <v>1321</v>
      </c>
      <c r="B400" s="102" t="s">
        <v>9</v>
      </c>
      <c r="C400" s="54">
        <f>SUMIFS('List of Ledgers '!I:I,'List of Ledgers '!$E:$E,Drs_Crs!$A$173,'List of Ledgers '!$B:$B,Drs_Crs!$A400)</f>
        <v>-7600</v>
      </c>
      <c r="D400" s="54">
        <f>SUMIFS('List of Ledgers '!J:J,'List of Ledgers '!$E:$E,Drs_Crs!$A$173,'List of Ledgers '!$B:$B,Drs_Crs!$A400)</f>
        <v>7600</v>
      </c>
      <c r="E400" s="54">
        <f>SUMIFS('List of Ledgers '!K:K,'List of Ledgers '!$E:$E,Drs_Crs!$A$173,'List of Ledgers '!$B:$B,Drs_Crs!$A400)</f>
        <v>0</v>
      </c>
      <c r="F400" s="54">
        <f>SUMIFS('List of Ledgers '!L:L,'List of Ledgers '!$E:$E,Drs_Crs!$A$173,'List of Ledgers '!$B:$B,Drs_Crs!$A400)</f>
        <v>0</v>
      </c>
      <c r="H400" s="54">
        <f>SUMIFS('List of Ledgers '!N:N,'List of Ledgers '!$E:$E,Drs_Crs!$A$173,'List of Ledgers '!$B:$B,Drs_Crs!$A400)</f>
        <v>0</v>
      </c>
      <c r="I400" s="54">
        <f>SUMIFS('List of Ledgers '!O:O,'List of Ledgers '!$E:$E,Drs_Crs!$A$173,'List of Ledgers '!$B:$B,Drs_Crs!$A400)</f>
        <v>7600</v>
      </c>
      <c r="J400" s="54">
        <f>SUMIFS('List of Ledgers '!P:P,'List of Ledgers '!$E:$E,Drs_Crs!$A$173,'List of Ledgers '!$B:$B,Drs_Crs!$A400)</f>
        <v>7600</v>
      </c>
      <c r="K400" s="54">
        <f>SUMIFS('List of Ledgers '!Q:Q,'List of Ledgers '!$E:$E,Drs_Crs!$A$173,'List of Ledgers '!$B:$B,Drs_Crs!$A400)</f>
        <v>0</v>
      </c>
    </row>
    <row r="401" spans="1:11" ht="13.9" x14ac:dyDescent="0.25">
      <c r="A401" s="125" t="s">
        <v>1322</v>
      </c>
      <c r="B401" s="102" t="s">
        <v>7</v>
      </c>
      <c r="C401" s="54">
        <f>SUMIFS('List of Ledgers '!I:I,'List of Ledgers '!$E:$E,Drs_Crs!$A$173,'List of Ledgers '!$B:$B,Drs_Crs!$A401)</f>
        <v>-20900</v>
      </c>
      <c r="D401" s="54">
        <f>SUMIFS('List of Ledgers '!J:J,'List of Ledgers '!$E:$E,Drs_Crs!$A$173,'List of Ledgers '!$B:$B,Drs_Crs!$A401)</f>
        <v>20900</v>
      </c>
      <c r="E401" s="54">
        <f>SUMIFS('List of Ledgers '!K:K,'List of Ledgers '!$E:$E,Drs_Crs!$A$173,'List of Ledgers '!$B:$B,Drs_Crs!$A401)</f>
        <v>0</v>
      </c>
      <c r="F401" s="54">
        <f>SUMIFS('List of Ledgers '!L:L,'List of Ledgers '!$E:$E,Drs_Crs!$A$173,'List of Ledgers '!$B:$B,Drs_Crs!$A401)</f>
        <v>0</v>
      </c>
      <c r="H401" s="54">
        <f>SUMIFS('List of Ledgers '!N:N,'List of Ledgers '!$E:$E,Drs_Crs!$A$173,'List of Ledgers '!$B:$B,Drs_Crs!$A401)</f>
        <v>0</v>
      </c>
      <c r="I401" s="54">
        <f>SUMIFS('List of Ledgers '!O:O,'List of Ledgers '!$E:$E,Drs_Crs!$A$173,'List of Ledgers '!$B:$B,Drs_Crs!$A401)</f>
        <v>20900</v>
      </c>
      <c r="J401" s="54">
        <f>SUMIFS('List of Ledgers '!P:P,'List of Ledgers '!$E:$E,Drs_Crs!$A$173,'List of Ledgers '!$B:$B,Drs_Crs!$A401)</f>
        <v>20900</v>
      </c>
      <c r="K401" s="54">
        <f>SUMIFS('List of Ledgers '!Q:Q,'List of Ledgers '!$E:$E,Drs_Crs!$A$173,'List of Ledgers '!$B:$B,Drs_Crs!$A401)</f>
        <v>0</v>
      </c>
    </row>
    <row r="402" spans="1:11" ht="13.9" x14ac:dyDescent="0.25">
      <c r="A402" s="125" t="s">
        <v>1285</v>
      </c>
      <c r="B402" s="102" t="s">
        <v>9</v>
      </c>
      <c r="C402" s="54">
        <f>SUMIFS('List of Ledgers '!I:I,'List of Ledgers '!$E:$E,Drs_Crs!$A$173,'List of Ledgers '!$B:$B,Drs_Crs!$A402)</f>
        <v>-318718</v>
      </c>
      <c r="D402" s="54">
        <f>SUMIFS('List of Ledgers '!J:J,'List of Ledgers '!$E:$E,Drs_Crs!$A$173,'List of Ledgers '!$B:$B,Drs_Crs!$A402)</f>
        <v>318718</v>
      </c>
      <c r="E402" s="54">
        <f>SUMIFS('List of Ledgers '!K:K,'List of Ledgers '!$E:$E,Drs_Crs!$A$173,'List of Ledgers '!$B:$B,Drs_Crs!$A402)</f>
        <v>0</v>
      </c>
      <c r="F402" s="54">
        <f>SUMIFS('List of Ledgers '!L:L,'List of Ledgers '!$E:$E,Drs_Crs!$A$173,'List of Ledgers '!$B:$B,Drs_Crs!$A402)</f>
        <v>0</v>
      </c>
      <c r="H402" s="54">
        <f>SUMIFS('List of Ledgers '!N:N,'List of Ledgers '!$E:$E,Drs_Crs!$A$173,'List of Ledgers '!$B:$B,Drs_Crs!$A402)</f>
        <v>0</v>
      </c>
      <c r="I402" s="54">
        <f>SUMIFS('List of Ledgers '!O:O,'List of Ledgers '!$E:$E,Drs_Crs!$A$173,'List of Ledgers '!$B:$B,Drs_Crs!$A402)</f>
        <v>467221</v>
      </c>
      <c r="J402" s="54">
        <f>SUMIFS('List of Ledgers '!P:P,'List of Ledgers '!$E:$E,Drs_Crs!$A$173,'List of Ledgers '!$B:$B,Drs_Crs!$A402)</f>
        <v>467221</v>
      </c>
      <c r="K402" s="54">
        <f>SUMIFS('List of Ledgers '!Q:Q,'List of Ledgers '!$E:$E,Drs_Crs!$A$173,'List of Ledgers '!$B:$B,Drs_Crs!$A402)</f>
        <v>0</v>
      </c>
    </row>
    <row r="403" spans="1:11" ht="13.9" x14ac:dyDescent="0.25">
      <c r="A403" s="125" t="s">
        <v>1323</v>
      </c>
      <c r="B403" s="102" t="s">
        <v>9</v>
      </c>
      <c r="C403" s="54">
        <f>SUMIFS('List of Ledgers '!I:I,'List of Ledgers '!$E:$E,Drs_Crs!$A$173,'List of Ledgers '!$B:$B,Drs_Crs!$A403)</f>
        <v>0</v>
      </c>
      <c r="D403" s="54">
        <f>SUMIFS('List of Ledgers '!J:J,'List of Ledgers '!$E:$E,Drs_Crs!$A$173,'List of Ledgers '!$B:$B,Drs_Crs!$A403)</f>
        <v>0</v>
      </c>
      <c r="E403" s="54">
        <f>SUMIFS('List of Ledgers '!K:K,'List of Ledgers '!$E:$E,Drs_Crs!$A$173,'List of Ledgers '!$B:$B,Drs_Crs!$A403)</f>
        <v>0</v>
      </c>
      <c r="F403" s="54">
        <f>SUMIFS('List of Ledgers '!L:L,'List of Ledgers '!$E:$E,Drs_Crs!$A$173,'List of Ledgers '!$B:$B,Drs_Crs!$A403)</f>
        <v>0</v>
      </c>
      <c r="H403" s="54">
        <f>SUMIFS('List of Ledgers '!N:N,'List of Ledgers '!$E:$E,Drs_Crs!$A$173,'List of Ledgers '!$B:$B,Drs_Crs!$A403)</f>
        <v>0</v>
      </c>
      <c r="I403" s="54">
        <f>SUMIFS('List of Ledgers '!O:O,'List of Ledgers '!$E:$E,Drs_Crs!$A$173,'List of Ledgers '!$B:$B,Drs_Crs!$A403)</f>
        <v>18880</v>
      </c>
      <c r="J403" s="54">
        <f>SUMIFS('List of Ledgers '!P:P,'List of Ledgers '!$E:$E,Drs_Crs!$A$173,'List of Ledgers '!$B:$B,Drs_Crs!$A403)</f>
        <v>18880</v>
      </c>
      <c r="K403" s="54">
        <f>SUMIFS('List of Ledgers '!Q:Q,'List of Ledgers '!$E:$E,Drs_Crs!$A$173,'List of Ledgers '!$B:$B,Drs_Crs!$A403)</f>
        <v>0</v>
      </c>
    </row>
    <row r="404" spans="1:11" s="193" customFormat="1" ht="13.9" x14ac:dyDescent="0.25">
      <c r="A404" s="226" t="s">
        <v>1324</v>
      </c>
      <c r="B404" s="227" t="s">
        <v>7</v>
      </c>
      <c r="C404" s="228">
        <f>SUMIFS('List of Ledgers '!I:I,'List of Ledgers '!$E:$E,Drs_Crs!$A$173,'List of Ledgers '!$B:$B,Drs_Crs!$A404)</f>
        <v>12000</v>
      </c>
      <c r="D404" s="228">
        <f>SUMIFS('List of Ledgers '!J:J,'List of Ledgers '!$E:$E,Drs_Crs!$A$173,'List of Ledgers '!$B:$B,Drs_Crs!$A404)</f>
        <v>0</v>
      </c>
      <c r="E404" s="228">
        <f>SUMIFS('List of Ledgers '!K:K,'List of Ledgers '!$E:$E,Drs_Crs!$A$173,'List of Ledgers '!$B:$B,Drs_Crs!$A404)</f>
        <v>0</v>
      </c>
      <c r="F404" s="228">
        <f>SUMIFS('List of Ledgers '!L:L,'List of Ledgers '!$E:$E,Drs_Crs!$A$173,'List of Ledgers '!$B:$B,Drs_Crs!$A404)</f>
        <v>12000</v>
      </c>
      <c r="G404" s="197"/>
      <c r="H404" s="228">
        <f>SUMIFS('List of Ledgers '!N:N,'List of Ledgers '!$E:$E,Drs_Crs!$A$173,'List of Ledgers '!$B:$B,Drs_Crs!$A404)</f>
        <v>0</v>
      </c>
      <c r="I404" s="228">
        <f>SUMIFS('List of Ledgers '!O:O,'List of Ledgers '!$E:$E,Drs_Crs!$A$173,'List of Ledgers '!$B:$B,Drs_Crs!$A404)</f>
        <v>12000</v>
      </c>
      <c r="J404" s="228">
        <f>SUMIFS('List of Ledgers '!P:P,'List of Ledgers '!$E:$E,Drs_Crs!$A$173,'List of Ledgers '!$B:$B,Drs_Crs!$A404)</f>
        <v>0</v>
      </c>
      <c r="K404" s="228">
        <f>SUMIFS('List of Ledgers '!Q:Q,'List of Ledgers '!$E:$E,Drs_Crs!$A$173,'List of Ledgers '!$B:$B,Drs_Crs!$A404)</f>
        <v>12000</v>
      </c>
    </row>
    <row r="405" spans="1:11" ht="13.9" x14ac:dyDescent="0.25">
      <c r="A405" s="125" t="s">
        <v>1325</v>
      </c>
      <c r="B405" s="102" t="s">
        <v>9</v>
      </c>
      <c r="C405" s="54">
        <f>SUMIFS('List of Ledgers '!I:I,'List of Ledgers '!$E:$E,Drs_Crs!$A$173,'List of Ledgers '!$B:$B,Drs_Crs!$A405)</f>
        <v>0</v>
      </c>
      <c r="D405" s="54">
        <f>SUMIFS('List of Ledgers '!J:J,'List of Ledgers '!$E:$E,Drs_Crs!$A$173,'List of Ledgers '!$B:$B,Drs_Crs!$A405)</f>
        <v>0</v>
      </c>
      <c r="E405" s="54">
        <f>SUMIFS('List of Ledgers '!K:K,'List of Ledgers '!$E:$E,Drs_Crs!$A$173,'List of Ledgers '!$B:$B,Drs_Crs!$A405)</f>
        <v>0</v>
      </c>
      <c r="F405" s="54">
        <f>SUMIFS('List of Ledgers '!L:L,'List of Ledgers '!$E:$E,Drs_Crs!$A$173,'List of Ledgers '!$B:$B,Drs_Crs!$A405)</f>
        <v>0</v>
      </c>
      <c r="H405" s="54">
        <f>SUMIFS('List of Ledgers '!N:N,'List of Ledgers '!$E:$E,Drs_Crs!$A$173,'List of Ledgers '!$B:$B,Drs_Crs!$A405)</f>
        <v>0</v>
      </c>
      <c r="I405" s="54">
        <f>SUMIFS('List of Ledgers '!O:O,'List of Ledgers '!$E:$E,Drs_Crs!$A$173,'List of Ledgers '!$B:$B,Drs_Crs!$A405)</f>
        <v>819000</v>
      </c>
      <c r="J405" s="54">
        <f>SUMIFS('List of Ledgers '!P:P,'List of Ledgers '!$E:$E,Drs_Crs!$A$173,'List of Ledgers '!$B:$B,Drs_Crs!$A405)</f>
        <v>819000</v>
      </c>
      <c r="K405" s="54">
        <f>SUMIFS('List of Ledgers '!Q:Q,'List of Ledgers '!$E:$E,Drs_Crs!$A$173,'List of Ledgers '!$B:$B,Drs_Crs!$A405)</f>
        <v>0</v>
      </c>
    </row>
    <row r="406" spans="1:11" ht="13.9" x14ac:dyDescent="0.25">
      <c r="A406" s="125" t="s">
        <v>1327</v>
      </c>
      <c r="B406" s="102" t="s">
        <v>7</v>
      </c>
      <c r="C406" s="54">
        <f>SUMIFS('List of Ledgers '!I:I,'List of Ledgers '!$E:$E,Drs_Crs!$A$173,'List of Ledgers '!$B:$B,Drs_Crs!$A406)</f>
        <v>0</v>
      </c>
      <c r="D406" s="54">
        <f>SUMIFS('List of Ledgers '!J:J,'List of Ledgers '!$E:$E,Drs_Crs!$A$173,'List of Ledgers '!$B:$B,Drs_Crs!$A406)</f>
        <v>3108269</v>
      </c>
      <c r="E406" s="54">
        <f>SUMIFS('List of Ledgers '!K:K,'List of Ledgers '!$E:$E,Drs_Crs!$A$173,'List of Ledgers '!$B:$B,Drs_Crs!$A406)</f>
        <v>3108269</v>
      </c>
      <c r="F406" s="54">
        <f>SUMIFS('List of Ledgers '!L:L,'List of Ledgers '!$E:$E,Drs_Crs!$A$173,'List of Ledgers '!$B:$B,Drs_Crs!$A406)</f>
        <v>0</v>
      </c>
      <c r="H406" s="54">
        <f>SUMIFS('List of Ledgers '!N:N,'List of Ledgers '!$E:$E,Drs_Crs!$A$173,'List of Ledgers '!$B:$B,Drs_Crs!$A406)</f>
        <v>0</v>
      </c>
      <c r="I406" s="54">
        <f>SUMIFS('List of Ledgers '!O:O,'List of Ledgers '!$E:$E,Drs_Crs!$A$173,'List of Ledgers '!$B:$B,Drs_Crs!$A406)</f>
        <v>3238452</v>
      </c>
      <c r="J406" s="54">
        <f>SUMIFS('List of Ledgers '!P:P,'List of Ledgers '!$E:$E,Drs_Crs!$A$173,'List of Ledgers '!$B:$B,Drs_Crs!$A406)</f>
        <v>3238452</v>
      </c>
      <c r="K406" s="54">
        <f>SUMIFS('List of Ledgers '!Q:Q,'List of Ledgers '!$E:$E,Drs_Crs!$A$173,'List of Ledgers '!$B:$B,Drs_Crs!$A406)</f>
        <v>0</v>
      </c>
    </row>
    <row r="407" spans="1:11" ht="13.9" x14ac:dyDescent="0.25">
      <c r="A407" s="125" t="s">
        <v>1332</v>
      </c>
      <c r="B407" s="102" t="s">
        <v>9</v>
      </c>
      <c r="C407" s="54">
        <f>SUMIFS('List of Ledgers '!I:I,'List of Ledgers '!$E:$E,Drs_Crs!$A$173,'List of Ledgers '!$B:$B,Drs_Crs!$A407)</f>
        <v>-1596000</v>
      </c>
      <c r="D407" s="54">
        <f>SUMIFS('List of Ledgers '!J:J,'List of Ledgers '!$E:$E,Drs_Crs!$A$173,'List of Ledgers '!$B:$B,Drs_Crs!$A407)</f>
        <v>3066000</v>
      </c>
      <c r="E407" s="54">
        <f>SUMIFS('List of Ledgers '!K:K,'List of Ledgers '!$E:$E,Drs_Crs!$A$173,'List of Ledgers '!$B:$B,Drs_Crs!$A407)</f>
        <v>1470000</v>
      </c>
      <c r="F407" s="54">
        <f>SUMIFS('List of Ledgers '!L:L,'List of Ledgers '!$E:$E,Drs_Crs!$A$173,'List of Ledgers '!$B:$B,Drs_Crs!$A407)</f>
        <v>0</v>
      </c>
      <c r="H407" s="54">
        <f>SUMIFS('List of Ledgers '!N:N,'List of Ledgers '!$E:$E,Drs_Crs!$A$173,'List of Ledgers '!$B:$B,Drs_Crs!$A407)</f>
        <v>0</v>
      </c>
      <c r="I407" s="54">
        <f>SUMIFS('List of Ledgers '!O:O,'List of Ledgers '!$E:$E,Drs_Crs!$A$173,'List of Ledgers '!$B:$B,Drs_Crs!$A407)</f>
        <v>3066000</v>
      </c>
      <c r="J407" s="54">
        <f>SUMIFS('List of Ledgers '!P:P,'List of Ledgers '!$E:$E,Drs_Crs!$A$173,'List of Ledgers '!$B:$B,Drs_Crs!$A407)</f>
        <v>3066000</v>
      </c>
      <c r="K407" s="54">
        <f>SUMIFS('List of Ledgers '!Q:Q,'List of Ledgers '!$E:$E,Drs_Crs!$A$173,'List of Ledgers '!$B:$B,Drs_Crs!$A407)</f>
        <v>0</v>
      </c>
    </row>
    <row r="408" spans="1:11" ht="13.9" x14ac:dyDescent="0.25">
      <c r="A408" s="125" t="s">
        <v>1333</v>
      </c>
      <c r="B408" s="102" t="s">
        <v>9</v>
      </c>
      <c r="C408" s="54">
        <f>SUMIFS('List of Ledgers '!I:I,'List of Ledgers '!$E:$E,Drs_Crs!$A$173,'List of Ledgers '!$B:$B,Drs_Crs!$A408)</f>
        <v>0</v>
      </c>
      <c r="D408" s="54">
        <f>SUMIFS('List of Ledgers '!J:J,'List of Ledgers '!$E:$E,Drs_Crs!$A$173,'List of Ledgers '!$B:$B,Drs_Crs!$A408)</f>
        <v>0</v>
      </c>
      <c r="E408" s="54">
        <f>SUMIFS('List of Ledgers '!K:K,'List of Ledgers '!$E:$E,Drs_Crs!$A$173,'List of Ledgers '!$B:$B,Drs_Crs!$A408)</f>
        <v>0</v>
      </c>
      <c r="F408" s="54">
        <f>SUMIFS('List of Ledgers '!L:L,'List of Ledgers '!$E:$E,Drs_Crs!$A$173,'List of Ledgers '!$B:$B,Drs_Crs!$A408)</f>
        <v>0</v>
      </c>
      <c r="H408" s="54">
        <f>SUMIFS('List of Ledgers '!N:N,'List of Ledgers '!$E:$E,Drs_Crs!$A$173,'List of Ledgers '!$B:$B,Drs_Crs!$A408)</f>
        <v>0</v>
      </c>
      <c r="I408" s="54">
        <f>SUMIFS('List of Ledgers '!O:O,'List of Ledgers '!$E:$E,Drs_Crs!$A$173,'List of Ledgers '!$B:$B,Drs_Crs!$A408)</f>
        <v>1597050</v>
      </c>
      <c r="J408" s="54">
        <f>SUMIFS('List of Ledgers '!P:P,'List of Ledgers '!$E:$E,Drs_Crs!$A$173,'List of Ledgers '!$B:$B,Drs_Crs!$A408)</f>
        <v>1597050</v>
      </c>
      <c r="K408" s="54">
        <f>SUMIFS('List of Ledgers '!Q:Q,'List of Ledgers '!$E:$E,Drs_Crs!$A$173,'List of Ledgers '!$B:$B,Drs_Crs!$A408)</f>
        <v>0</v>
      </c>
    </row>
    <row r="409" spans="1:11" ht="13.9" x14ac:dyDescent="0.25">
      <c r="A409" s="125" t="s">
        <v>1344</v>
      </c>
      <c r="B409" s="102" t="s">
        <v>7</v>
      </c>
      <c r="C409" s="54">
        <f>SUMIFS('List of Ledgers '!I:I,'List of Ledgers '!$E:$E,Drs_Crs!$A$173,'List of Ledgers '!$B:$B,Drs_Crs!$A409)</f>
        <v>0</v>
      </c>
      <c r="D409" s="54">
        <f>SUMIFS('List of Ledgers '!J:J,'List of Ledgers '!$E:$E,Drs_Crs!$A$173,'List of Ledgers '!$B:$B,Drs_Crs!$A409)</f>
        <v>35400</v>
      </c>
      <c r="E409" s="54">
        <f>SUMIFS('List of Ledgers '!K:K,'List of Ledgers '!$E:$E,Drs_Crs!$A$173,'List of Ledgers '!$B:$B,Drs_Crs!$A409)</f>
        <v>35400</v>
      </c>
      <c r="F409" s="54">
        <f>SUMIFS('List of Ledgers '!L:L,'List of Ledgers '!$E:$E,Drs_Crs!$A$173,'List of Ledgers '!$B:$B,Drs_Crs!$A409)</f>
        <v>0</v>
      </c>
      <c r="H409" s="54">
        <f>SUMIFS('List of Ledgers '!N:N,'List of Ledgers '!$E:$E,Drs_Crs!$A$173,'List of Ledgers '!$B:$B,Drs_Crs!$A409)</f>
        <v>0</v>
      </c>
      <c r="I409" s="54">
        <f>SUMIFS('List of Ledgers '!O:O,'List of Ledgers '!$E:$E,Drs_Crs!$A$173,'List of Ledgers '!$B:$B,Drs_Crs!$A409)</f>
        <v>35400</v>
      </c>
      <c r="J409" s="54">
        <f>SUMIFS('List of Ledgers '!P:P,'List of Ledgers '!$E:$E,Drs_Crs!$A$173,'List of Ledgers '!$B:$B,Drs_Crs!$A409)</f>
        <v>35400</v>
      </c>
      <c r="K409" s="54">
        <f>SUMIFS('List of Ledgers '!Q:Q,'List of Ledgers '!$E:$E,Drs_Crs!$A$173,'List of Ledgers '!$B:$B,Drs_Crs!$A409)</f>
        <v>0</v>
      </c>
    </row>
    <row r="410" spans="1:11" ht="13.9" x14ac:dyDescent="0.25">
      <c r="A410" s="125" t="s">
        <v>1406</v>
      </c>
      <c r="B410" s="102" t="s">
        <v>9</v>
      </c>
      <c r="C410" s="54">
        <f>SUMIFS('List of Ledgers '!I:I,'List of Ledgers '!$E:$E,Drs_Crs!$A$173,'List of Ledgers '!$B:$B,Drs_Crs!$A410)</f>
        <v>0</v>
      </c>
      <c r="D410" s="54">
        <f>SUMIFS('List of Ledgers '!J:J,'List of Ledgers '!$E:$E,Drs_Crs!$A$173,'List of Ledgers '!$B:$B,Drs_Crs!$A410)</f>
        <v>0</v>
      </c>
      <c r="E410" s="54">
        <f>SUMIFS('List of Ledgers '!K:K,'List of Ledgers '!$E:$E,Drs_Crs!$A$173,'List of Ledgers '!$B:$B,Drs_Crs!$A410)</f>
        <v>0</v>
      </c>
      <c r="F410" s="54">
        <f>SUMIFS('List of Ledgers '!L:L,'List of Ledgers '!$E:$E,Drs_Crs!$A$173,'List of Ledgers '!$B:$B,Drs_Crs!$A410)</f>
        <v>0</v>
      </c>
      <c r="H410" s="54">
        <f>SUMIFS('List of Ledgers '!N:N,'List of Ledgers '!$E:$E,Drs_Crs!$A$173,'List of Ledgers '!$B:$B,Drs_Crs!$A410)</f>
        <v>0</v>
      </c>
      <c r="I410" s="54">
        <f>SUMIFS('List of Ledgers '!O:O,'List of Ledgers '!$E:$E,Drs_Crs!$A$173,'List of Ledgers '!$B:$B,Drs_Crs!$A410)</f>
        <v>0</v>
      </c>
      <c r="J410" s="54">
        <f>SUMIFS('List of Ledgers '!P:P,'List of Ledgers '!$E:$E,Drs_Crs!$A$173,'List of Ledgers '!$B:$B,Drs_Crs!$A410)</f>
        <v>0</v>
      </c>
      <c r="K410" s="54">
        <f>SUMIFS('List of Ledgers '!Q:Q,'List of Ledgers '!$E:$E,Drs_Crs!$A$173,'List of Ledgers '!$B:$B,Drs_Crs!$A410)</f>
        <v>0</v>
      </c>
    </row>
    <row r="411" spans="1:11" ht="13.9" x14ac:dyDescent="0.25">
      <c r="A411" s="125" t="s">
        <v>1346</v>
      </c>
      <c r="B411" s="102" t="s">
        <v>9</v>
      </c>
      <c r="C411" s="54">
        <f>SUMIFS('List of Ledgers '!I:I,'List of Ledgers '!$E:$E,Drs_Crs!$A$173,'List of Ledgers '!$B:$B,Drs_Crs!$A411)</f>
        <v>0</v>
      </c>
      <c r="D411" s="54">
        <f>SUMIFS('List of Ledgers '!J:J,'List of Ledgers '!$E:$E,Drs_Crs!$A$173,'List of Ledgers '!$B:$B,Drs_Crs!$A411)</f>
        <v>15930</v>
      </c>
      <c r="E411" s="54">
        <f>SUMIFS('List of Ledgers '!K:K,'List of Ledgers '!$E:$E,Drs_Crs!$A$173,'List of Ledgers '!$B:$B,Drs_Crs!$A411)</f>
        <v>15930</v>
      </c>
      <c r="F411" s="54">
        <f>SUMIFS('List of Ledgers '!L:L,'List of Ledgers '!$E:$E,Drs_Crs!$A$173,'List of Ledgers '!$B:$B,Drs_Crs!$A411)</f>
        <v>0</v>
      </c>
      <c r="H411" s="54">
        <f>SUMIFS('List of Ledgers '!N:N,'List of Ledgers '!$E:$E,Drs_Crs!$A$173,'List of Ledgers '!$B:$B,Drs_Crs!$A411)</f>
        <v>0</v>
      </c>
      <c r="I411" s="54">
        <f>SUMIFS('List of Ledgers '!O:O,'List of Ledgers '!$E:$E,Drs_Crs!$A$173,'List of Ledgers '!$B:$B,Drs_Crs!$A411)</f>
        <v>15930</v>
      </c>
      <c r="J411" s="54">
        <f>SUMIFS('List of Ledgers '!P:P,'List of Ledgers '!$E:$E,Drs_Crs!$A$173,'List of Ledgers '!$B:$B,Drs_Crs!$A411)</f>
        <v>15930</v>
      </c>
      <c r="K411" s="54">
        <f>SUMIFS('List of Ledgers '!Q:Q,'List of Ledgers '!$E:$E,Drs_Crs!$A$173,'List of Ledgers '!$B:$B,Drs_Crs!$A411)</f>
        <v>0</v>
      </c>
    </row>
    <row r="412" spans="1:11" ht="13.9" x14ac:dyDescent="0.25">
      <c r="A412" s="125" t="s">
        <v>1347</v>
      </c>
      <c r="B412" s="102" t="s">
        <v>7</v>
      </c>
      <c r="C412" s="54">
        <f>SUMIFS('List of Ledgers '!I:I,'List of Ledgers '!$E:$E,Drs_Crs!$A$173,'List of Ledgers '!$B:$B,Drs_Crs!$A412)</f>
        <v>0</v>
      </c>
      <c r="D412" s="54">
        <f>SUMIFS('List of Ledgers '!J:J,'List of Ledgers '!$E:$E,Drs_Crs!$A$173,'List of Ledgers '!$B:$B,Drs_Crs!$A412)</f>
        <v>5999</v>
      </c>
      <c r="E412" s="54">
        <f>SUMIFS('List of Ledgers '!K:K,'List of Ledgers '!$E:$E,Drs_Crs!$A$173,'List of Ledgers '!$B:$B,Drs_Crs!$A412)</f>
        <v>5999</v>
      </c>
      <c r="F412" s="54">
        <f>SUMIFS('List of Ledgers '!L:L,'List of Ledgers '!$E:$E,Drs_Crs!$A$173,'List of Ledgers '!$B:$B,Drs_Crs!$A412)</f>
        <v>0</v>
      </c>
      <c r="H412" s="54">
        <f>SUMIFS('List of Ledgers '!N:N,'List of Ledgers '!$E:$E,Drs_Crs!$A$173,'List of Ledgers '!$B:$B,Drs_Crs!$A412)</f>
        <v>0</v>
      </c>
      <c r="I412" s="54">
        <f>SUMIFS('List of Ledgers '!O:O,'List of Ledgers '!$E:$E,Drs_Crs!$A$173,'List of Ledgers '!$B:$B,Drs_Crs!$A412)</f>
        <v>5999</v>
      </c>
      <c r="J412" s="54">
        <f>SUMIFS('List of Ledgers '!P:P,'List of Ledgers '!$E:$E,Drs_Crs!$A$173,'List of Ledgers '!$B:$B,Drs_Crs!$A412)</f>
        <v>5999</v>
      </c>
      <c r="K412" s="54">
        <f>SUMIFS('List of Ledgers '!Q:Q,'List of Ledgers '!$E:$E,Drs_Crs!$A$173,'List of Ledgers '!$B:$B,Drs_Crs!$A412)</f>
        <v>0</v>
      </c>
    </row>
    <row r="413" spans="1:11" s="193" customFormat="1" ht="13.9" x14ac:dyDescent="0.25">
      <c r="A413" s="226" t="s">
        <v>1350</v>
      </c>
      <c r="B413" s="227" t="s">
        <v>4</v>
      </c>
      <c r="C413" s="228">
        <f>SUMIFS('List of Ledgers '!I:I,'List of Ledgers '!$E:$E,Drs_Crs!$A$173,'List of Ledgers '!$B:$B,Drs_Crs!$A413)</f>
        <v>0</v>
      </c>
      <c r="D413" s="228">
        <f>SUMIFS('List of Ledgers '!J:J,'List of Ledgers '!$E:$E,Drs_Crs!$A$173,'List of Ledgers '!$B:$B,Drs_Crs!$A413)</f>
        <v>220301</v>
      </c>
      <c r="E413" s="228">
        <f>SUMIFS('List of Ledgers '!K:K,'List of Ledgers '!$E:$E,Drs_Crs!$A$173,'List of Ledgers '!$B:$B,Drs_Crs!$A413)</f>
        <v>0</v>
      </c>
      <c r="F413" s="228">
        <f>SUMIFS('List of Ledgers '!L:L,'List of Ledgers '!$E:$E,Drs_Crs!$A$173,'List of Ledgers '!$B:$B,Drs_Crs!$A413)</f>
        <v>220301</v>
      </c>
      <c r="G413" s="197"/>
      <c r="H413" s="228">
        <f>SUMIFS('List of Ledgers '!N:N,'List of Ledgers '!$E:$E,Drs_Crs!$A$173,'List of Ledgers '!$B:$B,Drs_Crs!$A413)</f>
        <v>0</v>
      </c>
      <c r="I413" s="228">
        <f>SUMIFS('List of Ledgers '!O:O,'List of Ledgers '!$E:$E,Drs_Crs!$A$173,'List of Ledgers '!$B:$B,Drs_Crs!$A413)</f>
        <v>220301</v>
      </c>
      <c r="J413" s="228">
        <f>SUMIFS('List of Ledgers '!P:P,'List of Ledgers '!$E:$E,Drs_Crs!$A$173,'List of Ledgers '!$B:$B,Drs_Crs!$A413)</f>
        <v>0</v>
      </c>
      <c r="K413" s="228">
        <f>SUMIFS('List of Ledgers '!Q:Q,'List of Ledgers '!$E:$E,Drs_Crs!$A$173,'List of Ledgers '!$B:$B,Drs_Crs!$A413)</f>
        <v>220301</v>
      </c>
    </row>
    <row r="414" spans="1:11" ht="13.9" x14ac:dyDescent="0.25">
      <c r="A414" s="125" t="s">
        <v>1352</v>
      </c>
      <c r="B414" s="102" t="s">
        <v>7</v>
      </c>
      <c r="C414" s="54">
        <f>SUMIFS('List of Ledgers '!I:I,'List of Ledgers '!$E:$E,Drs_Crs!$A$173,'List of Ledgers '!$B:$B,Drs_Crs!$A414)</f>
        <v>0</v>
      </c>
      <c r="D414" s="54">
        <f>SUMIFS('List of Ledgers '!J:J,'List of Ledgers '!$E:$E,Drs_Crs!$A$173,'List of Ledgers '!$B:$B,Drs_Crs!$A414)</f>
        <v>3894</v>
      </c>
      <c r="E414" s="54">
        <f>SUMIFS('List of Ledgers '!K:K,'List of Ledgers '!$E:$E,Drs_Crs!$A$173,'List of Ledgers '!$B:$B,Drs_Crs!$A414)</f>
        <v>3894</v>
      </c>
      <c r="F414" s="54">
        <f>SUMIFS('List of Ledgers '!L:L,'List of Ledgers '!$E:$E,Drs_Crs!$A$173,'List of Ledgers '!$B:$B,Drs_Crs!$A414)</f>
        <v>0</v>
      </c>
      <c r="H414" s="54">
        <f>SUMIFS('List of Ledgers '!N:N,'List of Ledgers '!$E:$E,Drs_Crs!$A$173,'List of Ledgers '!$B:$B,Drs_Crs!$A414)</f>
        <v>0</v>
      </c>
      <c r="I414" s="54">
        <f>SUMIFS('List of Ledgers '!O:O,'List of Ledgers '!$E:$E,Drs_Crs!$A$173,'List of Ledgers '!$B:$B,Drs_Crs!$A414)</f>
        <v>3894</v>
      </c>
      <c r="J414" s="54">
        <f>SUMIFS('List of Ledgers '!P:P,'List of Ledgers '!$E:$E,Drs_Crs!$A$173,'List of Ledgers '!$B:$B,Drs_Crs!$A414)</f>
        <v>3894</v>
      </c>
      <c r="K414" s="54">
        <f>SUMIFS('List of Ledgers '!Q:Q,'List of Ledgers '!$E:$E,Drs_Crs!$A$173,'List of Ledgers '!$B:$B,Drs_Crs!$A414)</f>
        <v>0</v>
      </c>
    </row>
    <row r="415" spans="1:11" ht="13.9" x14ac:dyDescent="0.25">
      <c r="A415" s="125" t="s">
        <v>1354</v>
      </c>
      <c r="B415" s="102" t="s">
        <v>9</v>
      </c>
      <c r="C415" s="54">
        <f>SUMIFS('List of Ledgers '!I:I,'List of Ledgers '!$E:$E,Drs_Crs!$A$173,'List of Ledgers '!$B:$B,Drs_Crs!$A415)</f>
        <v>-108055</v>
      </c>
      <c r="D415" s="54">
        <f>SUMIFS('List of Ledgers '!J:J,'List of Ledgers '!$E:$E,Drs_Crs!$A$173,'List of Ledgers '!$B:$B,Drs_Crs!$A415)</f>
        <v>108055</v>
      </c>
      <c r="E415" s="54">
        <f>SUMIFS('List of Ledgers '!K:K,'List of Ledgers '!$E:$E,Drs_Crs!$A$173,'List of Ledgers '!$B:$B,Drs_Crs!$A415)</f>
        <v>0</v>
      </c>
      <c r="F415" s="54">
        <f>SUMIFS('List of Ledgers '!L:L,'List of Ledgers '!$E:$E,Drs_Crs!$A$173,'List of Ledgers '!$B:$B,Drs_Crs!$A415)</f>
        <v>0</v>
      </c>
      <c r="H415" s="54">
        <f>SUMIFS('List of Ledgers '!N:N,'List of Ledgers '!$E:$E,Drs_Crs!$A$173,'List of Ledgers '!$B:$B,Drs_Crs!$A415)</f>
        <v>0</v>
      </c>
      <c r="I415" s="54">
        <f>SUMIFS('List of Ledgers '!O:O,'List of Ledgers '!$E:$E,Drs_Crs!$A$173,'List of Ledgers '!$B:$B,Drs_Crs!$A415)</f>
        <v>108055</v>
      </c>
      <c r="J415" s="54">
        <f>SUMIFS('List of Ledgers '!P:P,'List of Ledgers '!$E:$E,Drs_Crs!$A$173,'List of Ledgers '!$B:$B,Drs_Crs!$A415)</f>
        <v>108055</v>
      </c>
      <c r="K415" s="54">
        <f>SUMIFS('List of Ledgers '!Q:Q,'List of Ledgers '!$E:$E,Drs_Crs!$A$173,'List of Ledgers '!$B:$B,Drs_Crs!$A415)</f>
        <v>0</v>
      </c>
    </row>
    <row r="416" spans="1:11" ht="13.9" x14ac:dyDescent="0.25">
      <c r="A416" s="125" t="s">
        <v>1355</v>
      </c>
      <c r="B416" s="102" t="s">
        <v>7</v>
      </c>
      <c r="C416" s="54">
        <f>SUMIFS('List of Ledgers '!I:I,'List of Ledgers '!$E:$E,Drs_Crs!$A$173,'List of Ledgers '!$B:$B,Drs_Crs!$A416)</f>
        <v>0</v>
      </c>
      <c r="D416" s="54">
        <f>SUMIFS('List of Ledgers '!J:J,'List of Ledgers '!$E:$E,Drs_Crs!$A$173,'List of Ledgers '!$B:$B,Drs_Crs!$A416)</f>
        <v>10460</v>
      </c>
      <c r="E416" s="54">
        <f>SUMIFS('List of Ledgers '!K:K,'List of Ledgers '!$E:$E,Drs_Crs!$A$173,'List of Ledgers '!$B:$B,Drs_Crs!$A416)</f>
        <v>10460</v>
      </c>
      <c r="F416" s="54">
        <f>SUMIFS('List of Ledgers '!L:L,'List of Ledgers '!$E:$E,Drs_Crs!$A$173,'List of Ledgers '!$B:$B,Drs_Crs!$A416)</f>
        <v>0</v>
      </c>
      <c r="H416" s="54">
        <f>SUMIFS('List of Ledgers '!N:N,'List of Ledgers '!$E:$E,Drs_Crs!$A$173,'List of Ledgers '!$B:$B,Drs_Crs!$A416)</f>
        <v>0</v>
      </c>
      <c r="I416" s="54">
        <f>SUMIFS('List of Ledgers '!O:O,'List of Ledgers '!$E:$E,Drs_Crs!$A$173,'List of Ledgers '!$B:$B,Drs_Crs!$A416)</f>
        <v>10460</v>
      </c>
      <c r="J416" s="54">
        <f>SUMIFS('List of Ledgers '!P:P,'List of Ledgers '!$E:$E,Drs_Crs!$A$173,'List of Ledgers '!$B:$B,Drs_Crs!$A416)</f>
        <v>10460</v>
      </c>
      <c r="K416" s="54">
        <f>SUMIFS('List of Ledgers '!Q:Q,'List of Ledgers '!$E:$E,Drs_Crs!$A$173,'List of Ledgers '!$B:$B,Drs_Crs!$A416)</f>
        <v>0</v>
      </c>
    </row>
    <row r="417" spans="1:11" ht="13.9" x14ac:dyDescent="0.25">
      <c r="A417" s="125" t="s">
        <v>1361</v>
      </c>
      <c r="B417" s="102" t="s">
        <v>9</v>
      </c>
      <c r="C417" s="54">
        <f>SUMIFS('List of Ledgers '!I:I,'List of Ledgers '!$E:$E,Drs_Crs!$A$173,'List of Ledgers '!$B:$B,Drs_Crs!$A417)</f>
        <v>-339916</v>
      </c>
      <c r="D417" s="54">
        <f>SUMIFS('List of Ledgers '!J:J,'List of Ledgers '!$E:$E,Drs_Crs!$A$173,'List of Ledgers '!$B:$B,Drs_Crs!$A417)</f>
        <v>339916</v>
      </c>
      <c r="E417" s="54">
        <f>SUMIFS('List of Ledgers '!K:K,'List of Ledgers '!$E:$E,Drs_Crs!$A$173,'List of Ledgers '!$B:$B,Drs_Crs!$A417)</f>
        <v>684600</v>
      </c>
      <c r="F417" s="54">
        <f>SUMIFS('List of Ledgers '!L:L,'List of Ledgers '!$E:$E,Drs_Crs!$A$173,'List of Ledgers '!$B:$B,Drs_Crs!$A417)</f>
        <v>-684600</v>
      </c>
      <c r="H417" s="54">
        <f>SUMIFS('List of Ledgers '!N:N,'List of Ledgers '!$E:$E,Drs_Crs!$A$173,'List of Ledgers '!$B:$B,Drs_Crs!$A417)</f>
        <v>0</v>
      </c>
      <c r="I417" s="54">
        <f>SUMIFS('List of Ledgers '!O:O,'List of Ledgers '!$E:$E,Drs_Crs!$A$173,'List of Ledgers '!$B:$B,Drs_Crs!$A417)</f>
        <v>343350</v>
      </c>
      <c r="J417" s="54">
        <f>SUMIFS('List of Ledgers '!P:P,'List of Ledgers '!$E:$E,Drs_Crs!$A$173,'List of Ledgers '!$B:$B,Drs_Crs!$A417)</f>
        <v>1027950</v>
      </c>
      <c r="K417" s="54">
        <f>SUMIFS('List of Ledgers '!Q:Q,'List of Ledgers '!$E:$E,Drs_Crs!$A$173,'List of Ledgers '!$B:$B,Drs_Crs!$A417)</f>
        <v>-684600</v>
      </c>
    </row>
    <row r="418" spans="1:11" s="193" customFormat="1" ht="13.9" x14ac:dyDescent="0.25">
      <c r="A418" s="226" t="s">
        <v>1368</v>
      </c>
      <c r="B418" s="227" t="s">
        <v>7</v>
      </c>
      <c r="C418" s="228">
        <f>SUMIFS('List of Ledgers '!I:I,'List of Ledgers '!$E:$E,Drs_Crs!$A$173,'List of Ledgers '!$B:$B,Drs_Crs!$A418)</f>
        <v>461145</v>
      </c>
      <c r="D418" s="228">
        <f>SUMIFS('List of Ledgers '!J:J,'List of Ledgers '!$E:$E,Drs_Crs!$A$173,'List of Ledgers '!$B:$B,Drs_Crs!$A418)</f>
        <v>0</v>
      </c>
      <c r="E418" s="228">
        <f>SUMIFS('List of Ledgers '!K:K,'List of Ledgers '!$E:$E,Drs_Crs!$A$173,'List of Ledgers '!$B:$B,Drs_Crs!$A418)</f>
        <v>86308.03</v>
      </c>
      <c r="F418" s="228">
        <f>SUMIFS('List of Ledgers '!L:L,'List of Ledgers '!$E:$E,Drs_Crs!$A$173,'List of Ledgers '!$B:$B,Drs_Crs!$A418)</f>
        <v>374836.97</v>
      </c>
      <c r="G418" s="197"/>
      <c r="H418" s="228">
        <f>SUMIFS('List of Ledgers '!N:N,'List of Ledgers '!$E:$E,Drs_Crs!$A$173,'List of Ledgers '!$B:$B,Drs_Crs!$A418)</f>
        <v>0</v>
      </c>
      <c r="I418" s="228">
        <f>SUMIFS('List of Ledgers '!O:O,'List of Ledgers '!$E:$E,Drs_Crs!$A$173,'List of Ledgers '!$B:$B,Drs_Crs!$A418)</f>
        <v>461145</v>
      </c>
      <c r="J418" s="228">
        <f>SUMIFS('List of Ledgers '!P:P,'List of Ledgers '!$E:$E,Drs_Crs!$A$173,'List of Ledgers '!$B:$B,Drs_Crs!$A418)</f>
        <v>86308.03</v>
      </c>
      <c r="K418" s="228">
        <f>SUMIFS('List of Ledgers '!Q:Q,'List of Ledgers '!$E:$E,Drs_Crs!$A$173,'List of Ledgers '!$B:$B,Drs_Crs!$A418)</f>
        <v>374836.97</v>
      </c>
    </row>
    <row r="419" spans="1:11" ht="13.9" x14ac:dyDescent="0.25">
      <c r="A419" s="125" t="s">
        <v>1399</v>
      </c>
      <c r="B419" s="102" t="s">
        <v>9</v>
      </c>
      <c r="C419" s="54">
        <f>SUMIFS('List of Ledgers '!I:I,'List of Ledgers '!$E:$E,Drs_Crs!$A$173,'List of Ledgers '!$B:$B,Drs_Crs!$A419)</f>
        <v>0</v>
      </c>
      <c r="D419" s="54">
        <f>SUMIFS('List of Ledgers '!J:J,'List of Ledgers '!$E:$E,Drs_Crs!$A$173,'List of Ledgers '!$B:$B,Drs_Crs!$A419)</f>
        <v>0</v>
      </c>
      <c r="E419" s="54">
        <f>SUMIFS('List of Ledgers '!K:K,'List of Ledgers '!$E:$E,Drs_Crs!$A$173,'List of Ledgers '!$B:$B,Drs_Crs!$A419)</f>
        <v>0</v>
      </c>
      <c r="F419" s="54">
        <f>SUMIFS('List of Ledgers '!L:L,'List of Ledgers '!$E:$E,Drs_Crs!$A$173,'List of Ledgers '!$B:$B,Drs_Crs!$A419)</f>
        <v>0</v>
      </c>
      <c r="H419" s="54">
        <f>SUMIFS('List of Ledgers '!N:N,'List of Ledgers '!$E:$E,Drs_Crs!$A$173,'List of Ledgers '!$B:$B,Drs_Crs!$A419)</f>
        <v>0</v>
      </c>
      <c r="I419" s="54">
        <f>SUMIFS('List of Ledgers '!O:O,'List of Ledgers '!$E:$E,Drs_Crs!$A$173,'List of Ledgers '!$B:$B,Drs_Crs!$A419)</f>
        <v>32450</v>
      </c>
      <c r="J419" s="54">
        <f>SUMIFS('List of Ledgers '!P:P,'List of Ledgers '!$E:$E,Drs_Crs!$A$173,'List of Ledgers '!$B:$B,Drs_Crs!$A419)</f>
        <v>32450</v>
      </c>
      <c r="K419" s="54">
        <f>SUMIFS('List of Ledgers '!Q:Q,'List of Ledgers '!$E:$E,Drs_Crs!$A$173,'List of Ledgers '!$B:$B,Drs_Crs!$A419)</f>
        <v>0</v>
      </c>
    </row>
    <row r="420" spans="1:11" ht="13.9" x14ac:dyDescent="0.25">
      <c r="A420" s="125" t="s">
        <v>1373</v>
      </c>
      <c r="B420" s="102" t="s">
        <v>9</v>
      </c>
      <c r="C420" s="54">
        <f>SUMIFS('List of Ledgers '!I:I,'List of Ledgers '!$E:$E,Drs_Crs!$A$173,'List of Ledgers '!$B:$B,Drs_Crs!$A420)</f>
        <v>0</v>
      </c>
      <c r="D420" s="54">
        <f>SUMIFS('List of Ledgers '!J:J,'List of Ledgers '!$E:$E,Drs_Crs!$A$173,'List of Ledgers '!$B:$B,Drs_Crs!$A420)</f>
        <v>11930100</v>
      </c>
      <c r="E420" s="54">
        <f>SUMIFS('List of Ledgers '!K:K,'List of Ledgers '!$E:$E,Drs_Crs!$A$173,'List of Ledgers '!$B:$B,Drs_Crs!$A420)</f>
        <v>11930100</v>
      </c>
      <c r="F420" s="54">
        <f>SUMIFS('List of Ledgers '!L:L,'List of Ledgers '!$E:$E,Drs_Crs!$A$173,'List of Ledgers '!$B:$B,Drs_Crs!$A420)</f>
        <v>0</v>
      </c>
      <c r="H420" s="54">
        <f>SUMIFS('List of Ledgers '!N:N,'List of Ledgers '!$E:$E,Drs_Crs!$A$173,'List of Ledgers '!$B:$B,Drs_Crs!$A420)</f>
        <v>0</v>
      </c>
      <c r="I420" s="54">
        <f>SUMIFS('List of Ledgers '!O:O,'List of Ledgers '!$E:$E,Drs_Crs!$A$173,'List of Ledgers '!$B:$B,Drs_Crs!$A420)</f>
        <v>11930100</v>
      </c>
      <c r="J420" s="54">
        <f>SUMIFS('List of Ledgers '!P:P,'List of Ledgers '!$E:$E,Drs_Crs!$A$173,'List of Ledgers '!$B:$B,Drs_Crs!$A420)</f>
        <v>11930100</v>
      </c>
      <c r="K420" s="54">
        <f>SUMIFS('List of Ledgers '!Q:Q,'List of Ledgers '!$E:$E,Drs_Crs!$A$173,'List of Ledgers '!$B:$B,Drs_Crs!$A420)</f>
        <v>0</v>
      </c>
    </row>
    <row r="421" spans="1:11" ht="13.9" x14ac:dyDescent="0.25">
      <c r="A421" s="125" t="s">
        <v>1376</v>
      </c>
      <c r="B421" s="102" t="s">
        <v>9</v>
      </c>
      <c r="C421" s="54">
        <f>SUMIFS('List of Ledgers '!I:I,'List of Ledgers '!$E:$E,Drs_Crs!$A$173,'List of Ledgers '!$B:$B,Drs_Crs!$A421)</f>
        <v>-20244</v>
      </c>
      <c r="D421" s="54">
        <f>SUMIFS('List of Ledgers '!J:J,'List of Ledgers '!$E:$E,Drs_Crs!$A$173,'List of Ledgers '!$B:$B,Drs_Crs!$A421)</f>
        <v>20244</v>
      </c>
      <c r="E421" s="54">
        <f>SUMIFS('List of Ledgers '!K:K,'List of Ledgers '!$E:$E,Drs_Crs!$A$173,'List of Ledgers '!$B:$B,Drs_Crs!$A421)</f>
        <v>0</v>
      </c>
      <c r="F421" s="54">
        <f>SUMIFS('List of Ledgers '!L:L,'List of Ledgers '!$E:$E,Drs_Crs!$A$173,'List of Ledgers '!$B:$B,Drs_Crs!$A421)</f>
        <v>0</v>
      </c>
      <c r="H421" s="54">
        <f>SUMIFS('List of Ledgers '!N:N,'List of Ledgers '!$E:$E,Drs_Crs!$A$173,'List of Ledgers '!$B:$B,Drs_Crs!$A421)</f>
        <v>0</v>
      </c>
      <c r="I421" s="54">
        <f>SUMIFS('List of Ledgers '!O:O,'List of Ledgers '!$E:$E,Drs_Crs!$A$173,'List of Ledgers '!$B:$B,Drs_Crs!$A421)</f>
        <v>20244</v>
      </c>
      <c r="J421" s="54">
        <f>SUMIFS('List of Ledgers '!P:P,'List of Ledgers '!$E:$E,Drs_Crs!$A$173,'List of Ledgers '!$B:$B,Drs_Crs!$A421)</f>
        <v>20244</v>
      </c>
      <c r="K421" s="54">
        <f>SUMIFS('List of Ledgers '!Q:Q,'List of Ledgers '!$E:$E,Drs_Crs!$A$173,'List of Ledgers '!$B:$B,Drs_Crs!$A421)</f>
        <v>0</v>
      </c>
    </row>
    <row r="422" spans="1:11" ht="13.9" x14ac:dyDescent="0.25">
      <c r="A422" s="125" t="s">
        <v>1378</v>
      </c>
      <c r="B422" s="102" t="s">
        <v>9</v>
      </c>
      <c r="C422" s="54">
        <f>SUMIFS('List of Ledgers '!I:I,'List of Ledgers '!$E:$E,Drs_Crs!$A$173,'List of Ledgers '!$B:$B,Drs_Crs!$A422)</f>
        <v>0</v>
      </c>
      <c r="D422" s="54">
        <f>SUMIFS('List of Ledgers '!J:J,'List of Ledgers '!$E:$E,Drs_Crs!$A$173,'List of Ledgers '!$B:$B,Drs_Crs!$A422)</f>
        <v>1512000</v>
      </c>
      <c r="E422" s="54">
        <f>SUMIFS('List of Ledgers '!K:K,'List of Ledgers '!$E:$E,Drs_Crs!$A$173,'List of Ledgers '!$B:$B,Drs_Crs!$A422)</f>
        <v>1512000</v>
      </c>
      <c r="F422" s="54">
        <f>SUMIFS('List of Ledgers '!L:L,'List of Ledgers '!$E:$E,Drs_Crs!$A$173,'List of Ledgers '!$B:$B,Drs_Crs!$A422)</f>
        <v>0</v>
      </c>
      <c r="H422" s="54">
        <f>SUMIFS('List of Ledgers '!N:N,'List of Ledgers '!$E:$E,Drs_Crs!$A$173,'List of Ledgers '!$B:$B,Drs_Crs!$A422)</f>
        <v>0</v>
      </c>
      <c r="I422" s="54">
        <f>SUMIFS('List of Ledgers '!O:O,'List of Ledgers '!$E:$E,Drs_Crs!$A$173,'List of Ledgers '!$B:$B,Drs_Crs!$A422)</f>
        <v>1512000</v>
      </c>
      <c r="J422" s="54">
        <f>SUMIFS('List of Ledgers '!P:P,'List of Ledgers '!$E:$E,Drs_Crs!$A$173,'List of Ledgers '!$B:$B,Drs_Crs!$A422)</f>
        <v>1512000</v>
      </c>
      <c r="K422" s="54">
        <f>SUMIFS('List of Ledgers '!Q:Q,'List of Ledgers '!$E:$E,Drs_Crs!$A$173,'List of Ledgers '!$B:$B,Drs_Crs!$A422)</f>
        <v>0</v>
      </c>
    </row>
    <row r="423" spans="1:11" s="193" customFormat="1" ht="13.9" x14ac:dyDescent="0.25">
      <c r="A423" s="226" t="s">
        <v>1384</v>
      </c>
      <c r="B423" s="227" t="s">
        <v>9</v>
      </c>
      <c r="C423" s="228">
        <f>SUMIFS('List of Ledgers '!I:I,'List of Ledgers '!$E:$E,Drs_Crs!$A$173,'List of Ledgers '!$B:$B,Drs_Crs!$A423)</f>
        <v>50000</v>
      </c>
      <c r="D423" s="228">
        <f>SUMIFS('List of Ledgers '!J:J,'List of Ledgers '!$E:$E,Drs_Crs!$A$173,'List of Ledgers '!$B:$B,Drs_Crs!$A423)</f>
        <v>100000</v>
      </c>
      <c r="E423" s="228">
        <f>SUMIFS('List of Ledgers '!K:K,'List of Ledgers '!$E:$E,Drs_Crs!$A$173,'List of Ledgers '!$B:$B,Drs_Crs!$A423)</f>
        <v>0</v>
      </c>
      <c r="F423" s="228">
        <f>SUMIFS('List of Ledgers '!L:L,'List of Ledgers '!$E:$E,Drs_Crs!$A$173,'List of Ledgers '!$B:$B,Drs_Crs!$A423)</f>
        <v>150000</v>
      </c>
      <c r="G423" s="197"/>
      <c r="H423" s="228">
        <f>SUMIFS('List of Ledgers '!N:N,'List of Ledgers '!$E:$E,Drs_Crs!$A$173,'List of Ledgers '!$B:$B,Drs_Crs!$A423)</f>
        <v>0</v>
      </c>
      <c r="I423" s="228">
        <f>SUMIFS('List of Ledgers '!O:O,'List of Ledgers '!$E:$E,Drs_Crs!$A$173,'List of Ledgers '!$B:$B,Drs_Crs!$A423)</f>
        <v>150000</v>
      </c>
      <c r="J423" s="228">
        <f>SUMIFS('List of Ledgers '!P:P,'List of Ledgers '!$E:$E,Drs_Crs!$A$173,'List of Ledgers '!$B:$B,Drs_Crs!$A423)</f>
        <v>0</v>
      </c>
      <c r="K423" s="228">
        <f>SUMIFS('List of Ledgers '!Q:Q,'List of Ledgers '!$E:$E,Drs_Crs!$A$173,'List of Ledgers '!$B:$B,Drs_Crs!$A423)</f>
        <v>150000</v>
      </c>
    </row>
    <row r="424" spans="1:11" ht="13.9" x14ac:dyDescent="0.25">
      <c r="A424" s="125" t="s">
        <v>1386</v>
      </c>
      <c r="B424" s="102" t="s">
        <v>9</v>
      </c>
      <c r="C424" s="54">
        <f>SUMIFS('List of Ledgers '!I:I,'List of Ledgers '!$E:$E,Drs_Crs!$A$173,'List of Ledgers '!$B:$B,Drs_Crs!$A424)</f>
        <v>0</v>
      </c>
      <c r="D424" s="54">
        <f>SUMIFS('List of Ledgers '!J:J,'List of Ledgers '!$E:$E,Drs_Crs!$A$173,'List of Ledgers '!$B:$B,Drs_Crs!$A424)</f>
        <v>257250</v>
      </c>
      <c r="E424" s="54">
        <f>SUMIFS('List of Ledgers '!K:K,'List of Ledgers '!$E:$E,Drs_Crs!$A$173,'List of Ledgers '!$B:$B,Drs_Crs!$A424)</f>
        <v>257250</v>
      </c>
      <c r="F424" s="54">
        <f>SUMIFS('List of Ledgers '!L:L,'List of Ledgers '!$E:$E,Drs_Crs!$A$173,'List of Ledgers '!$B:$B,Drs_Crs!$A424)</f>
        <v>0</v>
      </c>
      <c r="H424" s="54">
        <f>SUMIFS('List of Ledgers '!N:N,'List of Ledgers '!$E:$E,Drs_Crs!$A$173,'List of Ledgers '!$B:$B,Drs_Crs!$A424)</f>
        <v>0</v>
      </c>
      <c r="I424" s="54">
        <f>SUMIFS('List of Ledgers '!O:O,'List of Ledgers '!$E:$E,Drs_Crs!$A$173,'List of Ledgers '!$B:$B,Drs_Crs!$A424)</f>
        <v>257250</v>
      </c>
      <c r="J424" s="54">
        <f>SUMIFS('List of Ledgers '!P:P,'List of Ledgers '!$E:$E,Drs_Crs!$A$173,'List of Ledgers '!$B:$B,Drs_Crs!$A424)</f>
        <v>257250</v>
      </c>
      <c r="K424" s="54">
        <f>SUMIFS('List of Ledgers '!Q:Q,'List of Ledgers '!$E:$E,Drs_Crs!$A$173,'List of Ledgers '!$B:$B,Drs_Crs!$A424)</f>
        <v>0</v>
      </c>
    </row>
    <row r="425" spans="1:11" ht="13.9" x14ac:dyDescent="0.25">
      <c r="A425" s="125" t="s">
        <v>1388</v>
      </c>
      <c r="B425" s="102" t="s">
        <v>7</v>
      </c>
      <c r="C425" s="54">
        <f>SUMIFS('List of Ledgers '!I:I,'List of Ledgers '!$E:$E,Drs_Crs!$A$173,'List of Ledgers '!$B:$B,Drs_Crs!$A425)</f>
        <v>0</v>
      </c>
      <c r="D425" s="54">
        <f>SUMIFS('List of Ledgers '!J:J,'List of Ledgers '!$E:$E,Drs_Crs!$A$173,'List of Ledgers '!$B:$B,Drs_Crs!$A425)</f>
        <v>91382</v>
      </c>
      <c r="E425" s="54">
        <f>SUMIFS('List of Ledgers '!K:K,'List of Ledgers '!$E:$E,Drs_Crs!$A$173,'List of Ledgers '!$B:$B,Drs_Crs!$A425)</f>
        <v>91382</v>
      </c>
      <c r="F425" s="54">
        <f>SUMIFS('List of Ledgers '!L:L,'List of Ledgers '!$E:$E,Drs_Crs!$A$173,'List of Ledgers '!$B:$B,Drs_Crs!$A425)</f>
        <v>0</v>
      </c>
      <c r="H425" s="54">
        <f>SUMIFS('List of Ledgers '!N:N,'List of Ledgers '!$E:$E,Drs_Crs!$A$173,'List of Ledgers '!$B:$B,Drs_Crs!$A425)</f>
        <v>0</v>
      </c>
      <c r="I425" s="54">
        <f>SUMIFS('List of Ledgers '!O:O,'List of Ledgers '!$E:$E,Drs_Crs!$A$173,'List of Ledgers '!$B:$B,Drs_Crs!$A425)</f>
        <v>91382</v>
      </c>
      <c r="J425" s="54">
        <f>SUMIFS('List of Ledgers '!P:P,'List of Ledgers '!$E:$E,Drs_Crs!$A$173,'List of Ledgers '!$B:$B,Drs_Crs!$A425)</f>
        <v>91382</v>
      </c>
      <c r="K425" s="54">
        <f>SUMIFS('List of Ledgers '!Q:Q,'List of Ledgers '!$E:$E,Drs_Crs!$A$173,'List of Ledgers '!$B:$B,Drs_Crs!$A425)</f>
        <v>0</v>
      </c>
    </row>
    <row r="426" spans="1:11" ht="13.9" x14ac:dyDescent="0.25">
      <c r="A426" s="125" t="s">
        <v>1389</v>
      </c>
      <c r="B426" s="102" t="s">
        <v>9</v>
      </c>
      <c r="C426" s="54">
        <f>SUMIFS('List of Ledgers '!I:I,'List of Ledgers '!$E:$E,Drs_Crs!$A$173,'List of Ledgers '!$B:$B,Drs_Crs!$A426)</f>
        <v>0</v>
      </c>
      <c r="D426" s="54">
        <f>SUMIFS('List of Ledgers '!J:J,'List of Ledgers '!$E:$E,Drs_Crs!$A$173,'List of Ledgers '!$B:$B,Drs_Crs!$A426)</f>
        <v>3912300</v>
      </c>
      <c r="E426" s="54">
        <f>SUMIFS('List of Ledgers '!K:K,'List of Ledgers '!$E:$E,Drs_Crs!$A$173,'List of Ledgers '!$B:$B,Drs_Crs!$A426)</f>
        <v>3912300</v>
      </c>
      <c r="F426" s="54">
        <f>SUMIFS('List of Ledgers '!L:L,'List of Ledgers '!$E:$E,Drs_Crs!$A$173,'List of Ledgers '!$B:$B,Drs_Crs!$A426)</f>
        <v>0</v>
      </c>
      <c r="H426" s="54">
        <f>SUMIFS('List of Ledgers '!N:N,'List of Ledgers '!$E:$E,Drs_Crs!$A$173,'List of Ledgers '!$B:$B,Drs_Crs!$A426)</f>
        <v>0</v>
      </c>
      <c r="I426" s="54">
        <f>SUMIFS('List of Ledgers '!O:O,'List of Ledgers '!$E:$E,Drs_Crs!$A$173,'List of Ledgers '!$B:$B,Drs_Crs!$A426)</f>
        <v>3912300</v>
      </c>
      <c r="J426" s="54">
        <f>SUMIFS('List of Ledgers '!P:P,'List of Ledgers '!$E:$E,Drs_Crs!$A$173,'List of Ledgers '!$B:$B,Drs_Crs!$A426)</f>
        <v>3912300</v>
      </c>
      <c r="K426" s="54">
        <f>SUMIFS('List of Ledgers '!Q:Q,'List of Ledgers '!$E:$E,Drs_Crs!$A$173,'List of Ledgers '!$B:$B,Drs_Crs!$A426)</f>
        <v>0</v>
      </c>
    </row>
    <row r="427" spans="1:11" ht="13.9" x14ac:dyDescent="0.25">
      <c r="A427" s="125" t="s">
        <v>1390</v>
      </c>
      <c r="B427" s="102" t="s">
        <v>9</v>
      </c>
      <c r="C427" s="54">
        <f>SUMIFS('List of Ledgers '!I:I,'List of Ledgers '!$E:$E,Drs_Crs!$A$173,'List of Ledgers '!$B:$B,Drs_Crs!$A427)</f>
        <v>-5983</v>
      </c>
      <c r="D427" s="54">
        <f>SUMIFS('List of Ledgers '!J:J,'List of Ledgers '!$E:$E,Drs_Crs!$A$173,'List of Ledgers '!$B:$B,Drs_Crs!$A427)</f>
        <v>22780</v>
      </c>
      <c r="E427" s="54">
        <f>SUMIFS('List of Ledgers '!K:K,'List of Ledgers '!$E:$E,Drs_Crs!$A$173,'List of Ledgers '!$B:$B,Drs_Crs!$A427)</f>
        <v>16797</v>
      </c>
      <c r="F427" s="54">
        <f>SUMIFS('List of Ledgers '!L:L,'List of Ledgers '!$E:$E,Drs_Crs!$A$173,'List of Ledgers '!$B:$B,Drs_Crs!$A427)</f>
        <v>0</v>
      </c>
      <c r="H427" s="54">
        <f>SUMIFS('List of Ledgers '!N:N,'List of Ledgers '!$E:$E,Drs_Crs!$A$173,'List of Ledgers '!$B:$B,Drs_Crs!$A427)</f>
        <v>0</v>
      </c>
      <c r="I427" s="54">
        <f>SUMIFS('List of Ledgers '!O:O,'List of Ledgers '!$E:$E,Drs_Crs!$A$173,'List of Ledgers '!$B:$B,Drs_Crs!$A427)</f>
        <v>22780</v>
      </c>
      <c r="J427" s="54">
        <f>SUMIFS('List of Ledgers '!P:P,'List of Ledgers '!$E:$E,Drs_Crs!$A$173,'List of Ledgers '!$B:$B,Drs_Crs!$A427)</f>
        <v>22780</v>
      </c>
      <c r="K427" s="54">
        <f>SUMIFS('List of Ledgers '!Q:Q,'List of Ledgers '!$E:$E,Drs_Crs!$A$173,'List of Ledgers '!$B:$B,Drs_Crs!$A427)</f>
        <v>0</v>
      </c>
    </row>
    <row r="428" spans="1:11" s="193" customFormat="1" ht="13.9" x14ac:dyDescent="0.25">
      <c r="A428" s="226" t="s">
        <v>1391</v>
      </c>
      <c r="B428" s="227" t="s">
        <v>7</v>
      </c>
      <c r="C428" s="228">
        <f>SUMIFS('List of Ledgers '!I:I,'List of Ledgers '!$E:$E,Drs_Crs!$A$173,'List of Ledgers '!$B:$B,Drs_Crs!$A428)</f>
        <v>0</v>
      </c>
      <c r="D428" s="228">
        <f>SUMIFS('List of Ledgers '!J:J,'List of Ledgers '!$E:$E,Drs_Crs!$A$173,'List of Ledgers '!$B:$B,Drs_Crs!$A428)</f>
        <v>0</v>
      </c>
      <c r="E428" s="228">
        <f>SUMIFS('List of Ledgers '!K:K,'List of Ledgers '!$E:$E,Drs_Crs!$A$173,'List of Ledgers '!$B:$B,Drs_Crs!$A428)</f>
        <v>3506</v>
      </c>
      <c r="F428" s="228">
        <f>SUMIFS('List of Ledgers '!L:L,'List of Ledgers '!$E:$E,Drs_Crs!$A$173,'List of Ledgers '!$B:$B,Drs_Crs!$A428)</f>
        <v>-3506</v>
      </c>
      <c r="G428" s="197"/>
      <c r="H428" s="228">
        <f>SUMIFS('List of Ledgers '!N:N,'List of Ledgers '!$E:$E,Drs_Crs!$A$173,'List of Ledgers '!$B:$B,Drs_Crs!$A428)</f>
        <v>0</v>
      </c>
      <c r="I428" s="228">
        <f>SUMIFS('List of Ledgers '!O:O,'List of Ledgers '!$E:$E,Drs_Crs!$A$173,'List of Ledgers '!$B:$B,Drs_Crs!$A428)</f>
        <v>0</v>
      </c>
      <c r="J428" s="228">
        <f>SUMIFS('List of Ledgers '!P:P,'List of Ledgers '!$E:$E,Drs_Crs!$A$173,'List of Ledgers '!$B:$B,Drs_Crs!$A428)</f>
        <v>3506</v>
      </c>
      <c r="K428" s="228">
        <f>SUMIFS('List of Ledgers '!Q:Q,'List of Ledgers '!$E:$E,Drs_Crs!$A$173,'List of Ledgers '!$B:$B,Drs_Crs!$A428)</f>
        <v>-3506</v>
      </c>
    </row>
    <row r="429" spans="1:11" ht="13.9" x14ac:dyDescent="0.25">
      <c r="A429" s="125" t="s">
        <v>1396</v>
      </c>
      <c r="B429" s="102" t="s">
        <v>7</v>
      </c>
      <c r="C429" s="54">
        <f>SUMIFS('List of Ledgers '!I:I,'List of Ledgers '!$E:$E,Drs_Crs!$A$173,'List of Ledgers '!$B:$B,Drs_Crs!$A429)</f>
        <v>0</v>
      </c>
      <c r="D429" s="54">
        <f>SUMIFS('List of Ledgers '!J:J,'List of Ledgers '!$E:$E,Drs_Crs!$A$173,'List of Ledgers '!$B:$B,Drs_Crs!$A429)</f>
        <v>0</v>
      </c>
      <c r="E429" s="54">
        <f>SUMIFS('List of Ledgers '!K:K,'List of Ledgers '!$E:$E,Drs_Crs!$A$173,'List of Ledgers '!$B:$B,Drs_Crs!$A429)</f>
        <v>19517</v>
      </c>
      <c r="F429" s="54">
        <f>SUMIFS('List of Ledgers '!L:L,'List of Ledgers '!$E:$E,Drs_Crs!$A$173,'List of Ledgers '!$B:$B,Drs_Crs!$A429)</f>
        <v>-19517</v>
      </c>
      <c r="H429" s="54">
        <f>SUMIFS('List of Ledgers '!N:N,'List of Ledgers '!$E:$E,Drs_Crs!$A$173,'List of Ledgers '!$B:$B,Drs_Crs!$A429)</f>
        <v>0</v>
      </c>
      <c r="I429" s="54">
        <f>SUMIFS('List of Ledgers '!O:O,'List of Ledgers '!$E:$E,Drs_Crs!$A$173,'List of Ledgers '!$B:$B,Drs_Crs!$A429)</f>
        <v>0</v>
      </c>
      <c r="J429" s="54">
        <f>SUMIFS('List of Ledgers '!P:P,'List of Ledgers '!$E:$E,Drs_Crs!$A$173,'List of Ledgers '!$B:$B,Drs_Crs!$A429)</f>
        <v>19517</v>
      </c>
      <c r="K429" s="54">
        <f>SUMIFS('List of Ledgers '!Q:Q,'List of Ledgers '!$E:$E,Drs_Crs!$A$173,'List of Ledgers '!$B:$B,Drs_Crs!$A429)</f>
        <v>-19517</v>
      </c>
    </row>
    <row r="430" spans="1:11" ht="13.9" x14ac:dyDescent="0.25">
      <c r="A430" s="125" t="s">
        <v>1397</v>
      </c>
      <c r="B430" s="102" t="s">
        <v>7</v>
      </c>
      <c r="C430" s="54">
        <f>SUMIFS('List of Ledgers '!I:I,'List of Ledgers '!$E:$E,Drs_Crs!$A$173,'List of Ledgers '!$B:$B,Drs_Crs!$A430)</f>
        <v>0</v>
      </c>
      <c r="D430" s="54">
        <f>SUMIFS('List of Ledgers '!J:J,'List of Ledgers '!$E:$E,Drs_Crs!$A$173,'List of Ledgers '!$B:$B,Drs_Crs!$A430)</f>
        <v>13351</v>
      </c>
      <c r="E430" s="54">
        <f>SUMIFS('List of Ledgers '!K:K,'List of Ledgers '!$E:$E,Drs_Crs!$A$173,'List of Ledgers '!$B:$B,Drs_Crs!$A430)</f>
        <v>13351</v>
      </c>
      <c r="F430" s="54">
        <f>SUMIFS('List of Ledgers '!L:L,'List of Ledgers '!$E:$E,Drs_Crs!$A$173,'List of Ledgers '!$B:$B,Drs_Crs!$A430)</f>
        <v>0</v>
      </c>
      <c r="H430" s="54">
        <f>SUMIFS('List of Ledgers '!N:N,'List of Ledgers '!$E:$E,Drs_Crs!$A$173,'List of Ledgers '!$B:$B,Drs_Crs!$A430)</f>
        <v>0</v>
      </c>
      <c r="I430" s="54">
        <f>SUMIFS('List of Ledgers '!O:O,'List of Ledgers '!$E:$E,Drs_Crs!$A$173,'List of Ledgers '!$B:$B,Drs_Crs!$A430)</f>
        <v>13351</v>
      </c>
      <c r="J430" s="54">
        <f>SUMIFS('List of Ledgers '!P:P,'List of Ledgers '!$E:$E,Drs_Crs!$A$173,'List of Ledgers '!$B:$B,Drs_Crs!$A430)</f>
        <v>13351</v>
      </c>
      <c r="K430" s="54">
        <f>SUMIFS('List of Ledgers '!Q:Q,'List of Ledgers '!$E:$E,Drs_Crs!$A$173,'List of Ledgers '!$B:$B,Drs_Crs!$A430)</f>
        <v>0</v>
      </c>
    </row>
    <row r="431" spans="1:11" ht="13.9" x14ac:dyDescent="0.25">
      <c r="A431" s="125" t="s">
        <v>217</v>
      </c>
      <c r="B431" s="102" t="s">
        <v>7</v>
      </c>
      <c r="C431" s="54">
        <f>SUMIFS('List of Ledgers '!I:I,'List of Ledgers '!$E:$E,Drs_Crs!$A$173,'List of Ledgers '!$B:$B,Drs_Crs!$A431)</f>
        <v>0</v>
      </c>
      <c r="D431" s="54">
        <f>SUMIFS('List of Ledgers '!J:J,'List of Ledgers '!$E:$E,Drs_Crs!$A$173,'List of Ledgers '!$B:$B,Drs_Crs!$A431)</f>
        <v>0</v>
      </c>
      <c r="E431" s="54">
        <f>SUMIFS('List of Ledgers '!K:K,'List of Ledgers '!$E:$E,Drs_Crs!$A$173,'List of Ledgers '!$B:$B,Drs_Crs!$A431)</f>
        <v>0</v>
      </c>
      <c r="F431" s="54">
        <f>SUMIFS('List of Ledgers '!L:L,'List of Ledgers '!$E:$E,Drs_Crs!$A$173,'List of Ledgers '!$B:$B,Drs_Crs!$A431)</f>
        <v>0</v>
      </c>
      <c r="H431" s="54">
        <f>SUMIFS('List of Ledgers '!N:N,'List of Ledgers '!$E:$E,Drs_Crs!$A$173,'List of Ledgers '!$B:$B,Drs_Crs!$A431)</f>
        <v>0</v>
      </c>
      <c r="I431" s="54">
        <f>SUMIFS('List of Ledgers '!O:O,'List of Ledgers '!$E:$E,Drs_Crs!$A$173,'List of Ledgers '!$B:$B,Drs_Crs!$A431)</f>
        <v>0</v>
      </c>
      <c r="J431" s="54">
        <f>SUMIFS('List of Ledgers '!P:P,'List of Ledgers '!$E:$E,Drs_Crs!$A$173,'List of Ledgers '!$B:$B,Drs_Crs!$A431)</f>
        <v>0</v>
      </c>
      <c r="K431" s="54">
        <f>SUMIFS('List of Ledgers '!Q:Q,'List of Ledgers '!$E:$E,Drs_Crs!$A$173,'List of Ledgers '!$B:$B,Drs_Crs!$A431)</f>
        <v>0</v>
      </c>
    </row>
    <row r="432" spans="1:11" x14ac:dyDescent="0.25">
      <c r="A432" s="125" t="s">
        <v>301</v>
      </c>
      <c r="B432" s="102" t="s">
        <v>7</v>
      </c>
      <c r="C432" s="54">
        <f>SUMIFS('List of Ledgers '!I:I,'List of Ledgers '!$E:$E,Drs_Crs!$A$173,'List of Ledgers '!$B:$B,Drs_Crs!$A432)</f>
        <v>0</v>
      </c>
      <c r="D432" s="54">
        <f>SUMIFS('List of Ledgers '!J:J,'List of Ledgers '!$E:$E,Drs_Crs!$A$173,'List of Ledgers '!$B:$B,Drs_Crs!$A432)</f>
        <v>0</v>
      </c>
      <c r="E432" s="54">
        <f>SUMIFS('List of Ledgers '!K:K,'List of Ledgers '!$E:$E,Drs_Crs!$A$173,'List of Ledgers '!$B:$B,Drs_Crs!$A432)</f>
        <v>0</v>
      </c>
      <c r="F432" s="54">
        <f>SUMIFS('List of Ledgers '!L:L,'List of Ledgers '!$E:$E,Drs_Crs!$A$173,'List of Ledgers '!$B:$B,Drs_Crs!$A432)</f>
        <v>0</v>
      </c>
      <c r="H432" s="54">
        <f>SUMIFS('List of Ledgers '!N:N,'List of Ledgers '!$E:$E,Drs_Crs!$A$173,'List of Ledgers '!$B:$B,Drs_Crs!$A432)</f>
        <v>0</v>
      </c>
      <c r="I432" s="54">
        <f>SUMIFS('List of Ledgers '!O:O,'List of Ledgers '!$E:$E,Drs_Crs!$A$173,'List of Ledgers '!$B:$B,Drs_Crs!$A432)</f>
        <v>0</v>
      </c>
      <c r="J432" s="54">
        <f>SUMIFS('List of Ledgers '!P:P,'List of Ledgers '!$E:$E,Drs_Crs!$A$173,'List of Ledgers '!$B:$B,Drs_Crs!$A432)</f>
        <v>0</v>
      </c>
      <c r="K432" s="54">
        <f>SUMIFS('List of Ledgers '!Q:Q,'List of Ledgers '!$E:$E,Drs_Crs!$A$173,'List of Ledgers '!$B:$B,Drs_Crs!$A432)</f>
        <v>0</v>
      </c>
    </row>
    <row r="433" spans="1:11" x14ac:dyDescent="0.25">
      <c r="A433" s="125" t="s">
        <v>302</v>
      </c>
      <c r="B433" s="102" t="s">
        <v>7</v>
      </c>
      <c r="C433" s="54">
        <f>SUMIFS('List of Ledgers '!I:I,'List of Ledgers '!$E:$E,Drs_Crs!$A$173,'List of Ledgers '!$B:$B,Drs_Crs!$A433)</f>
        <v>0</v>
      </c>
      <c r="D433" s="54">
        <f>SUMIFS('List of Ledgers '!J:J,'List of Ledgers '!$E:$E,Drs_Crs!$A$173,'List of Ledgers '!$B:$B,Drs_Crs!$A433)</f>
        <v>0</v>
      </c>
      <c r="E433" s="54">
        <f>SUMIFS('List of Ledgers '!K:K,'List of Ledgers '!$E:$E,Drs_Crs!$A$173,'List of Ledgers '!$B:$B,Drs_Crs!$A433)</f>
        <v>0</v>
      </c>
      <c r="F433" s="54">
        <f>SUMIFS('List of Ledgers '!L:L,'List of Ledgers '!$E:$E,Drs_Crs!$A$173,'List of Ledgers '!$B:$B,Drs_Crs!$A433)</f>
        <v>0</v>
      </c>
      <c r="H433" s="54">
        <f>SUMIFS('List of Ledgers '!N:N,'List of Ledgers '!$E:$E,Drs_Crs!$A$173,'List of Ledgers '!$B:$B,Drs_Crs!$A433)</f>
        <v>0</v>
      </c>
      <c r="I433" s="54">
        <f>SUMIFS('List of Ledgers '!O:O,'List of Ledgers '!$E:$E,Drs_Crs!$A$173,'List of Ledgers '!$B:$B,Drs_Crs!$A433)</f>
        <v>0</v>
      </c>
      <c r="J433" s="54">
        <f>SUMIFS('List of Ledgers '!P:P,'List of Ledgers '!$E:$E,Drs_Crs!$A$173,'List of Ledgers '!$B:$B,Drs_Crs!$A433)</f>
        <v>0</v>
      </c>
      <c r="K433" s="54">
        <f>SUMIFS('List of Ledgers '!Q:Q,'List of Ledgers '!$E:$E,Drs_Crs!$A$173,'List of Ledgers '!$B:$B,Drs_Crs!$A433)</f>
        <v>0</v>
      </c>
    </row>
    <row r="434" spans="1:11" x14ac:dyDescent="0.25">
      <c r="A434" s="125" t="s">
        <v>513</v>
      </c>
      <c r="B434" s="102" t="s">
        <v>7</v>
      </c>
      <c r="C434" s="54">
        <f>SUMIFS('List of Ledgers '!I:I,'List of Ledgers '!$E:$E,Drs_Crs!$A$173,'List of Ledgers '!$B:$B,Drs_Crs!$A434)</f>
        <v>0</v>
      </c>
      <c r="D434" s="54">
        <f>SUMIFS('List of Ledgers '!J:J,'List of Ledgers '!$E:$E,Drs_Crs!$A$173,'List of Ledgers '!$B:$B,Drs_Crs!$A434)</f>
        <v>0</v>
      </c>
      <c r="E434" s="54">
        <f>SUMIFS('List of Ledgers '!K:K,'List of Ledgers '!$E:$E,Drs_Crs!$A$173,'List of Ledgers '!$B:$B,Drs_Crs!$A434)</f>
        <v>0</v>
      </c>
      <c r="F434" s="54">
        <f>SUMIFS('List of Ledgers '!L:L,'List of Ledgers '!$E:$E,Drs_Crs!$A$173,'List of Ledgers '!$B:$B,Drs_Crs!$A434)</f>
        <v>0</v>
      </c>
      <c r="H434" s="54">
        <f>SUMIFS('List of Ledgers '!N:N,'List of Ledgers '!$E:$E,Drs_Crs!$A$173,'List of Ledgers '!$B:$B,Drs_Crs!$A434)</f>
        <v>0</v>
      </c>
      <c r="I434" s="54">
        <f>SUMIFS('List of Ledgers '!O:O,'List of Ledgers '!$E:$E,Drs_Crs!$A$173,'List of Ledgers '!$B:$B,Drs_Crs!$A434)</f>
        <v>0</v>
      </c>
      <c r="J434" s="54">
        <f>SUMIFS('List of Ledgers '!P:P,'List of Ledgers '!$E:$E,Drs_Crs!$A$173,'List of Ledgers '!$B:$B,Drs_Crs!$A434)</f>
        <v>0</v>
      </c>
      <c r="K434" s="54">
        <f>SUMIFS('List of Ledgers '!Q:Q,'List of Ledgers '!$E:$E,Drs_Crs!$A$173,'List of Ledgers '!$B:$B,Drs_Crs!$A434)</f>
        <v>0</v>
      </c>
    </row>
    <row r="435" spans="1:11" x14ac:dyDescent="0.25">
      <c r="A435" s="125" t="s">
        <v>601</v>
      </c>
      <c r="B435" s="102" t="s">
        <v>7</v>
      </c>
      <c r="C435" s="54">
        <f>SUMIFS('List of Ledgers '!I:I,'List of Ledgers '!$E:$E,Drs_Crs!$A$173,'List of Ledgers '!$B:$B,Drs_Crs!$A435)</f>
        <v>0</v>
      </c>
      <c r="D435" s="54">
        <f>SUMIFS('List of Ledgers '!J:J,'List of Ledgers '!$E:$E,Drs_Crs!$A$173,'List of Ledgers '!$B:$B,Drs_Crs!$A435)</f>
        <v>0</v>
      </c>
      <c r="E435" s="54">
        <f>SUMIFS('List of Ledgers '!K:K,'List of Ledgers '!$E:$E,Drs_Crs!$A$173,'List of Ledgers '!$B:$B,Drs_Crs!$A435)</f>
        <v>0</v>
      </c>
      <c r="F435" s="54">
        <f>SUMIFS('List of Ledgers '!L:L,'List of Ledgers '!$E:$E,Drs_Crs!$A$173,'List of Ledgers '!$B:$B,Drs_Crs!$A435)</f>
        <v>0</v>
      </c>
      <c r="H435" s="54">
        <f>SUMIFS('List of Ledgers '!N:N,'List of Ledgers '!$E:$E,Drs_Crs!$A$173,'List of Ledgers '!$B:$B,Drs_Crs!$A435)</f>
        <v>0</v>
      </c>
      <c r="I435" s="54">
        <f>SUMIFS('List of Ledgers '!O:O,'List of Ledgers '!$E:$E,Drs_Crs!$A$173,'List of Ledgers '!$B:$B,Drs_Crs!$A435)</f>
        <v>0</v>
      </c>
      <c r="J435" s="54">
        <f>SUMIFS('List of Ledgers '!P:P,'List of Ledgers '!$E:$E,Drs_Crs!$A$173,'List of Ledgers '!$B:$B,Drs_Crs!$A435)</f>
        <v>0</v>
      </c>
      <c r="K435" s="54">
        <f>SUMIFS('List of Ledgers '!Q:Q,'List of Ledgers '!$E:$E,Drs_Crs!$A$173,'List of Ledgers '!$B:$B,Drs_Crs!$A435)</f>
        <v>0</v>
      </c>
    </row>
    <row r="436" spans="1:11" x14ac:dyDescent="0.25">
      <c r="A436" s="125" t="s">
        <v>860</v>
      </c>
      <c r="B436" s="102" t="s">
        <v>4</v>
      </c>
      <c r="C436" s="54">
        <f>SUMIFS('List of Ledgers '!I:I,'List of Ledgers '!$E:$E,Drs_Crs!$A$173,'List of Ledgers '!$B:$B,Drs_Crs!$A436)</f>
        <v>0</v>
      </c>
      <c r="D436" s="54">
        <f>SUMIFS('List of Ledgers '!J:J,'List of Ledgers '!$E:$E,Drs_Crs!$A$173,'List of Ledgers '!$B:$B,Drs_Crs!$A436)</f>
        <v>0</v>
      </c>
      <c r="E436" s="54">
        <f>SUMIFS('List of Ledgers '!K:K,'List of Ledgers '!$E:$E,Drs_Crs!$A$173,'List of Ledgers '!$B:$B,Drs_Crs!$A436)</f>
        <v>0</v>
      </c>
      <c r="F436" s="54">
        <f>SUMIFS('List of Ledgers '!L:L,'List of Ledgers '!$E:$E,Drs_Crs!$A$173,'List of Ledgers '!$B:$B,Drs_Crs!$A436)</f>
        <v>0</v>
      </c>
      <c r="H436" s="54">
        <f>SUMIFS('List of Ledgers '!N:N,'List of Ledgers '!$E:$E,Drs_Crs!$A$173,'List of Ledgers '!$B:$B,Drs_Crs!$A436)</f>
        <v>0</v>
      </c>
      <c r="I436" s="54">
        <f>SUMIFS('List of Ledgers '!O:O,'List of Ledgers '!$E:$E,Drs_Crs!$A$173,'List of Ledgers '!$B:$B,Drs_Crs!$A436)</f>
        <v>0</v>
      </c>
      <c r="J436" s="54">
        <f>SUMIFS('List of Ledgers '!P:P,'List of Ledgers '!$E:$E,Drs_Crs!$A$173,'List of Ledgers '!$B:$B,Drs_Crs!$A436)</f>
        <v>0</v>
      </c>
      <c r="K436" s="54">
        <f>SUMIFS('List of Ledgers '!Q:Q,'List of Ledgers '!$E:$E,Drs_Crs!$A$173,'List of Ledgers '!$B:$B,Drs_Crs!$A436)</f>
        <v>0</v>
      </c>
    </row>
    <row r="437" spans="1:11" x14ac:dyDescent="0.25">
      <c r="A437" s="125" t="s">
        <v>1053</v>
      </c>
      <c r="B437" s="102" t="s">
        <v>4</v>
      </c>
      <c r="C437" s="54">
        <f>SUMIFS('List of Ledgers '!I:I,'List of Ledgers '!$E:$E,Drs_Crs!$A$173,'List of Ledgers '!$B:$B,Drs_Crs!$A437)</f>
        <v>0</v>
      </c>
      <c r="D437" s="54">
        <f>SUMIFS('List of Ledgers '!J:J,'List of Ledgers '!$E:$E,Drs_Crs!$A$173,'List of Ledgers '!$B:$B,Drs_Crs!$A437)</f>
        <v>0</v>
      </c>
      <c r="E437" s="54">
        <f>SUMIFS('List of Ledgers '!K:K,'List of Ledgers '!$E:$E,Drs_Crs!$A$173,'List of Ledgers '!$B:$B,Drs_Crs!$A437)</f>
        <v>0</v>
      </c>
      <c r="F437" s="54">
        <f>SUMIFS('List of Ledgers '!L:L,'List of Ledgers '!$E:$E,Drs_Crs!$A$173,'List of Ledgers '!$B:$B,Drs_Crs!$A437)</f>
        <v>0</v>
      </c>
      <c r="H437" s="54">
        <f>SUMIFS('List of Ledgers '!N:N,'List of Ledgers '!$E:$E,Drs_Crs!$A$173,'List of Ledgers '!$B:$B,Drs_Crs!$A437)</f>
        <v>0</v>
      </c>
      <c r="I437" s="54">
        <f>SUMIFS('List of Ledgers '!O:O,'List of Ledgers '!$E:$E,Drs_Crs!$A$173,'List of Ledgers '!$B:$B,Drs_Crs!$A437)</f>
        <v>0</v>
      </c>
      <c r="J437" s="54">
        <f>SUMIFS('List of Ledgers '!P:P,'List of Ledgers '!$E:$E,Drs_Crs!$A$173,'List of Ledgers '!$B:$B,Drs_Crs!$A437)</f>
        <v>0</v>
      </c>
      <c r="K437" s="54">
        <f>SUMIFS('List of Ledgers '!Q:Q,'List of Ledgers '!$E:$E,Drs_Crs!$A$173,'List of Ledgers '!$B:$B,Drs_Crs!$A437)</f>
        <v>0</v>
      </c>
    </row>
    <row r="438" spans="1:11" s="193" customFormat="1" x14ac:dyDescent="0.25">
      <c r="A438" s="226" t="s">
        <v>1296</v>
      </c>
      <c r="B438" s="227" t="s">
        <v>9</v>
      </c>
      <c r="C438" s="228">
        <f>SUMIFS('List of Ledgers '!I:I,'List of Ledgers '!$E:$E,Drs_Crs!$A$173,'List of Ledgers '!$B:$B,Drs_Crs!$A438)</f>
        <v>0</v>
      </c>
      <c r="D438" s="228">
        <f>SUMIFS('List of Ledgers '!J:J,'List of Ledgers '!$E:$E,Drs_Crs!$A$173,'List of Ledgers '!$B:$B,Drs_Crs!$A438)</f>
        <v>2121504</v>
      </c>
      <c r="E438" s="228">
        <f>SUMIFS('List of Ledgers '!K:K,'List of Ledgers '!$E:$E,Drs_Crs!$A$173,'List of Ledgers '!$B:$B,Drs_Crs!$A438)</f>
        <v>0</v>
      </c>
      <c r="F438" s="228">
        <f>SUMIFS('List of Ledgers '!L:L,'List of Ledgers '!$E:$E,Drs_Crs!$A$173,'List of Ledgers '!$B:$B,Drs_Crs!$A438)</f>
        <v>2121504</v>
      </c>
      <c r="G438" s="197"/>
      <c r="H438" s="228">
        <f>SUMIFS('List of Ledgers '!N:N,'List of Ledgers '!$E:$E,Drs_Crs!$A$173,'List of Ledgers '!$B:$B,Drs_Crs!$A438)</f>
        <v>0</v>
      </c>
      <c r="I438" s="228">
        <f>SUMIFS('List of Ledgers '!O:O,'List of Ledgers '!$E:$E,Drs_Crs!$A$173,'List of Ledgers '!$B:$B,Drs_Crs!$A438)</f>
        <v>2121504</v>
      </c>
      <c r="J438" s="228">
        <f>SUMIFS('List of Ledgers '!P:P,'List of Ledgers '!$E:$E,Drs_Crs!$A$173,'List of Ledgers '!$B:$B,Drs_Crs!$A438)</f>
        <v>0</v>
      </c>
      <c r="K438" s="228">
        <f>SUMIFS('List of Ledgers '!Q:Q,'List of Ledgers '!$E:$E,Drs_Crs!$A$173,'List of Ledgers '!$B:$B,Drs_Crs!$A438)</f>
        <v>2121504</v>
      </c>
    </row>
    <row r="439" spans="1:11" x14ac:dyDescent="0.25">
      <c r="A439" s="125"/>
      <c r="B439" s="102"/>
      <c r="C439" s="54"/>
      <c r="D439" s="54"/>
      <c r="E439" s="54"/>
      <c r="F439" s="54"/>
      <c r="H439" s="54"/>
      <c r="I439" s="54"/>
      <c r="J439" s="54"/>
      <c r="K439" s="54"/>
    </row>
    <row r="440" spans="1:11" s="1" customFormat="1" ht="14.25" x14ac:dyDescent="0.2">
      <c r="A440" s="55" t="s">
        <v>103</v>
      </c>
      <c r="B440" s="55"/>
      <c r="C440" s="55">
        <f>SUM(C174:C439)</f>
        <v>-7203499.4799999995</v>
      </c>
      <c r="D440" s="55">
        <f>SUM(D174:D439)</f>
        <v>58957460.57</v>
      </c>
      <c r="E440" s="55">
        <f>SUM(E174:E439)</f>
        <v>57016616.650000006</v>
      </c>
      <c r="F440" s="55">
        <f>SUM(F174:F439)</f>
        <v>-5262655.5599999996</v>
      </c>
      <c r="G440" s="30"/>
      <c r="H440" s="55">
        <f>SUM(H174:H439)</f>
        <v>-708887.12</v>
      </c>
      <c r="I440" s="55">
        <f>SUM(I174:I439)</f>
        <v>266125627.22</v>
      </c>
      <c r="J440" s="55">
        <f>SUM(J174:J439)</f>
        <v>270679395.65999997</v>
      </c>
      <c r="K440" s="55">
        <f>SUM(K174:K439)</f>
        <v>-5262655.5599999996</v>
      </c>
    </row>
    <row r="441" spans="1:11" x14ac:dyDescent="0.25">
      <c r="C441" s="15">
        <f>C25-C440</f>
        <v>0</v>
      </c>
      <c r="D441" s="15">
        <f>D25-D440</f>
        <v>0</v>
      </c>
      <c r="E441" s="15">
        <f>E25-E440</f>
        <v>0</v>
      </c>
      <c r="F441" s="15">
        <f>F25-F440</f>
        <v>0</v>
      </c>
      <c r="H441" s="15">
        <f>H25-H440</f>
        <v>0</v>
      </c>
      <c r="I441" s="15">
        <f>I25-I440</f>
        <v>0</v>
      </c>
      <c r="J441" s="15">
        <f>J25-J440</f>
        <v>0</v>
      </c>
      <c r="K441" s="15">
        <f>K25-K440</f>
        <v>0</v>
      </c>
    </row>
  </sheetData>
  <autoFilter ref="A28:N168" xr:uid="{00000000-0001-0000-0500-000000000000}">
    <filterColumn colId="4">
      <colorFilter dxfId="0"/>
    </filterColumn>
    <filterColumn colId="5">
      <filters>
        <filter val="1,000"/>
        <filter val="1,14,748"/>
        <filter val="1,16,550"/>
        <filter val="1,17,67,280"/>
        <filter val="-1,180"/>
        <filter val="-1,387"/>
        <filter val="-1,768"/>
        <filter val="1,821"/>
        <filter val="10,202"/>
        <filter val="-12,803"/>
        <filter val="17,420"/>
        <filter val="-2,360"/>
        <filter val="-2,63,107"/>
        <filter val="25,64,713"/>
        <filter val="26,12,131"/>
        <filter val="26,597"/>
        <filter val="27,47,660"/>
        <filter val="300"/>
        <filter val="31,996"/>
        <filter val="32,50,967"/>
        <filter val="36,53,673"/>
        <filter val="39,766"/>
        <filter val="45,65,399"/>
        <filter val="46,17,419"/>
        <filter val="-464"/>
        <filter val="-474"/>
        <filter val="-5,07,408"/>
        <filter val="-50,000"/>
        <filter val="50,37,655"/>
        <filter val="51,094"/>
        <filter val="566"/>
        <filter val="58,937"/>
        <filter val="6,254"/>
        <filter val="61,62,385"/>
        <filter val="64,900"/>
        <filter val="69,40,752"/>
        <filter val="78,824"/>
        <filter val="79,763"/>
        <filter val="83,71,101"/>
        <filter val="90,097"/>
        <filter val="96,01,691"/>
      </filters>
    </filterColumn>
  </autoFilter>
  <mergeCells count="8">
    <mergeCell ref="C5:F5"/>
    <mergeCell ref="C27:F27"/>
    <mergeCell ref="H27:K27"/>
    <mergeCell ref="C172:F172"/>
    <mergeCell ref="H172:K172"/>
    <mergeCell ref="H15:K15"/>
    <mergeCell ref="H5:K5"/>
    <mergeCell ref="C15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showGridLines="0" view="pageBreakPreview" zoomScaleNormal="100" zoomScaleSheetLayoutView="100" workbookViewId="0">
      <selection activeCell="I17" sqref="A17:XFD17"/>
    </sheetView>
  </sheetViews>
  <sheetFormatPr defaultColWidth="9.42578125" defaultRowHeight="15" x14ac:dyDescent="0.25"/>
  <cols>
    <col min="1" max="1" width="45.5703125" style="2" bestFit="1" customWidth="1"/>
    <col min="2" max="2" width="13.5703125" style="2" bestFit="1" customWidth="1"/>
    <col min="3" max="3" width="15.42578125" style="2" bestFit="1" customWidth="1"/>
    <col min="4" max="4" width="15.42578125" style="2" customWidth="1"/>
    <col min="5" max="5" width="14.5703125" style="2" customWidth="1"/>
    <col min="6" max="6" width="8.42578125" style="2" customWidth="1"/>
    <col min="7" max="7" width="10.42578125" style="2" bestFit="1" customWidth="1"/>
    <col min="8" max="8" width="14.140625" style="2" bestFit="1" customWidth="1"/>
    <col min="9" max="10" width="14.42578125" style="2" bestFit="1" customWidth="1"/>
    <col min="11" max="11" width="15.5703125" style="2" bestFit="1" customWidth="1"/>
    <col min="12" max="12" width="23.42578125" style="2" bestFit="1" customWidth="1"/>
    <col min="13" max="13" width="11.5703125" style="2" bestFit="1" customWidth="1"/>
    <col min="14" max="14" width="9.42578125" style="2"/>
    <col min="15" max="15" width="10" style="2" bestFit="1" customWidth="1"/>
    <col min="16" max="16" width="9.5703125" style="2" bestFit="1" customWidth="1"/>
    <col min="17" max="16384" width="9.42578125" style="2"/>
  </cols>
  <sheetData>
    <row r="1" spans="1:16" x14ac:dyDescent="0.25">
      <c r="A1" s="1" t="str">
        <f>'P&amp;L'!A1</f>
        <v>M J P T &amp; Co LLP</v>
      </c>
    </row>
    <row r="2" spans="1:16" x14ac:dyDescent="0.25">
      <c r="A2" s="1" t="str">
        <f>'P&amp;L'!A2</f>
        <v>Pristine Worldwide Private Limited</v>
      </c>
    </row>
    <row r="3" spans="1:16" x14ac:dyDescent="0.25">
      <c r="A3" s="3" t="s">
        <v>25</v>
      </c>
    </row>
    <row r="4" spans="1:16" x14ac:dyDescent="0.25">
      <c r="A4" s="66" t="str">
        <f>'P&amp;L'!A5</f>
        <v>For the month of Mar 2026</v>
      </c>
    </row>
    <row r="6" spans="1:16" x14ac:dyDescent="0.25">
      <c r="A6" s="1" t="s">
        <v>91</v>
      </c>
      <c r="B6" s="1" t="str">
        <f>'P&amp;L'!L5</f>
        <v>Mar'26</v>
      </c>
    </row>
    <row r="7" spans="1:16" ht="42.75" x14ac:dyDescent="0.25">
      <c r="A7" s="32" t="s">
        <v>26</v>
      </c>
      <c r="B7" s="33" t="s">
        <v>2</v>
      </c>
      <c r="C7" s="33" t="s">
        <v>3</v>
      </c>
      <c r="D7" s="33" t="s">
        <v>4</v>
      </c>
      <c r="E7" s="33" t="s">
        <v>5</v>
      </c>
      <c r="F7" s="33" t="s">
        <v>6</v>
      </c>
      <c r="G7" s="33" t="s">
        <v>7</v>
      </c>
      <c r="H7" s="33" t="s">
        <v>9</v>
      </c>
      <c r="I7" s="34" t="s">
        <v>10</v>
      </c>
      <c r="J7" s="35" t="s">
        <v>11</v>
      </c>
      <c r="K7" s="36" t="s">
        <v>12</v>
      </c>
    </row>
    <row r="8" spans="1:16" x14ac:dyDescent="0.25">
      <c r="A8" s="4" t="s">
        <v>92</v>
      </c>
      <c r="B8" s="5">
        <f>SUMIF('Stk '!$A:$A,COGS!B7,'Stk '!$C:$C)</f>
        <v>2768029.6499999994</v>
      </c>
      <c r="C8" s="5">
        <f>SUMIF('Stk '!$A:$A,COGS!C7,'Stk '!$C:$C)</f>
        <v>1234703.4500000002</v>
      </c>
      <c r="D8" s="5">
        <f>SUMIF('Stk '!$A:$A,COGS!D7,'Stk '!$C:$C)</f>
        <v>649724.43999999994</v>
      </c>
      <c r="E8" s="5">
        <f>SUMIF('Stk '!$A:$A,COGS!E7,'Stk '!$C:$C)</f>
        <v>0</v>
      </c>
      <c r="F8" s="5">
        <f>SUMIF('Stk '!$A:$A,COGS!F7,'Stk '!$C:$C)</f>
        <v>0</v>
      </c>
      <c r="G8" s="5">
        <f>SUMIF('Stk '!$A:$A,COGS!G7,'Stk '!$C:$C)</f>
        <v>0</v>
      </c>
      <c r="H8" s="5">
        <f>SUMIF('Stk '!$A:$A,COGS!H7,'Stk '!$C:$C)</f>
        <v>27267339.129999999</v>
      </c>
      <c r="I8" s="5">
        <f>SUM(B8:H8)</f>
        <v>31919796.669999998</v>
      </c>
      <c r="J8" s="5">
        <f>'Shares(FIFO) '!D5</f>
        <v>4972396.53</v>
      </c>
      <c r="K8" s="5">
        <f>I8+J8</f>
        <v>36892193.199999996</v>
      </c>
      <c r="P8" s="7"/>
    </row>
    <row r="9" spans="1:16" x14ac:dyDescent="0.25">
      <c r="A9" s="4" t="s">
        <v>93</v>
      </c>
      <c r="B9" s="5">
        <f>SUMIFS('List of Ledgers '!$L:$L,'List of Ledgers '!$F:$F,COGS!$A$9,'List of Ledgers '!$G:$G,COGS!B7)</f>
        <v>0</v>
      </c>
      <c r="C9" s="5">
        <f>SUMIFS('List of Ledgers '!$L:$L,'List of Ledgers '!$F:$F,COGS!$A$9,'List of Ledgers '!$G:$G,COGS!C7)</f>
        <v>28434.720000000001</v>
      </c>
      <c r="D9" s="5">
        <f>SUMIFS('List of Ledgers '!$L:$L,'List of Ledgers '!$F:$F,COGS!$A$9,'List of Ledgers '!$G:$G,COGS!D7)</f>
        <v>0</v>
      </c>
      <c r="E9" s="5">
        <f>SUMIFS('List of Ledgers '!$L:$L,'List of Ledgers '!$F:$F,COGS!$A$9,'List of Ledgers '!$G:$G,COGS!E7)</f>
        <v>0</v>
      </c>
      <c r="F9" s="156">
        <f>SUMIFS('List of Ledgers '!$L:$L,'List of Ledgers '!$F:$F,COGS!$A$9,'List of Ledgers '!$G:$G,COGS!F7)</f>
        <v>0</v>
      </c>
      <c r="G9" s="5">
        <f>SUMIFS('List of Ledgers '!$L:$L,'List of Ledgers '!$F:$F,COGS!$A$9,'List of Ledgers '!$G:$G,COGS!G7)</f>
        <v>16540</v>
      </c>
      <c r="H9" s="5">
        <f>SUMIFS('List of Ledgers '!$L:$L,'List of Ledgers '!$F:$F,COGS!$A$9,'List of Ledgers '!$G:$G,COGS!H7)</f>
        <v>47910227.5</v>
      </c>
      <c r="I9" s="5">
        <f>SUM(B9:H9)</f>
        <v>47955202.219999999</v>
      </c>
      <c r="J9" s="5">
        <f>'Shares(FIFO) '!G5</f>
        <v>0</v>
      </c>
      <c r="K9" s="5">
        <f>I9+J9</f>
        <v>47955202.219999999</v>
      </c>
    </row>
    <row r="10" spans="1:16" x14ac:dyDescent="0.25">
      <c r="A10" s="4" t="s">
        <v>94</v>
      </c>
      <c r="B10" s="5">
        <f>-SUMIF('Stk '!$A:$A,COGS!B7,'Stk '!$F:$F)</f>
        <v>-2768029.6499999994</v>
      </c>
      <c r="C10" s="5">
        <f>-SUMIF('Stk '!$A:$A,COGS!C7,'Stk '!$F:$F)</f>
        <v>-1234703.4500000002</v>
      </c>
      <c r="D10" s="5">
        <f>-SUMIF('Stk '!$A:$A,COGS!D7,'Stk '!$F:$F)</f>
        <v>-632858.89</v>
      </c>
      <c r="E10" s="5">
        <f>-SUMIF('Stk '!$A:$A,COGS!E7,'Stk '!$F:$F)</f>
        <v>0</v>
      </c>
      <c r="F10" s="5">
        <f>-SUMIF('Stk '!$A:$A,COGS!F7,'Stk '!$F:$F)</f>
        <v>0</v>
      </c>
      <c r="G10" s="5">
        <f>-SUMIF('Stk '!$A:$A,COGS!G7,'Stk '!$F:$F)</f>
        <v>0</v>
      </c>
      <c r="H10" s="5">
        <f>-SUMIF('Stk '!$A:$A,COGS!H7,'Stk '!$F:$F)</f>
        <v>-5589254.8700000001</v>
      </c>
      <c r="I10" s="5">
        <f>SUM(B10:H10)</f>
        <v>-10224846.859999999</v>
      </c>
      <c r="J10" s="5">
        <f>-'Shares(FIFO) '!P5</f>
        <v>-4972396.53</v>
      </c>
      <c r="K10" s="5">
        <f>I10+J10</f>
        <v>-15197243.390000001</v>
      </c>
    </row>
    <row r="11" spans="1:16" x14ac:dyDescent="0.25">
      <c r="A11" s="6" t="s">
        <v>95</v>
      </c>
      <c r="B11" s="43">
        <f>SUM(B8:B10)</f>
        <v>0</v>
      </c>
      <c r="C11" s="43">
        <f>SUM(C8:C10)</f>
        <v>28434.719999999972</v>
      </c>
      <c r="D11" s="43">
        <f>SUM(D8:D10)</f>
        <v>16865.54999999993</v>
      </c>
      <c r="E11" s="43">
        <f t="shared" ref="E11:K11" si="0">SUM(E8:E10)</f>
        <v>0</v>
      </c>
      <c r="F11" s="43">
        <f t="shared" si="0"/>
        <v>0</v>
      </c>
      <c r="G11" s="43">
        <f t="shared" si="0"/>
        <v>16540</v>
      </c>
      <c r="H11" s="43">
        <f t="shared" si="0"/>
        <v>69588311.75999999</v>
      </c>
      <c r="I11" s="43">
        <f>SUM(I8:I10)</f>
        <v>69650152.030000001</v>
      </c>
      <c r="J11" s="43">
        <f>SUM(J8:J10)</f>
        <v>0</v>
      </c>
      <c r="K11" s="43">
        <f t="shared" si="0"/>
        <v>69650152.029999986</v>
      </c>
    </row>
    <row r="12" spans="1:16" x14ac:dyDescent="0.25">
      <c r="O12" s="41"/>
      <c r="P12" s="50"/>
    </row>
    <row r="13" spans="1:16" x14ac:dyDescent="0.25">
      <c r="A13" s="1" t="s">
        <v>91</v>
      </c>
      <c r="B13" s="1" t="str">
        <f>'P&amp;L'!N5</f>
        <v>(April to Mar)</v>
      </c>
    </row>
    <row r="14" spans="1:16" ht="42.75" x14ac:dyDescent="0.25">
      <c r="A14" s="32" t="s">
        <v>26</v>
      </c>
      <c r="B14" s="33" t="s">
        <v>2</v>
      </c>
      <c r="C14" s="33" t="s">
        <v>3</v>
      </c>
      <c r="D14" s="33" t="s">
        <v>4</v>
      </c>
      <c r="E14" s="33" t="s">
        <v>5</v>
      </c>
      <c r="F14" s="33" t="s">
        <v>6</v>
      </c>
      <c r="G14" s="33" t="s">
        <v>7</v>
      </c>
      <c r="H14" s="33" t="s">
        <v>9</v>
      </c>
      <c r="I14" s="34" t="s">
        <v>10</v>
      </c>
      <c r="J14" s="35" t="s">
        <v>11</v>
      </c>
      <c r="K14" s="36" t="s">
        <v>12</v>
      </c>
    </row>
    <row r="15" spans="1:16" x14ac:dyDescent="0.25">
      <c r="A15" s="4" t="s">
        <v>92</v>
      </c>
      <c r="B15" s="5">
        <f>SUMIF('Stk YTD'!$A:$A,COGS!B$14,'Stk YTD'!$C:$C)</f>
        <v>4273691.0199999996</v>
      </c>
      <c r="C15" s="5">
        <f>SUMIF('Stk YTD'!$A:$A,COGS!C$14,'Stk YTD'!$C:$C)</f>
        <v>2101860.2799999998</v>
      </c>
      <c r="D15" s="5">
        <f>SUMIF('Stk YTD'!$A:$A,COGS!D$14,'Stk YTD'!$C:$C)</f>
        <v>14777042.890000001</v>
      </c>
      <c r="E15" s="5">
        <f>SUMIF('Stk YTD'!$A:$A,COGS!E$14,'Stk YTD'!$C:$C)</f>
        <v>0</v>
      </c>
      <c r="F15" s="5">
        <f>SUMIF('Stk YTD'!$A:$A,COGS!F$14,'Stk YTD'!$C:$C)</f>
        <v>0</v>
      </c>
      <c r="G15" s="5">
        <f>SUMIF('Stk YTD'!$A:$A,COGS!G$14,'Stk YTD'!$C:$C)</f>
        <v>0</v>
      </c>
      <c r="H15" s="5">
        <f>SUMIF('Stk YTD'!$A:$A,COGS!H$14,'Stk YTD'!$C:$C)</f>
        <v>0</v>
      </c>
      <c r="I15" s="5">
        <f>SUM(B15:H15)</f>
        <v>21152594.189999998</v>
      </c>
      <c r="J15" s="5">
        <f>'Shares FIFO YTD'!D5</f>
        <v>4972396.53</v>
      </c>
      <c r="K15" s="5">
        <f>I15+J15</f>
        <v>26124990.719999999</v>
      </c>
    </row>
    <row r="16" spans="1:16" x14ac:dyDescent="0.25">
      <c r="A16" s="4" t="s">
        <v>93</v>
      </c>
      <c r="B16" s="5">
        <f>SUMIFS('List of Ledgers '!$Q:$Q,'List of Ledgers '!$F:$F,COGS!$A$9,'List of Ledgers '!$G:$G,COGS!B14)</f>
        <v>326142</v>
      </c>
      <c r="C16" s="5">
        <f>SUMIFS('List of Ledgers '!$Q:$Q,'List of Ledgers '!$F:$F,COGS!$A$9,'List of Ledgers '!$G:$G,COGS!C14)</f>
        <v>275057.52</v>
      </c>
      <c r="D16" s="5">
        <f>SUMIFS('List of Ledgers '!$Q:$Q,'List of Ledgers '!$F:$F,COGS!$A$9,'List of Ledgers '!$G:$G,COGS!D14)</f>
        <v>87535550.280000001</v>
      </c>
      <c r="E16" s="5">
        <f>SUMIFS('List of Ledgers '!$Q:$Q,'List of Ledgers '!$F:$F,COGS!$A$9,'List of Ledgers '!$G:$G,COGS!E14)</f>
        <v>0</v>
      </c>
      <c r="F16" s="5">
        <f>SUMIFS('List of Ledgers '!$Q:$Q,'List of Ledgers '!$F:$F,COGS!$A$9,'List of Ledgers '!$G:$G,COGS!F14)</f>
        <v>0</v>
      </c>
      <c r="G16" s="5">
        <f>SUMIFS('List of Ledgers '!$Q:$Q,'List of Ledgers '!$F:$F,COGS!$A$9,'List of Ledgers '!$G:$G,COGS!G14)</f>
        <v>17570</v>
      </c>
      <c r="H16" s="5">
        <f>SUMIFS('List of Ledgers '!$Q:$Q,'List of Ledgers '!$F:$F,COGS!$A$9,'List of Ledgers '!$G:$G,COGS!H14)</f>
        <v>116243648.33</v>
      </c>
      <c r="I16" s="5">
        <f>SUM(B16:H16)</f>
        <v>204397968.13</v>
      </c>
      <c r="J16" s="5">
        <f>'Shares FIFO YTD'!G5</f>
        <v>0</v>
      </c>
      <c r="K16" s="5">
        <f>I16+J16</f>
        <v>204397968.13</v>
      </c>
    </row>
    <row r="17" spans="1:11" x14ac:dyDescent="0.25">
      <c r="A17" s="4" t="s">
        <v>94</v>
      </c>
      <c r="B17" s="5">
        <f>-SUMIF('Stk YTD'!$A:$A,COGS!B$14,'Stk YTD'!$F:$F)</f>
        <v>-2768029.6499999994</v>
      </c>
      <c r="C17" s="5">
        <f>-SUMIF('Stk YTD'!$A:$A,COGS!C$14,'Stk YTD'!$F:$F)</f>
        <v>-1867562.34</v>
      </c>
      <c r="D17" s="5">
        <f>-SUMIF('Stk YTD'!$A:$A,COGS!D$14,'Stk YTD'!$F:$F)</f>
        <v>0</v>
      </c>
      <c r="E17" s="5">
        <f>-SUMIF('Stk YTD'!$A:$A,COGS!E$14,'Stk YTD'!$F:$F)</f>
        <v>0</v>
      </c>
      <c r="F17" s="5">
        <f>-SUMIF('Stk YTD'!$A:$A,COGS!F$14,'Stk YTD'!$F:$F)</f>
        <v>0</v>
      </c>
      <c r="G17" s="5">
        <f>-SUMIF('Stk YTD'!$A:$A,COGS!G$14,'Stk YTD'!$F:$F)</f>
        <v>0</v>
      </c>
      <c r="H17" s="5">
        <f>-SUMIF('Stk YTD'!$A:$A,COGS!H$14,'Stk YTD'!$F:$F)</f>
        <v>-5589254.8700000001</v>
      </c>
      <c r="I17" s="5">
        <f>SUM(B17:H17)</f>
        <v>-10224846.859999999</v>
      </c>
      <c r="J17" s="5">
        <f>-'Shares FIFO YTD'!P5</f>
        <v>-4972396.53</v>
      </c>
      <c r="K17" s="5">
        <f>SUM(I17:J17)</f>
        <v>-15197243.390000001</v>
      </c>
    </row>
    <row r="18" spans="1:11" x14ac:dyDescent="0.25">
      <c r="A18" s="6" t="s">
        <v>95</v>
      </c>
      <c r="B18" s="43">
        <f>SUM(B15:B17)</f>
        <v>1831803.37</v>
      </c>
      <c r="C18" s="43">
        <f t="shared" ref="C18:J18" si="1">SUM(C15:C17)</f>
        <v>509355.45999999973</v>
      </c>
      <c r="D18" s="43">
        <f t="shared" ref="D18" si="2">SUM(D15:D17)</f>
        <v>102312593.17</v>
      </c>
      <c r="E18" s="43">
        <f t="shared" si="1"/>
        <v>0</v>
      </c>
      <c r="F18" s="43">
        <f t="shared" si="1"/>
        <v>0</v>
      </c>
      <c r="G18" s="43">
        <f t="shared" si="1"/>
        <v>17570</v>
      </c>
      <c r="H18" s="43">
        <f t="shared" ref="H18" si="3">SUM(H15:H17)</f>
        <v>110654393.45999999</v>
      </c>
      <c r="I18" s="43">
        <f>SUM(I15:I17)</f>
        <v>215325715.45999998</v>
      </c>
      <c r="J18" s="43">
        <f t="shared" si="1"/>
        <v>0</v>
      </c>
      <c r="K18" s="43">
        <f>SUM(K15:K17)</f>
        <v>215325715.45999998</v>
      </c>
    </row>
  </sheetData>
  <pageMargins left="0.7" right="0.7" top="0.75" bottom="0.75" header="0.3" footer="0.3"/>
  <pageSetup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8"/>
  <sheetViews>
    <sheetView showGridLines="0" topLeftCell="A2" zoomScale="90" zoomScaleNormal="90" workbookViewId="0">
      <selection activeCell="N7" sqref="N7:N13"/>
    </sheetView>
  </sheetViews>
  <sheetFormatPr defaultColWidth="9.42578125" defaultRowHeight="15" x14ac:dyDescent="0.25"/>
  <cols>
    <col min="1" max="1" width="28.42578125" style="2" bestFit="1" customWidth="1"/>
    <col min="2" max="2" width="16" style="2" bestFit="1" customWidth="1"/>
    <col min="3" max="3" width="14.42578125" style="2" bestFit="1" customWidth="1"/>
    <col min="4" max="4" width="14.42578125" style="2" customWidth="1"/>
    <col min="5" max="5" width="16" style="2" hidden="1" customWidth="1"/>
    <col min="6" max="7" width="13.5703125" style="2" hidden="1" customWidth="1"/>
    <col min="8" max="8" width="13.42578125" style="2" bestFit="1" customWidth="1"/>
    <col min="9" max="9" width="14.42578125" style="2" bestFit="1" customWidth="1"/>
    <col min="10" max="10" width="13.42578125" style="2" bestFit="1" customWidth="1"/>
    <col min="11" max="11" width="16.42578125" style="41" bestFit="1" customWidth="1"/>
    <col min="12" max="12" width="14.42578125" style="41" bestFit="1" customWidth="1"/>
    <col min="13" max="13" width="16.42578125" style="41" bestFit="1" customWidth="1"/>
    <col min="14" max="14" width="9.42578125" style="2"/>
    <col min="15" max="15" width="14.42578125" style="2" bestFit="1" customWidth="1"/>
    <col min="16" max="16" width="12.5703125" style="2" bestFit="1" customWidth="1"/>
    <col min="17" max="16384" width="9.42578125" style="2"/>
  </cols>
  <sheetData>
    <row r="1" spans="1:16" x14ac:dyDescent="0.25">
      <c r="A1" s="1" t="str">
        <f>'P&amp;L'!A1</f>
        <v>M J P T &amp; Co LLP</v>
      </c>
      <c r="L1" s="18"/>
    </row>
    <row r="2" spans="1:16" x14ac:dyDescent="0.25">
      <c r="A2" s="1" t="str">
        <f>'P&amp;L'!A2</f>
        <v>Pristine Worldwide Private Limited</v>
      </c>
      <c r="L2" s="18"/>
    </row>
    <row r="3" spans="1:16" x14ac:dyDescent="0.25">
      <c r="A3" s="1"/>
      <c r="L3" s="18"/>
    </row>
    <row r="4" spans="1:16" x14ac:dyDescent="0.25">
      <c r="A4" s="1" t="str">
        <f>'P&amp;L'!A4</f>
        <v>P&amp;L Analysis</v>
      </c>
      <c r="L4" s="18"/>
    </row>
    <row r="5" spans="1:16" x14ac:dyDescent="0.25">
      <c r="A5" s="3" t="s">
        <v>81</v>
      </c>
      <c r="B5" s="1" t="str">
        <f>'P&amp;L'!N5</f>
        <v>(April to Mar)</v>
      </c>
    </row>
    <row r="6" spans="1:16" s="56" customFormat="1" ht="28.5" x14ac:dyDescent="0.25">
      <c r="A6" s="32" t="s">
        <v>26</v>
      </c>
      <c r="B6" s="33" t="s">
        <v>2</v>
      </c>
      <c r="C6" s="33" t="s">
        <v>3</v>
      </c>
      <c r="D6" s="33" t="s">
        <v>4</v>
      </c>
      <c r="E6" s="33" t="s">
        <v>82</v>
      </c>
      <c r="F6" s="33" t="s">
        <v>5</v>
      </c>
      <c r="G6" s="33" t="s">
        <v>6</v>
      </c>
      <c r="H6" s="33" t="s">
        <v>7</v>
      </c>
      <c r="I6" s="33" t="s">
        <v>8</v>
      </c>
      <c r="J6" s="33" t="s">
        <v>9</v>
      </c>
      <c r="K6" s="87" t="s">
        <v>10</v>
      </c>
      <c r="L6" s="88" t="s">
        <v>11</v>
      </c>
      <c r="M6" s="88" t="s">
        <v>12</v>
      </c>
    </row>
    <row r="7" spans="1:16" x14ac:dyDescent="0.25">
      <c r="A7" s="4" t="s">
        <v>27</v>
      </c>
      <c r="B7" s="5">
        <f>-GETPIVOTDATA("Closing YTD",Pivot!$A$18,"Head","1. Sales Accounts","Business Vertical","Bluestreak")</f>
        <v>1770750.32</v>
      </c>
      <c r="C7" s="5">
        <f>-GETPIVOTDATA("Closing YTD",Pivot!$A$18,"Head","1. Sales Accounts","Business Vertical","Clarus")</f>
        <v>837740.01</v>
      </c>
      <c r="D7" s="5">
        <f>-GETPIVOTDATA("Closing YTD",Pivot!$A$18,"Head","1. Sales Accounts","Business Vertical","IT")</f>
        <v>105815329.29000001</v>
      </c>
      <c r="E7" s="5"/>
      <c r="F7" s="5"/>
      <c r="G7" s="5"/>
      <c r="H7" s="5">
        <f>-GETPIVOTDATA("Closing YTD",Pivot!$A$18,"Head","1. Sales Accounts","Business Vertical","Common")</f>
        <v>0</v>
      </c>
      <c r="I7" s="5">
        <f>-GETPIVOTDATA("Closing YTD",Pivot!$A$18,"Head","1. Sales Accounts","Business Vertical","Spices - A to Z")</f>
        <v>0</v>
      </c>
      <c r="J7" s="5">
        <f>-GETPIVOTDATA("Closing YTD",Pivot!$A$18,"Head","1. Sales Accounts","Business Vertical","Spices - Vashi")-1124270</f>
        <v>119891778.17999999</v>
      </c>
      <c r="K7" s="5">
        <f>SUM(B7:J7)</f>
        <v>228315597.80000001</v>
      </c>
      <c r="L7" s="5">
        <f>'Shares FIFO YTD'!J5</f>
        <v>0</v>
      </c>
      <c r="M7" s="5">
        <f>K7+L7</f>
        <v>228315597.80000001</v>
      </c>
    </row>
    <row r="8" spans="1:16" x14ac:dyDescent="0.25">
      <c r="A8" s="4" t="s">
        <v>32</v>
      </c>
      <c r="B8" s="5">
        <f>-GETPIVOTDATA("Closing YTD",Pivot!$A$18,"Head","2. Indirect Income","Business Vertical","Bluestreak")</f>
        <v>0</v>
      </c>
      <c r="C8" s="5">
        <f>-GETPIVOTDATA("Closing YTD",Pivot!$A$18,"Head","2. Indirect Income","Business Vertical","Clarus")</f>
        <v>0</v>
      </c>
      <c r="D8" s="5">
        <f>-GETPIVOTDATA("Closing YTD",Pivot!$A$18,"Head","2. Indirect Income","Business Vertical","IT")</f>
        <v>17548744.239999998</v>
      </c>
      <c r="E8" s="5"/>
      <c r="F8" s="5"/>
      <c r="G8" s="5"/>
      <c r="H8" s="5">
        <f>-GETPIVOTDATA("Closing YTD",Pivot!$A$18,"Head","2. Indirect Income","Business Vertical","Common")</f>
        <v>691117.44</v>
      </c>
      <c r="I8" s="5">
        <f>-GETPIVOTDATA("Closing YTD",Pivot!$A$18,"Head","2. Indirect Income","Business Vertical","Spices - A to Z")</f>
        <v>200000</v>
      </c>
      <c r="J8" s="5">
        <f>-GETPIVOTDATA("Closing YTD",Pivot!$A$18,"Head","2. Indirect Income","Business Vertical","Spices - Vashi")</f>
        <v>0</v>
      </c>
      <c r="K8" s="5">
        <f>SUM(B8:J8)</f>
        <v>18439861.68</v>
      </c>
      <c r="L8" s="5">
        <f>-GETPIVOTDATA("Closing YTD",Pivot!$A$18,"Head","2. Indirect Income","Business Vertical","Share Trading")</f>
        <v>-211354.19999999995</v>
      </c>
      <c r="M8" s="5">
        <f>K8+L8</f>
        <v>18228507.48</v>
      </c>
      <c r="O8" s="41"/>
    </row>
    <row r="9" spans="1:16" x14ac:dyDescent="0.25">
      <c r="A9" s="4" t="s">
        <v>1289</v>
      </c>
      <c r="B9" s="5">
        <f>-GETPIVOTDATA("Closing YTD",Pivot!$A$18,"Head","3. Direct Expense","Business Vertical","Bluestreak")</f>
        <v>0</v>
      </c>
      <c r="C9" s="5">
        <f>-GETPIVOTDATA("Closing YTD",Pivot!$A$18,"Head","3. Direct Expense","Business Vertical","Clarus")</f>
        <v>0</v>
      </c>
      <c r="D9" s="5">
        <f>GETPIVOTDATA("Closing YTD",Pivot!$A$18,"Head","3. Direct Expense","Business Vertical","IT")</f>
        <v>621733.82000000007</v>
      </c>
      <c r="E9" s="5"/>
      <c r="F9" s="5"/>
      <c r="G9" s="5"/>
      <c r="H9" s="5">
        <f>GETPIVOTDATA("Closing YTD",Pivot!$A$18,"Head","3. Direct Expense","Business Vertical","Common")</f>
        <v>60190</v>
      </c>
      <c r="I9" s="5">
        <f>-GETPIVOTDATA("Closing YTD",Pivot!$A$18,"Head","3. Direct Expense","Business Vertical","Spices - A to Z")</f>
        <v>0</v>
      </c>
      <c r="J9" s="5">
        <f>GETPIVOTDATA("Closing YTD",Pivot!$A$18,"Head","3. Direct Expense","Business Vertical","Spices - Vashi")</f>
        <v>3182401.93</v>
      </c>
      <c r="K9" s="5">
        <f>SUM(B9:J9)</f>
        <v>3864325.75</v>
      </c>
      <c r="L9" s="5">
        <f>-GETPIVOTDATA("Closing YTD",Pivot!$A$18,"Head","3. Direct Expense","Business Vertical","Share Trading")</f>
        <v>0</v>
      </c>
      <c r="M9" s="5">
        <f>K9+L9</f>
        <v>3864325.75</v>
      </c>
      <c r="O9" s="41"/>
    </row>
    <row r="10" spans="1:16" x14ac:dyDescent="0.25">
      <c r="A10" s="4" t="s">
        <v>83</v>
      </c>
      <c r="B10" s="57">
        <f>SUMIF('Stk YTD'!$A:$A,'P&amp;L Summary'!B6,'Stk YTD'!$F:$F)</f>
        <v>2768029.6499999994</v>
      </c>
      <c r="C10" s="57">
        <f>SUMIF('Stk YTD'!$A:$A,'P&amp;L Summary'!C6,'Stk YTD'!$F:$F)</f>
        <v>1867562.34</v>
      </c>
      <c r="D10" s="57">
        <f>SUMIF('Stk YTD'!$A:$A,'P&amp;L Summary'!D6,'Stk YTD'!$F:$F)</f>
        <v>0</v>
      </c>
      <c r="E10" s="57"/>
      <c r="F10" s="5"/>
      <c r="G10" s="5"/>
      <c r="H10" s="5">
        <f>SUMIF('Stk YTD'!$A:$A,'P&amp;L Summary'!H6,'Stk YTD'!$F:$F)</f>
        <v>0</v>
      </c>
      <c r="I10" s="5">
        <f>SUMIF('Stk YTD'!$A:$A,'P&amp;L Summary'!I6,'Stk YTD'!$F:$F)</f>
        <v>0</v>
      </c>
      <c r="J10" s="5">
        <f>SUMIF('Stk YTD'!$A:$A,'P&amp;L Summary'!J6,'Stk YTD'!$F:$F)</f>
        <v>5589254.8700000001</v>
      </c>
      <c r="K10" s="5">
        <f>SUM(B10:J10)</f>
        <v>10224846.859999999</v>
      </c>
      <c r="L10" s="5">
        <f>'Shares FIFO YTD'!P5</f>
        <v>4972396.53</v>
      </c>
      <c r="M10" s="5">
        <f>K10+L10</f>
        <v>15197243.390000001</v>
      </c>
    </row>
    <row r="11" spans="1:16" x14ac:dyDescent="0.25">
      <c r="A11" s="51"/>
      <c r="B11" s="52">
        <f>B7+B8+B10-B9</f>
        <v>4538779.97</v>
      </c>
      <c r="C11" s="52">
        <f>C7+C8+C10-C9</f>
        <v>2705302.35</v>
      </c>
      <c r="D11" s="52">
        <f>D7+D8+D10-D9</f>
        <v>122742339.71000001</v>
      </c>
      <c r="E11" s="52"/>
      <c r="F11" s="52"/>
      <c r="G11" s="52"/>
      <c r="H11" s="52">
        <f t="shared" ref="H11:M11" si="0">H7+H8+H10-H9</f>
        <v>630927.43999999994</v>
      </c>
      <c r="I11" s="52">
        <f t="shared" si="0"/>
        <v>200000</v>
      </c>
      <c r="J11" s="52">
        <f t="shared" si="0"/>
        <v>122298631.11999999</v>
      </c>
      <c r="K11" s="52">
        <f t="shared" si="0"/>
        <v>253115980.59000003</v>
      </c>
      <c r="L11" s="52">
        <f t="shared" si="0"/>
        <v>4761042.33</v>
      </c>
      <c r="M11" s="52">
        <f t="shared" si="0"/>
        <v>257877022.92000002</v>
      </c>
    </row>
    <row r="12" spans="1:16" x14ac:dyDescent="0.25">
      <c r="A12" s="4" t="s">
        <v>84</v>
      </c>
      <c r="B12" s="5">
        <f>SUMIF('Stk YTD'!$A:$A,'P&amp;L Summary'!B6,'Stk YTD'!$C:$C)</f>
        <v>4273691.0199999996</v>
      </c>
      <c r="C12" s="5">
        <f>SUMIF('Stk YTD'!$A:$A,'P&amp;L Summary'!C6,'Stk YTD'!$C:$C)</f>
        <v>2101860.2799999998</v>
      </c>
      <c r="D12" s="5">
        <f>SUMIF('Stk YTD'!$A:$A,'P&amp;L Summary'!D6,'Stk YTD'!$C:$C)</f>
        <v>14777042.890000001</v>
      </c>
      <c r="E12" s="5"/>
      <c r="F12" s="5"/>
      <c r="G12" s="5"/>
      <c r="H12" s="5">
        <f>SUMIF('Stk YTD'!$A:$A,'P&amp;L Summary'!H6,'Stk YTD'!$C:$C)</f>
        <v>0</v>
      </c>
      <c r="I12" s="5">
        <f>SUMIF('Stk YTD'!$A:$A,'P&amp;L Summary'!I6,'Stk YTD'!$C:$C)</f>
        <v>0</v>
      </c>
      <c r="J12" s="5">
        <f>SUMIF('Stk YTD'!$A:$A,'P&amp;L Summary'!J6,'Stk YTD'!$C:$C)</f>
        <v>0</v>
      </c>
      <c r="K12" s="5">
        <f>SUM(B12:J12)</f>
        <v>21152594.189999998</v>
      </c>
      <c r="L12" s="5">
        <f>'Shares FIFO YTD'!D5</f>
        <v>4972396.53</v>
      </c>
      <c r="M12" s="5">
        <f>K12+L12</f>
        <v>26124990.719999999</v>
      </c>
    </row>
    <row r="13" spans="1:16" x14ac:dyDescent="0.25">
      <c r="A13" s="4" t="s">
        <v>85</v>
      </c>
      <c r="B13" s="5">
        <f>GETPIVOTDATA("Closing YTD",Pivot!$A$18,"Head","5. Purchase Accounts","Business Vertical","Bluestreak")</f>
        <v>326142</v>
      </c>
      <c r="C13" s="5">
        <f>GETPIVOTDATA("Closing YTD",Pivot!$A$18,"Head","5. Purchase Accounts","Business Vertical","Clarus")</f>
        <v>275057.52</v>
      </c>
      <c r="D13" s="5">
        <f>GETPIVOTDATA("Closing YTD",Pivot!$A$18,"Head","5. Purchase Accounts","Business Vertical","IT")</f>
        <v>87535550.280000001</v>
      </c>
      <c r="E13" s="5"/>
      <c r="F13" s="5"/>
      <c r="G13" s="5"/>
      <c r="H13" s="5">
        <f>GETPIVOTDATA("Closing YTD",Pivot!$A$18,"Head","5. Purchase Accounts","Business Vertical","Common")</f>
        <v>17570</v>
      </c>
      <c r="I13" s="5">
        <f>GETPIVOTDATA("Closing YTD",Pivot!$A$18,"Head","5. Purchase Accounts","Business Vertical","Spices - A to Z")</f>
        <v>0</v>
      </c>
      <c r="J13" s="5">
        <f>GETPIVOTDATA("Closing YTD",Pivot!$A$18,"Head","5. Purchase Accounts","Business Vertical","Spices - Vashi")</f>
        <v>116243648.33</v>
      </c>
      <c r="K13" s="5">
        <f>SUM(B13:J13)</f>
        <v>204397968.13</v>
      </c>
      <c r="L13" s="5">
        <f>'Shares FIFO YTD'!G5</f>
        <v>0</v>
      </c>
      <c r="M13" s="5">
        <f>K13+L13</f>
        <v>204397968.13</v>
      </c>
      <c r="O13" s="41"/>
      <c r="P13" s="41"/>
    </row>
    <row r="14" spans="1:16" x14ac:dyDescent="0.25">
      <c r="A14" s="4" t="s">
        <v>86</v>
      </c>
      <c r="B14" s="5">
        <f>GETPIVOTDATA("Closing YTD",Pivot!$A$18,"Head","6. Indirect Expense","Business Vertical","Bluestreak")</f>
        <v>20850</v>
      </c>
      <c r="C14" s="5">
        <f>GETPIVOTDATA("Closing YTD",Pivot!$A$18,"Head","6. Indirect Expense","Business Vertical","Clarus")</f>
        <v>98226.57</v>
      </c>
      <c r="D14" s="5">
        <f>GETPIVOTDATA("Closing YTD",Pivot!$A$18,"Head","6. Indirect Expense","Business Vertical","IT")</f>
        <v>3051552.71</v>
      </c>
      <c r="E14" s="5"/>
      <c r="F14" s="5">
        <f>GETPIVOTDATA("Closing YTD",Pivot!$A$18,"Head","6. Indirect Expense","Business Vertical","Factory")</f>
        <v>0</v>
      </c>
      <c r="G14" s="5"/>
      <c r="H14" s="5">
        <f>GETPIVOTDATA("Closing YTD",Pivot!$A$18,"Head","6. Indirect Expense","Business Vertical","Common")</f>
        <v>9641656.2899999991</v>
      </c>
      <c r="I14" s="5">
        <f>GETPIVOTDATA("Closing YTD",Pivot!$A$18,"Head","6. Indirect Expense","Business Vertical","Spices - A to Z")</f>
        <v>6733716.4000000004</v>
      </c>
      <c r="J14" s="5">
        <f>GETPIVOTDATA("Closing YTD",Pivot!$A$18,"Head","6. Indirect Expense","Business Vertical","Spices - Vashi")</f>
        <v>3779085.65</v>
      </c>
      <c r="K14" s="5">
        <f>SUM(B14:J14)</f>
        <v>23325087.619999997</v>
      </c>
      <c r="L14" s="5">
        <f>GETPIVOTDATA("Closing YTD",Pivot!$A$18,"Head","6. Indirect Expense","Business Vertical","Share Trading")</f>
        <v>460.59</v>
      </c>
      <c r="M14" s="5">
        <f>K14+L14</f>
        <v>23325548.209999997</v>
      </c>
      <c r="O14" s="41"/>
      <c r="P14" s="41"/>
    </row>
    <row r="15" spans="1:16" x14ac:dyDescent="0.25">
      <c r="A15" s="53" t="s">
        <v>36</v>
      </c>
      <c r="B15" s="54">
        <f t="shared" ref="B15:M15" si="1">B11-SUM(B12:B14)</f>
        <v>-81903.049999999814</v>
      </c>
      <c r="C15" s="54">
        <f t="shared" si="1"/>
        <v>230157.98000000045</v>
      </c>
      <c r="D15" s="54">
        <f t="shared" si="1"/>
        <v>17378193.830000013</v>
      </c>
      <c r="E15" s="54"/>
      <c r="F15" s="54"/>
      <c r="G15" s="54"/>
      <c r="H15" s="54">
        <f t="shared" si="1"/>
        <v>-9028298.8499999996</v>
      </c>
      <c r="I15" s="54">
        <f>I11-SUM(I12:I14)</f>
        <v>-6533716.4000000004</v>
      </c>
      <c r="J15" s="54">
        <f t="shared" ref="J15" si="2">J11-SUM(J12:J14)</f>
        <v>2275897.1399999857</v>
      </c>
      <c r="K15" s="54">
        <f>K11-SUM(K12:K14)</f>
        <v>4240330.6500000358</v>
      </c>
      <c r="L15" s="54">
        <f t="shared" si="1"/>
        <v>-211814.79000000004</v>
      </c>
      <c r="M15" s="54">
        <f t="shared" si="1"/>
        <v>4028515.8600000143</v>
      </c>
      <c r="P15" s="50"/>
    </row>
    <row r="16" spans="1:16" x14ac:dyDescent="0.25">
      <c r="A16" s="53" t="s">
        <v>87</v>
      </c>
      <c r="B16" s="89">
        <f>SUM($F$13:$H$14)/5</f>
        <v>1931845.2579999999</v>
      </c>
      <c r="C16" s="89">
        <f>SUM($F$13:$H$14)/5</f>
        <v>1931845.2579999999</v>
      </c>
      <c r="D16" s="89">
        <f>SUM($F$13:$H$14)/5</f>
        <v>1931845.2579999999</v>
      </c>
      <c r="E16" s="89" t="s">
        <v>88</v>
      </c>
      <c r="F16" s="54"/>
      <c r="G16" s="54"/>
      <c r="H16" s="54">
        <f>-(H13+H14)</f>
        <v>-9659226.2899999991</v>
      </c>
      <c r="I16" s="89">
        <f>SUM($F$13:$H$14)/5</f>
        <v>1931845.2579999999</v>
      </c>
      <c r="J16" s="89">
        <f>SUM($F$13:$H$14)/5</f>
        <v>1931845.2579999999</v>
      </c>
      <c r="K16" s="54">
        <f>SUM(B16:J16)</f>
        <v>0</v>
      </c>
      <c r="L16" s="54">
        <v>0</v>
      </c>
      <c r="M16" s="54">
        <v>0</v>
      </c>
    </row>
    <row r="17" spans="1:16" x14ac:dyDescent="0.25">
      <c r="A17" s="4" t="s">
        <v>89</v>
      </c>
      <c r="B17" s="155">
        <f>SUM($F$8:$H$8)/5</f>
        <v>138223.48799999998</v>
      </c>
      <c r="C17" s="155">
        <f>SUM($F$8:$H$8)/5</f>
        <v>138223.48799999998</v>
      </c>
      <c r="D17" s="155">
        <f>SUM($F$8:$H$8)/5</f>
        <v>138223.48799999998</v>
      </c>
      <c r="E17" s="155"/>
      <c r="F17" s="5"/>
      <c r="G17" s="5"/>
      <c r="H17" s="5">
        <f>-H8</f>
        <v>-691117.44</v>
      </c>
      <c r="I17" s="155">
        <f>SUM($F$8:$H$8)/5</f>
        <v>138223.48799999998</v>
      </c>
      <c r="J17" s="155">
        <f>SUM($F$8:$H$8)/5</f>
        <v>138223.48799999998</v>
      </c>
      <c r="K17" s="5">
        <f>SUM(B17:J17)</f>
        <v>0</v>
      </c>
      <c r="L17" s="5"/>
      <c r="M17" s="5"/>
      <c r="O17" s="41"/>
      <c r="P17" s="50"/>
    </row>
    <row r="18" spans="1:16" x14ac:dyDescent="0.25">
      <c r="A18" s="6" t="s">
        <v>90</v>
      </c>
      <c r="B18" s="55">
        <f>B15-B16+B17</f>
        <v>-1875524.8199999998</v>
      </c>
      <c r="C18" s="55">
        <f>C15-C16+C17</f>
        <v>-1563463.7899999996</v>
      </c>
      <c r="D18" s="55">
        <f>D15-D16+D17</f>
        <v>15584572.060000014</v>
      </c>
      <c r="E18" s="160"/>
      <c r="F18" s="55"/>
      <c r="G18" s="55"/>
      <c r="H18" s="55">
        <f t="shared" ref="H18" si="3">H15-H16+H17</f>
        <v>-60190.000000000466</v>
      </c>
      <c r="I18" s="55">
        <f>I15-I16+I17</f>
        <v>-8327338.1699999999</v>
      </c>
      <c r="J18" s="55">
        <f>J15-J16+J17</f>
        <v>482275.36999998579</v>
      </c>
      <c r="K18" s="55">
        <f>SUM(B18:J18)</f>
        <v>4240330.6500000004</v>
      </c>
      <c r="L18" s="55">
        <f>SUM(L15:L16)</f>
        <v>-211814.79000000004</v>
      </c>
      <c r="M18" s="55">
        <f>SUM(M15:M16)</f>
        <v>4028515.8600000143</v>
      </c>
    </row>
    <row r="19" spans="1:16" x14ac:dyDescent="0.25">
      <c r="B19" s="15"/>
      <c r="C19" s="15"/>
      <c r="D19" s="15"/>
      <c r="E19" s="15"/>
      <c r="K19" s="15">
        <f>K18-L19</f>
        <v>4028515.8600000003</v>
      </c>
      <c r="L19" s="15">
        <f>L14-L8</f>
        <v>211814.78999999995</v>
      </c>
    </row>
    <row r="20" spans="1:16" x14ac:dyDescent="0.25">
      <c r="B20" s="50"/>
      <c r="C20" s="50"/>
      <c r="D20" s="50"/>
      <c r="E20" s="50"/>
      <c r="K20" s="99">
        <v>4028515.86</v>
      </c>
    </row>
    <row r="21" spans="1:16" x14ac:dyDescent="0.25">
      <c r="G21" s="2" t="s">
        <v>77</v>
      </c>
      <c r="K21" s="15">
        <f>K19-K20</f>
        <v>0</v>
      </c>
      <c r="L21" s="103"/>
    </row>
    <row r="22" spans="1:16" x14ac:dyDescent="0.25">
      <c r="A22" s="3" t="s">
        <v>81</v>
      </c>
      <c r="B22" s="58" t="str">
        <f>'P&amp;L'!L5</f>
        <v>Mar'26</v>
      </c>
    </row>
    <row r="23" spans="1:16" s="56" customFormat="1" ht="28.5" x14ac:dyDescent="0.25">
      <c r="A23" s="32" t="s">
        <v>26</v>
      </c>
      <c r="B23" s="33" t="s">
        <v>2</v>
      </c>
      <c r="C23" s="33" t="s">
        <v>3</v>
      </c>
      <c r="D23" s="33" t="s">
        <v>4</v>
      </c>
      <c r="E23" s="33" t="s">
        <v>82</v>
      </c>
      <c r="F23" s="33" t="s">
        <v>5</v>
      </c>
      <c r="G23" s="33" t="s">
        <v>6</v>
      </c>
      <c r="H23" s="33" t="s">
        <v>7</v>
      </c>
      <c r="I23" s="33" t="s">
        <v>8</v>
      </c>
      <c r="J23" s="33" t="s">
        <v>9</v>
      </c>
      <c r="K23" s="87" t="s">
        <v>10</v>
      </c>
      <c r="L23" s="88" t="s">
        <v>11</v>
      </c>
      <c r="M23" s="88" t="s">
        <v>12</v>
      </c>
    </row>
    <row r="24" spans="1:16" x14ac:dyDescent="0.25">
      <c r="A24" s="4" t="s">
        <v>27</v>
      </c>
      <c r="B24" s="5">
        <f>-GETPIVOTDATA("Closing",Pivot!$A$4,"Head","1. Sales Accounts","Business Vertical","Bluestreak")</f>
        <v>0</v>
      </c>
      <c r="C24" s="5">
        <f>-GETPIVOTDATA("Closing",Pivot!$A$4,"Head","1. Sales Accounts","Business Vertical","Clarus")</f>
        <v>28434.720000000001</v>
      </c>
      <c r="D24" s="5">
        <f>-GETPIVOTDATA("Closing",Pivot!$A$4,"Head","1. Sales Accounts","Business Vertical","IT")</f>
        <v>0</v>
      </c>
      <c r="E24" s="5"/>
      <c r="F24" s="5"/>
      <c r="G24" s="5"/>
      <c r="H24" s="5">
        <f>-GETPIVOTDATA("Closing",Pivot!$A$4,"Head","1. Sales Accounts","Business Vertical","Common")</f>
        <v>0</v>
      </c>
      <c r="I24" s="5">
        <f>-GETPIVOTDATA("Closing",Pivot!$A$4,"Head","1. Sales Accounts","Business Vertical","Spices - A to Z")</f>
        <v>0</v>
      </c>
      <c r="J24" s="5">
        <f>-GETPIVOTDATA("Closing",Pivot!$A$4,"Head","1. Sales Accounts","Business Vertical","Spices - Vashi")</f>
        <v>75012624.840000004</v>
      </c>
      <c r="K24" s="5">
        <f>SUM(B24:J24)</f>
        <v>75041059.560000002</v>
      </c>
      <c r="L24" s="5">
        <f>'Shares(FIFO) '!J5</f>
        <v>0</v>
      </c>
      <c r="M24" s="5">
        <f>K24+L24</f>
        <v>75041059.560000002</v>
      </c>
    </row>
    <row r="25" spans="1:16" x14ac:dyDescent="0.25">
      <c r="A25" s="4" t="s">
        <v>32</v>
      </c>
      <c r="B25" s="5">
        <f>-GETPIVOTDATA("Closing",Pivot!$A$4,"Head","2. Indirect Income","Business Vertical","Bluestreak")</f>
        <v>0</v>
      </c>
      <c r="C25" s="5">
        <f>-GETPIVOTDATA("Closing",Pivot!$A$4,"Head","2. Indirect Income","Business Vertical","Clarus")</f>
        <v>0</v>
      </c>
      <c r="D25" s="5">
        <f>-GETPIVOTDATA("Closing",Pivot!$A$4,"Head","2. Indirect Income","Business Vertical","IT")</f>
        <v>17000000</v>
      </c>
      <c r="E25" s="5"/>
      <c r="F25" s="5"/>
      <c r="G25" s="5"/>
      <c r="H25" s="5">
        <f>-GETPIVOTDATA("Closing",Pivot!$A$4,"Head","2. Indirect Income","Business Vertical","Common")</f>
        <v>0</v>
      </c>
      <c r="I25" s="5">
        <f>-GETPIVOTDATA("Closing",Pivot!$A$4,"Head","2. Indirect Income","Business Vertical","Spices - A to Z")</f>
        <v>200000</v>
      </c>
      <c r="J25" s="5">
        <f>-GETPIVOTDATA("Closing",Pivot!$A$4,"Head","2. Indirect Income","Business Vertical","Spices - Vashi")</f>
        <v>0</v>
      </c>
      <c r="K25" s="5">
        <f>SUM(B25:J25)</f>
        <v>17200000</v>
      </c>
      <c r="L25" s="5">
        <f>-GETPIVOTDATA("Closing",Pivot!$A$4,"Head","2. Indirect Income","Business Vertical","Share Trading")</f>
        <v>0</v>
      </c>
      <c r="M25" s="5">
        <f>K25+L25</f>
        <v>17200000</v>
      </c>
    </row>
    <row r="26" spans="1:16" x14ac:dyDescent="0.25">
      <c r="A26" s="4" t="s">
        <v>1289</v>
      </c>
      <c r="B26" s="5">
        <f>-GETPIVOTDATA("Closing",Pivot!$A$4,"Head","3. Direct Expense","Business Vertical","Bluestreak")</f>
        <v>0</v>
      </c>
      <c r="C26" s="5">
        <f>-GETPIVOTDATA("Closing",Pivot!$A$4,"Head","3. Direct Expense","Business Vertical","Clarus")</f>
        <v>0</v>
      </c>
      <c r="D26" s="5">
        <f>GETPIVOTDATA("Closing",Pivot!$A$4,"Head","3. Direct Expense","Business Vertical","IT")</f>
        <v>79554.92</v>
      </c>
      <c r="E26" s="5"/>
      <c r="F26" s="5"/>
      <c r="G26" s="5"/>
      <c r="H26" s="5">
        <f>GETPIVOTDATA("Closing",Pivot!$A$4,"Head","3. Direct Expense","Business Vertical","Common")</f>
        <v>18510</v>
      </c>
      <c r="I26" s="5">
        <f>GETPIVOTDATA("Closing",Pivot!$A$4,"Head","3. Direct Expense","Business Vertical","Spices - A to Z")</f>
        <v>0</v>
      </c>
      <c r="J26" s="5">
        <f>GETPIVOTDATA("Closing",Pivot!$A$4,"Head","3. Direct Expense","Business Vertical","Spices - Vashi")</f>
        <v>1684002.99</v>
      </c>
      <c r="K26" s="5">
        <f>SUM(B26:J26)</f>
        <v>1782067.91</v>
      </c>
      <c r="L26" s="5">
        <f>GETPIVOTDATA("Closing",Pivot!$A$4,"Head","3. Direct Expense","Business Vertical","Share Trading")</f>
        <v>0</v>
      </c>
      <c r="M26" s="5">
        <f>K26+L26</f>
        <v>1782067.91</v>
      </c>
    </row>
    <row r="27" spans="1:16" x14ac:dyDescent="0.25">
      <c r="A27" s="4" t="s">
        <v>83</v>
      </c>
      <c r="B27" s="57">
        <f>SUMIF('Stk '!$A:$A,'P&amp;L Summary'!B23,'Stk '!$F:$F)</f>
        <v>2768029.6499999994</v>
      </c>
      <c r="C27" s="57">
        <f>SUMIF('Stk '!$A:$A,'P&amp;L Summary'!C23,'Stk '!$F:$F)</f>
        <v>1234703.4500000002</v>
      </c>
      <c r="D27" s="57">
        <f>SUMIF('Stk '!$A:$A,'P&amp;L Summary'!D23,'Stk '!$F:$F)</f>
        <v>632858.89</v>
      </c>
      <c r="E27" s="57"/>
      <c r="F27" s="5"/>
      <c r="G27" s="5"/>
      <c r="H27" s="5">
        <f>SUMIF('Stk '!$A:$A,'P&amp;L Summary'!H23,'Stk '!$F:$F)</f>
        <v>0</v>
      </c>
      <c r="I27" s="5">
        <f>SUMIF('Stk '!$A:$A,'P&amp;L Summary'!I23,'Stk '!$F:$F)</f>
        <v>0</v>
      </c>
      <c r="J27" s="5">
        <f>SUMIF('Stk '!$A:$A,'P&amp;L Summary'!J23,'Stk '!$F:$F)</f>
        <v>5589254.8700000001</v>
      </c>
      <c r="K27" s="5">
        <f>SUM(B27:J27)</f>
        <v>10224846.859999999</v>
      </c>
      <c r="L27" s="5">
        <f>'Shares(FIFO) '!P5</f>
        <v>4972396.53</v>
      </c>
      <c r="M27" s="5">
        <f>K27+L27</f>
        <v>15197243.390000001</v>
      </c>
    </row>
    <row r="28" spans="1:16" x14ac:dyDescent="0.25">
      <c r="A28" s="51"/>
      <c r="B28" s="52">
        <f>B24+B25+B27-B26</f>
        <v>2768029.6499999994</v>
      </c>
      <c r="C28" s="52">
        <f>C24+C25+C27-C26</f>
        <v>1263138.1700000002</v>
      </c>
      <c r="D28" s="52">
        <f>D24+D25+D27-D26</f>
        <v>17553303.969999999</v>
      </c>
      <c r="E28" s="120"/>
      <c r="F28" s="52"/>
      <c r="G28" s="52"/>
      <c r="H28" s="52">
        <f t="shared" ref="H28:M28" si="4">H24+H25+H27-H26</f>
        <v>-18510</v>
      </c>
      <c r="I28" s="52">
        <f t="shared" si="4"/>
        <v>200000</v>
      </c>
      <c r="J28" s="52">
        <f t="shared" si="4"/>
        <v>78917876.720000014</v>
      </c>
      <c r="K28" s="52">
        <f t="shared" si="4"/>
        <v>100683838.51000001</v>
      </c>
      <c r="L28" s="52">
        <f t="shared" si="4"/>
        <v>4972396.53</v>
      </c>
      <c r="M28" s="52">
        <f t="shared" si="4"/>
        <v>105656235.04000001</v>
      </c>
    </row>
    <row r="29" spans="1:16" x14ac:dyDescent="0.25">
      <c r="A29" s="4" t="s">
        <v>84</v>
      </c>
      <c r="B29" s="57">
        <f>SUMIF('Stk '!$A:$A,'P&amp;L Summary'!B23,'Stk '!$C:$C)</f>
        <v>2768029.6499999994</v>
      </c>
      <c r="C29" s="57">
        <f>SUMIF('Stk '!$A:$A,'P&amp;L Summary'!C23,'Stk '!$C:$C)</f>
        <v>1234703.4500000002</v>
      </c>
      <c r="D29" s="57">
        <f>SUMIF('Stk '!$A:$A,'P&amp;L Summary'!D23,'Stk '!$C:$C)</f>
        <v>649724.43999999994</v>
      </c>
      <c r="E29" s="57"/>
      <c r="F29" s="5"/>
      <c r="G29" s="5"/>
      <c r="H29" s="5">
        <f>SUMIF('Stk '!$A:$A,'P&amp;L Summary'!H23,'Stk '!$C:$C)</f>
        <v>0</v>
      </c>
      <c r="I29" s="5">
        <f>SUMIF('Stk '!$A:$A,'P&amp;L Summary'!I23,'Stk '!$C:$C)</f>
        <v>0</v>
      </c>
      <c r="J29" s="5">
        <f>SUMIF('Stk '!$A:$A,'P&amp;L Summary'!J23,'Stk '!$C:$C)</f>
        <v>27267339.129999999</v>
      </c>
      <c r="K29" s="5">
        <f>SUM(B29:J29)</f>
        <v>31919796.669999998</v>
      </c>
      <c r="L29" s="5">
        <f>'Shares(FIFO) '!D5</f>
        <v>4972396.53</v>
      </c>
      <c r="M29" s="5">
        <f>K29+L29</f>
        <v>36892193.199999996</v>
      </c>
    </row>
    <row r="30" spans="1:16" x14ac:dyDescent="0.25">
      <c r="A30" s="4" t="s">
        <v>85</v>
      </c>
      <c r="B30" s="57">
        <f>GETPIVOTDATA("Closing",Pivot!$A$4,"Head","5. Purchase Accounts","Business Vertical","Bluestreak")</f>
        <v>0</v>
      </c>
      <c r="C30" s="57">
        <f>GETPIVOTDATA("Closing",Pivot!$A$4,"Head","5. Purchase Accounts","Business Vertical","Clarus")</f>
        <v>28434.720000000001</v>
      </c>
      <c r="D30" s="57">
        <f>GETPIVOTDATA("Closing",Pivot!$A$4,"Head","5. Purchase Accounts","Business Vertical","IT")</f>
        <v>0</v>
      </c>
      <c r="E30" s="57"/>
      <c r="F30" s="5"/>
      <c r="G30" s="5"/>
      <c r="H30" s="5">
        <f>GETPIVOTDATA("Closing",Pivot!$A$4,"Head","5. Purchase Accounts","Business Vertical","Common")</f>
        <v>16540</v>
      </c>
      <c r="I30" s="5">
        <f>GETPIVOTDATA("Closing",Pivot!$A$4,"Head","5. Purchase Accounts","Business Vertical","Spices - A to Z")</f>
        <v>0</v>
      </c>
      <c r="J30" s="5">
        <f>GETPIVOTDATA("Closing",Pivot!$A$4,"Head","5. Purchase Accounts","Business Vertical","Spices - Vashi")</f>
        <v>47910227.5</v>
      </c>
      <c r="K30" s="5">
        <f>SUM(B30:J30)</f>
        <v>47955202.219999999</v>
      </c>
      <c r="L30" s="5">
        <f>'Shares(FIFO) '!G5</f>
        <v>0</v>
      </c>
      <c r="M30" s="5">
        <f>K30+L30</f>
        <v>47955202.219999999</v>
      </c>
    </row>
    <row r="31" spans="1:16" x14ac:dyDescent="0.25">
      <c r="A31" s="4" t="s">
        <v>86</v>
      </c>
      <c r="B31" s="5">
        <f>GETPIVOTDATA("Closing",Pivot!$A$4,"Head","6. Indirect Expense","Business Vertical","Bluestreak")</f>
        <v>0</v>
      </c>
      <c r="C31" s="5">
        <f>GETPIVOTDATA("Closing",Pivot!$A$4,"Head","6. Indirect Expense","Business Vertical","Clarus")</f>
        <v>18401.57</v>
      </c>
      <c r="D31" s="5">
        <f>GETPIVOTDATA("Closing",Pivot!$A$4,"Head","6. Indirect Expense","Business Vertical","IT")</f>
        <v>123899.40000000001</v>
      </c>
      <c r="E31" s="5"/>
      <c r="F31" s="5">
        <f>GETPIVOTDATA("Closing",Pivot!$A$4,"Head","6. Indirect Expense","Business Vertical","Factory")</f>
        <v>0</v>
      </c>
      <c r="G31" s="5"/>
      <c r="H31" s="5">
        <f>GETPIVOTDATA("Closing",Pivot!$A$4,"Head","6. Indirect Expense","Business Vertical","Common")</f>
        <v>3160813.61</v>
      </c>
      <c r="I31" s="5">
        <f>GETPIVOTDATA("Closing",Pivot!$A$4,"Head","6. Indirect Expense","Business Vertical","Spices - A to Z")</f>
        <v>1037123</v>
      </c>
      <c r="J31" s="5">
        <f>GETPIVOTDATA("Closing",Pivot!$A$4,"Head","6. Indirect Expense","Business Vertical","Spices - Vashi")</f>
        <v>1372299.0799999998</v>
      </c>
      <c r="K31" s="5">
        <f>SUM(B31:J31)</f>
        <v>5712536.6600000001</v>
      </c>
      <c r="L31" s="5">
        <f>GETPIVOTDATA("Closing",Pivot!$A$4,"Head","6. Indirect Expense","Business Vertical","Share Trading")</f>
        <v>0</v>
      </c>
      <c r="M31" s="5">
        <f>K31+L31</f>
        <v>5712536.6600000001</v>
      </c>
      <c r="P31" s="7"/>
    </row>
    <row r="32" spans="1:16" x14ac:dyDescent="0.25">
      <c r="A32" s="53" t="s">
        <v>36</v>
      </c>
      <c r="B32" s="54">
        <f>B28-SUM(B29:B31)</f>
        <v>0</v>
      </c>
      <c r="C32" s="54">
        <f t="shared" ref="C32:M32" si="5">C28-SUM(C29:C31)</f>
        <v>-18401.570000000065</v>
      </c>
      <c r="D32" s="54">
        <f t="shared" ref="D32" si="6">D28-SUM(D29:D31)</f>
        <v>16779680.129999999</v>
      </c>
      <c r="E32" s="54"/>
      <c r="F32" s="54"/>
      <c r="G32" s="54"/>
      <c r="H32" s="54">
        <f t="shared" si="5"/>
        <v>-3195863.61</v>
      </c>
      <c r="I32" s="54">
        <f t="shared" ref="I32:J32" si="7">I28-SUM(I29:I31)</f>
        <v>-837123</v>
      </c>
      <c r="J32" s="54">
        <f t="shared" si="7"/>
        <v>2368011.0100000203</v>
      </c>
      <c r="K32" s="54">
        <f>K28-SUM(K29:K31)</f>
        <v>15096302.960000008</v>
      </c>
      <c r="L32" s="54">
        <f t="shared" si="5"/>
        <v>0</v>
      </c>
      <c r="M32" s="54">
        <f t="shared" si="5"/>
        <v>15096302.960000023</v>
      </c>
    </row>
    <row r="33" spans="1:15" x14ac:dyDescent="0.25">
      <c r="A33" s="53" t="s">
        <v>87</v>
      </c>
      <c r="B33" s="89">
        <v>0</v>
      </c>
      <c r="C33" s="89">
        <f>SUM($F$30:$H$31)/4</f>
        <v>794338.40249999997</v>
      </c>
      <c r="D33" s="89">
        <f>SUM($F$30:$H$31)/4</f>
        <v>794338.40249999997</v>
      </c>
      <c r="E33" s="89"/>
      <c r="F33" s="54"/>
      <c r="G33" s="54"/>
      <c r="H33" s="54">
        <f>-(H30+H31)</f>
        <v>-3177353.61</v>
      </c>
      <c r="I33" s="89">
        <f>SUM($F$30:$H$31)/4</f>
        <v>794338.40249999997</v>
      </c>
      <c r="J33" s="89">
        <f>SUM($F$30:$H$31)/4</f>
        <v>794338.40249999997</v>
      </c>
      <c r="K33" s="54">
        <f>SUM(B33:J33)</f>
        <v>0</v>
      </c>
      <c r="L33" s="54">
        <v>0</v>
      </c>
      <c r="M33" s="54">
        <v>0</v>
      </c>
    </row>
    <row r="34" spans="1:15" x14ac:dyDescent="0.25">
      <c r="A34" s="4" t="s">
        <v>89</v>
      </c>
      <c r="B34" s="5">
        <v>0</v>
      </c>
      <c r="C34" s="5">
        <f>SUM($F$25:$H$25)/4</f>
        <v>0</v>
      </c>
      <c r="D34" s="5">
        <f>SUM($F$25:$H$25)/4</f>
        <v>0</v>
      </c>
      <c r="E34" s="5"/>
      <c r="F34" s="5"/>
      <c r="G34" s="5"/>
      <c r="H34" s="5">
        <f>-H25</f>
        <v>0</v>
      </c>
      <c r="I34" s="5">
        <f>SUM($F$25:$H$25)/4</f>
        <v>0</v>
      </c>
      <c r="J34" s="5">
        <f>SUM($F$25:$H$25)/4</f>
        <v>0</v>
      </c>
      <c r="K34" s="54">
        <f>SUM(B34:J34)</f>
        <v>0</v>
      </c>
      <c r="L34" s="5"/>
      <c r="M34" s="5"/>
      <c r="O34" s="41"/>
    </row>
    <row r="35" spans="1:15" x14ac:dyDescent="0.25">
      <c r="A35" s="6" t="s">
        <v>90</v>
      </c>
      <c r="B35" s="55">
        <f t="shared" ref="B35:H35" si="8">B32-B33+B34</f>
        <v>0</v>
      </c>
      <c r="C35" s="55">
        <f t="shared" si="8"/>
        <v>-812739.97250000003</v>
      </c>
      <c r="D35" s="55">
        <f t="shared" ref="D35" si="9">D32-D33+D34</f>
        <v>15985341.727499999</v>
      </c>
      <c r="E35" s="55">
        <f t="shared" si="8"/>
        <v>0</v>
      </c>
      <c r="F35" s="55"/>
      <c r="G35" s="55"/>
      <c r="H35" s="55">
        <f t="shared" si="8"/>
        <v>-18510</v>
      </c>
      <c r="I35" s="55">
        <f t="shared" ref="I35:J35" si="10">I32-I33+I34</f>
        <v>-1631461.4024999999</v>
      </c>
      <c r="J35" s="55">
        <f t="shared" si="10"/>
        <v>1573672.6075000204</v>
      </c>
      <c r="K35" s="55">
        <f>SUM(K32:K33)</f>
        <v>15096302.960000008</v>
      </c>
      <c r="L35" s="55">
        <f>SUM(L32:L33)</f>
        <v>0</v>
      </c>
      <c r="M35" s="55">
        <f>SUM(M32:M33)</f>
        <v>15096302.960000023</v>
      </c>
    </row>
    <row r="36" spans="1:15" x14ac:dyDescent="0.25">
      <c r="B36" s="15"/>
      <c r="C36" s="15"/>
      <c r="D36" s="15"/>
      <c r="E36" s="15"/>
      <c r="K36" s="15">
        <f>K35-L36</f>
        <v>15096302.960000008</v>
      </c>
      <c r="L36" s="15">
        <f>L31-L25</f>
        <v>0</v>
      </c>
    </row>
    <row r="37" spans="1:15" x14ac:dyDescent="0.25">
      <c r="B37" s="15"/>
      <c r="C37" s="15"/>
      <c r="D37" s="15"/>
      <c r="E37" s="15"/>
      <c r="K37" s="99">
        <v>15096302.960000001</v>
      </c>
      <c r="L37" s="15"/>
    </row>
    <row r="38" spans="1:15" x14ac:dyDescent="0.25">
      <c r="G38" s="2" t="s">
        <v>77</v>
      </c>
      <c r="K38" s="15">
        <f>K36-K37</f>
        <v>0</v>
      </c>
      <c r="L38" s="10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T1034"/>
  <sheetViews>
    <sheetView zoomScale="80" zoomScaleNormal="80" workbookViewId="0">
      <selection activeCell="B991" sqref="B991"/>
    </sheetView>
  </sheetViews>
  <sheetFormatPr defaultColWidth="9.42578125" defaultRowHeight="15" x14ac:dyDescent="0.25"/>
  <cols>
    <col min="1" max="1" width="7.42578125" style="2" customWidth="1"/>
    <col min="2" max="2" width="44.42578125" style="2" customWidth="1"/>
    <col min="3" max="3" width="36.5703125" style="2" customWidth="1"/>
    <col min="4" max="4" width="11.42578125" style="12" customWidth="1"/>
    <col min="5" max="5" width="19.5703125" style="12" customWidth="1"/>
    <col min="6" max="6" width="28.42578125" style="12" customWidth="1"/>
    <col min="7" max="7" width="15.5703125" style="12" customWidth="1"/>
    <col min="8" max="8" width="10.5703125" style="41" customWidth="1"/>
    <col min="9" max="9" width="16.28515625" style="41" bestFit="1" customWidth="1"/>
    <col min="10" max="10" width="17.28515625" style="41" bestFit="1" customWidth="1"/>
    <col min="11" max="11" width="16.42578125" style="41" bestFit="1" customWidth="1"/>
    <col min="12" max="12" width="18" style="41" customWidth="1"/>
    <col min="13" max="13" width="19.42578125" style="69" customWidth="1"/>
    <col min="14" max="14" width="19.5703125" style="41" customWidth="1"/>
    <col min="15" max="15" width="17.42578125" style="41" customWidth="1"/>
    <col min="16" max="16" width="17.5703125" style="41" customWidth="1"/>
    <col min="17" max="17" width="19" style="41" bestFit="1" customWidth="1"/>
    <col min="18" max="18" width="15.42578125" style="41" customWidth="1"/>
    <col min="19" max="20" width="11.5703125" style="2" bestFit="1" customWidth="1"/>
    <col min="21" max="16384" width="9.42578125" style="2"/>
  </cols>
  <sheetData>
    <row r="1" spans="1:20" x14ac:dyDescent="0.25">
      <c r="A1" s="59" t="s">
        <v>106</v>
      </c>
      <c r="B1" s="59"/>
      <c r="C1" s="59"/>
      <c r="D1" s="9"/>
      <c r="E1" s="17"/>
      <c r="G1" s="9"/>
      <c r="I1" s="100"/>
      <c r="J1" s="100"/>
      <c r="K1" s="100"/>
      <c r="L1" s="100" t="str">
        <f>'P&amp;L'!L5</f>
        <v>Mar'26</v>
      </c>
      <c r="M1" s="68"/>
      <c r="O1" s="100"/>
      <c r="P1" s="100"/>
      <c r="Q1" s="101" t="str">
        <f>'P&amp;L'!N5</f>
        <v>(April to Mar)</v>
      </c>
    </row>
    <row r="2" spans="1:20" x14ac:dyDescent="0.25">
      <c r="A2" s="3"/>
      <c r="B2" s="3"/>
      <c r="C2" s="3"/>
      <c r="D2" s="9"/>
      <c r="E2" s="17"/>
      <c r="G2" s="9"/>
      <c r="I2" s="100"/>
      <c r="J2" s="100">
        <f>SUBTOTAL(9,J5:J974)</f>
        <v>1432422.91</v>
      </c>
      <c r="K2" s="100">
        <f>SUBTOTAL(9,K5:K974)</f>
        <v>0</v>
      </c>
      <c r="L2" s="100"/>
      <c r="M2" s="191"/>
      <c r="O2" s="100"/>
      <c r="P2" s="100"/>
      <c r="Q2" s="101"/>
    </row>
    <row r="3" spans="1:20" x14ac:dyDescent="0.25">
      <c r="A3" s="47" t="str">
        <f>'P&amp;L'!L5</f>
        <v>Mar'26</v>
      </c>
      <c r="B3" s="3"/>
      <c r="C3" s="3"/>
      <c r="D3" s="17"/>
      <c r="E3" s="17"/>
      <c r="G3" s="17"/>
      <c r="H3" s="41">
        <f t="shared" ref="H3:M3" si="0">SUM(H5:H975)</f>
        <v>0</v>
      </c>
      <c r="I3" s="41">
        <f t="shared" ref="I3:K3" si="1">SUBTOTAL(9,I5:I10034)</f>
        <v>0</v>
      </c>
      <c r="J3" s="41">
        <f t="shared" si="1"/>
        <v>1836553.2499999998</v>
      </c>
      <c r="K3" s="41">
        <f t="shared" si="1"/>
        <v>0</v>
      </c>
      <c r="L3" s="41">
        <f>SUBTOTAL(9,L5:L10034)</f>
        <v>1836553.2499999998</v>
      </c>
      <c r="M3" s="41">
        <f t="shared" si="0"/>
        <v>0</v>
      </c>
      <c r="N3" s="41">
        <f t="shared" ref="N3:P3" si="2">SUBTOTAL(9,N5:N10034)</f>
        <v>0</v>
      </c>
      <c r="O3" s="41">
        <f t="shared" si="2"/>
        <v>2785094.5900000003</v>
      </c>
      <c r="P3" s="41">
        <f t="shared" si="2"/>
        <v>0</v>
      </c>
      <c r="Q3" s="41">
        <f>SUBTOTAL(9,Q5:Q10034)</f>
        <v>2785094.5900000003</v>
      </c>
      <c r="T3" s="50"/>
    </row>
    <row r="4" spans="1:20" s="12" customFormat="1" ht="28.5" x14ac:dyDescent="0.25">
      <c r="A4" s="67" t="s">
        <v>107</v>
      </c>
      <c r="B4" s="67" t="s">
        <v>108</v>
      </c>
      <c r="C4" s="67" t="s">
        <v>109</v>
      </c>
      <c r="D4" s="67" t="s">
        <v>110</v>
      </c>
      <c r="E4" s="67" t="s">
        <v>111</v>
      </c>
      <c r="F4" s="104" t="s">
        <v>112</v>
      </c>
      <c r="G4" s="67" t="s">
        <v>78</v>
      </c>
      <c r="H4" s="11" t="s">
        <v>113</v>
      </c>
      <c r="I4" s="11" t="s">
        <v>114</v>
      </c>
      <c r="J4" s="11" t="s">
        <v>115</v>
      </c>
      <c r="K4" s="11" t="s">
        <v>116</v>
      </c>
      <c r="L4" s="11" t="s">
        <v>117</v>
      </c>
      <c r="M4" s="70" t="s">
        <v>118</v>
      </c>
      <c r="N4" s="105" t="s">
        <v>119</v>
      </c>
      <c r="O4" s="105" t="s">
        <v>120</v>
      </c>
      <c r="P4" s="105" t="s">
        <v>121</v>
      </c>
      <c r="Q4" s="105" t="s">
        <v>122</v>
      </c>
      <c r="R4" s="105" t="s">
        <v>104</v>
      </c>
    </row>
    <row r="5" spans="1:20" hidden="1" x14ac:dyDescent="0.25">
      <c r="A5" s="106">
        <v>1</v>
      </c>
      <c r="B5" s="8" t="s">
        <v>123</v>
      </c>
      <c r="C5" s="8" t="s">
        <v>124</v>
      </c>
      <c r="D5" s="17"/>
      <c r="E5" s="17"/>
      <c r="G5" s="17"/>
      <c r="H5" s="62"/>
      <c r="I5" s="37">
        <f>IFERROR(VLOOKUP(B5,'TB '!$A:$G,7,),0)</f>
        <v>130956.83</v>
      </c>
      <c r="J5" s="37">
        <f>IFERROR(VLOOKUP($B5,'TB '!$4:$1048576,MATCH('List of Ledgers '!J$4,'TB '!$4:$4,0),0),0)</f>
        <v>0</v>
      </c>
      <c r="K5" s="37">
        <f>IFERROR(VLOOKUP($B5,'TB '!$4:$1048576,MATCH('List of Ledgers '!K$4,'TB '!$4:$4,0),0),0)</f>
        <v>0</v>
      </c>
      <c r="L5" s="37">
        <f>IFERROR(VLOOKUP(B5,'TB '!$A:$J,10,),0)</f>
        <v>130956.83</v>
      </c>
      <c r="M5" s="71"/>
      <c r="N5" s="63">
        <f>IFERROR(VLOOKUP($B5,'TB YTD'!$4:$1048576,MATCH('List of Ledgers '!N$4,'TB YTD'!$4:$4,0),0),0)</f>
        <v>130956.83</v>
      </c>
      <c r="O5" s="63">
        <f>IFERROR(VLOOKUP($B5,'TB YTD'!$4:$1048576,MATCH('List of Ledgers '!O$4,'TB YTD'!$4:$4,0),0),0)</f>
        <v>0</v>
      </c>
      <c r="P5" s="63">
        <f>IFERROR(VLOOKUP($B5,'TB YTD'!$4:$1048576,MATCH('List of Ledgers '!P$4,'TB YTD'!$4:$4,0),0),0)</f>
        <v>0</v>
      </c>
      <c r="Q5" s="63">
        <f>IFERROR(VLOOKUP($B5,'TB YTD'!$4:$1048576,MATCH('List of Ledgers '!Q$4,'TB YTD'!$4:$4,0),0),0)</f>
        <v>130956.83</v>
      </c>
      <c r="R5" s="63"/>
    </row>
    <row r="6" spans="1:20" hidden="1" x14ac:dyDescent="0.25">
      <c r="A6" s="106">
        <v>2</v>
      </c>
      <c r="B6" s="8" t="s">
        <v>125</v>
      </c>
      <c r="C6" s="8" t="s">
        <v>124</v>
      </c>
      <c r="D6" s="17"/>
      <c r="E6" s="17"/>
      <c r="G6" s="17"/>
      <c r="H6" s="62"/>
      <c r="I6" s="37">
        <f>IFERROR(VLOOKUP(B6,'TB '!$A:$G,7,),0)</f>
        <v>171401.27</v>
      </c>
      <c r="J6" s="37">
        <f>IFERROR(VLOOKUP($B6,'TB '!$4:$1048576,MATCH('List of Ledgers '!J$4,'TB '!$4:$4,0),0),0)</f>
        <v>0</v>
      </c>
      <c r="K6" s="37">
        <f>IFERROR(VLOOKUP($B6,'TB '!$4:$1048576,MATCH('List of Ledgers '!K$4,'TB '!$4:$4,0),0),0)</f>
        <v>0</v>
      </c>
      <c r="L6" s="37">
        <f>IFERROR(VLOOKUP(B6,'TB '!$A:$J,10,),0)</f>
        <v>171401.27</v>
      </c>
      <c r="M6" s="71"/>
      <c r="N6" s="63">
        <f>IFERROR(VLOOKUP($B6,'TB YTD'!$4:$1048576,MATCH('List of Ledgers '!N$4,'TB YTD'!$4:$4,0),0),0)</f>
        <v>171401.27</v>
      </c>
      <c r="O6" s="63">
        <f>IFERROR(VLOOKUP($B6,'TB YTD'!$4:$1048576,MATCH('List of Ledgers '!O$4,'TB YTD'!$4:$4,0),0),0)</f>
        <v>0</v>
      </c>
      <c r="P6" s="63">
        <f>IFERROR(VLOOKUP($B6,'TB YTD'!$4:$1048576,MATCH('List of Ledgers '!P$4,'TB YTD'!$4:$4,0),0),0)</f>
        <v>0</v>
      </c>
      <c r="Q6" s="63">
        <f>IFERROR(VLOOKUP($B6,'TB YTD'!$4:$1048576,MATCH('List of Ledgers '!Q$4,'TB YTD'!$4:$4,0),0),0)</f>
        <v>171401.27</v>
      </c>
      <c r="R6" s="63"/>
    </row>
    <row r="7" spans="1:20" hidden="1" x14ac:dyDescent="0.25">
      <c r="A7" s="106">
        <v>3</v>
      </c>
      <c r="B7" s="8" t="s">
        <v>126</v>
      </c>
      <c r="C7" s="8" t="s">
        <v>127</v>
      </c>
      <c r="D7" s="106" t="s">
        <v>128</v>
      </c>
      <c r="E7" s="17"/>
      <c r="G7" s="17"/>
      <c r="H7" s="62"/>
      <c r="I7" s="37">
        <f>IFERROR(VLOOKUP(B7,'TB '!$A:$G,7,),0)</f>
        <v>684000</v>
      </c>
      <c r="J7" s="37">
        <f>IFERROR(VLOOKUP($B7,'TB '!$4:$1048576,MATCH('List of Ledgers '!J$4,'TB '!$4:$4,0),0),0)</f>
        <v>0</v>
      </c>
      <c r="K7" s="37">
        <f>IFERROR(VLOOKUP($B7,'TB '!$4:$1048576,MATCH('List of Ledgers '!K$4,'TB '!$4:$4,0),0),0)</f>
        <v>0</v>
      </c>
      <c r="L7" s="37">
        <f>IFERROR(VLOOKUP(B7,'TB '!$A:$J,10,),0)</f>
        <v>684000</v>
      </c>
      <c r="M7" s="71"/>
      <c r="N7" s="63">
        <f>IFERROR(VLOOKUP($B7,'TB YTD'!$4:$1048576,MATCH('List of Ledgers '!N$4,'TB YTD'!$4:$4,0),0),0)</f>
        <v>684000</v>
      </c>
      <c r="O7" s="63">
        <f>IFERROR(VLOOKUP($B7,'TB YTD'!$4:$1048576,MATCH('List of Ledgers '!O$4,'TB YTD'!$4:$4,0),0),0)</f>
        <v>0</v>
      </c>
      <c r="P7" s="63">
        <f>IFERROR(VLOOKUP($B7,'TB YTD'!$4:$1048576,MATCH('List of Ledgers '!P$4,'TB YTD'!$4:$4,0),0),0)</f>
        <v>0</v>
      </c>
      <c r="Q7" s="63">
        <f>IFERROR(VLOOKUP($B7,'TB YTD'!$4:$1048576,MATCH('List of Ledgers '!Q$4,'TB YTD'!$4:$4,0),0),0)</f>
        <v>684000</v>
      </c>
      <c r="R7" s="63"/>
    </row>
    <row r="8" spans="1:20" hidden="1" x14ac:dyDescent="0.25">
      <c r="A8" s="106">
        <v>4</v>
      </c>
      <c r="B8" s="8" t="s">
        <v>129</v>
      </c>
      <c r="C8" s="8" t="s">
        <v>130</v>
      </c>
      <c r="D8" s="17" t="s">
        <v>128</v>
      </c>
      <c r="E8" s="17" t="s">
        <v>131</v>
      </c>
      <c r="G8" s="17" t="s">
        <v>7</v>
      </c>
      <c r="H8" s="62"/>
      <c r="I8" s="37">
        <f>IFERROR(VLOOKUP(B8,'TB '!$A:$G,7,),0)</f>
        <v>0</v>
      </c>
      <c r="J8" s="37">
        <f>IFERROR(VLOOKUP($B8,'TB '!$4:$1048576,MATCH('List of Ledgers '!J$4,'TB '!$4:$4,0),0),0)</f>
        <v>0</v>
      </c>
      <c r="K8" s="37">
        <f>IFERROR(VLOOKUP($B8,'TB '!$4:$1048576,MATCH('List of Ledgers '!K$4,'TB '!$4:$4,0),0),0)</f>
        <v>0</v>
      </c>
      <c r="L8" s="37">
        <f>IFERROR(VLOOKUP(B8,'TB '!$A:$J,10,),0)</f>
        <v>0</v>
      </c>
      <c r="M8" s="71"/>
      <c r="N8" s="63">
        <f>IFERROR(VLOOKUP($B8,'TB YTD'!$4:$1048576,MATCH('List of Ledgers '!N$4,'TB YTD'!$4:$4,0),0),0)</f>
        <v>0</v>
      </c>
      <c r="O8" s="63">
        <f>IFERROR(VLOOKUP($B8,'TB YTD'!$4:$1048576,MATCH('List of Ledgers '!O$4,'TB YTD'!$4:$4,0),0),0)</f>
        <v>0</v>
      </c>
      <c r="P8" s="63">
        <f>IFERROR(VLOOKUP($B8,'TB YTD'!$4:$1048576,MATCH('List of Ledgers '!P$4,'TB YTD'!$4:$4,0),0),0)</f>
        <v>0</v>
      </c>
      <c r="Q8" s="63">
        <f>IFERROR(VLOOKUP($B8,'TB YTD'!$4:$1048576,MATCH('List of Ledgers '!Q$4,'TB YTD'!$4:$4,0),0),0)</f>
        <v>0</v>
      </c>
      <c r="R8" s="63"/>
    </row>
    <row r="9" spans="1:20" hidden="1" x14ac:dyDescent="0.25">
      <c r="A9" s="106">
        <v>5</v>
      </c>
      <c r="B9" s="8" t="s">
        <v>132</v>
      </c>
      <c r="C9" s="8" t="s">
        <v>133</v>
      </c>
      <c r="D9" s="17" t="s">
        <v>128</v>
      </c>
      <c r="E9" s="17" t="s">
        <v>134</v>
      </c>
      <c r="G9" s="17" t="s">
        <v>2</v>
      </c>
      <c r="H9" s="62"/>
      <c r="I9" s="37">
        <f>IFERROR(VLOOKUP(B9,'TB '!$A:$G,7,),0)</f>
        <v>0</v>
      </c>
      <c r="J9" s="37">
        <f>IFERROR(VLOOKUP($B9,'TB '!$4:$1048576,MATCH('List of Ledgers '!J$4,'TB '!$4:$4,0),0),0)</f>
        <v>0</v>
      </c>
      <c r="K9" s="37">
        <f>IFERROR(VLOOKUP($B9,'TB '!$4:$1048576,MATCH('List of Ledgers '!K$4,'TB '!$4:$4,0),0),0)</f>
        <v>0</v>
      </c>
      <c r="L9" s="37">
        <f>IFERROR(VLOOKUP(B9,'TB '!$A:$J,10,),0)</f>
        <v>0</v>
      </c>
      <c r="M9" s="71"/>
      <c r="N9" s="63">
        <f>IFERROR(VLOOKUP($B9,'TB YTD'!$4:$1048576,MATCH('List of Ledgers '!N$4,'TB YTD'!$4:$4,0),0),0)</f>
        <v>0</v>
      </c>
      <c r="O9" s="63">
        <f>IFERROR(VLOOKUP($B9,'TB YTD'!$4:$1048576,MATCH('List of Ledgers '!O$4,'TB YTD'!$4:$4,0),0),0)</f>
        <v>0</v>
      </c>
      <c r="P9" s="63">
        <f>IFERROR(VLOOKUP($B9,'TB YTD'!$4:$1048576,MATCH('List of Ledgers '!P$4,'TB YTD'!$4:$4,0),0),0)</f>
        <v>0</v>
      </c>
      <c r="Q9" s="63">
        <f>IFERROR(VLOOKUP($B9,'TB YTD'!$4:$1048576,MATCH('List of Ledgers '!Q$4,'TB YTD'!$4:$4,0),0),0)</f>
        <v>0</v>
      </c>
      <c r="R9" s="63"/>
    </row>
    <row r="10" spans="1:20" hidden="1" x14ac:dyDescent="0.25">
      <c r="A10" s="106">
        <v>6</v>
      </c>
      <c r="B10" s="8" t="s">
        <v>135</v>
      </c>
      <c r="C10" s="8" t="s">
        <v>136</v>
      </c>
      <c r="D10" s="12" t="s">
        <v>128</v>
      </c>
      <c r="E10" s="12" t="s">
        <v>134</v>
      </c>
      <c r="G10" s="12" t="s">
        <v>2</v>
      </c>
      <c r="H10" s="62"/>
      <c r="I10" s="37">
        <f>IFERROR(VLOOKUP(B10,'TB '!$A:$G,7,),0)</f>
        <v>0</v>
      </c>
      <c r="J10" s="37">
        <f>IFERROR(VLOOKUP($B10,'TB '!$4:$1048576,MATCH('List of Ledgers '!J$4,'TB '!$4:$4,0),0),0)</f>
        <v>0</v>
      </c>
      <c r="K10" s="37">
        <f>IFERROR(VLOOKUP($B10,'TB '!$4:$1048576,MATCH('List of Ledgers '!K$4,'TB '!$4:$4,0),0),0)</f>
        <v>0</v>
      </c>
      <c r="L10" s="37">
        <f>IFERROR(VLOOKUP(B10,'TB '!$A:$J,10,),0)</f>
        <v>0</v>
      </c>
      <c r="M10" s="71"/>
      <c r="N10" s="63">
        <f>IFERROR(VLOOKUP($B10,'TB YTD'!$4:$1048576,MATCH('List of Ledgers '!N$4,'TB YTD'!$4:$4,0),0),0)</f>
        <v>0</v>
      </c>
      <c r="O10" s="63">
        <f>IFERROR(VLOOKUP($B10,'TB YTD'!$4:$1048576,MATCH('List of Ledgers '!O$4,'TB YTD'!$4:$4,0),0),0)</f>
        <v>0</v>
      </c>
      <c r="P10" s="63">
        <f>IFERROR(VLOOKUP($B10,'TB YTD'!$4:$1048576,MATCH('List of Ledgers '!P$4,'TB YTD'!$4:$4,0),0),0)</f>
        <v>0</v>
      </c>
      <c r="Q10" s="63">
        <f>IFERROR(VLOOKUP($B10,'TB YTD'!$4:$1048576,MATCH('List of Ledgers '!Q$4,'TB YTD'!$4:$4,0),0),0)</f>
        <v>0</v>
      </c>
      <c r="R10" s="63"/>
    </row>
    <row r="11" spans="1:20" hidden="1" x14ac:dyDescent="0.25">
      <c r="A11" s="106">
        <v>7</v>
      </c>
      <c r="B11" s="8" t="s">
        <v>137</v>
      </c>
      <c r="C11" s="8" t="s">
        <v>138</v>
      </c>
      <c r="D11" s="17" t="s">
        <v>128</v>
      </c>
      <c r="E11" s="17" t="s">
        <v>134</v>
      </c>
      <c r="G11" s="17" t="s">
        <v>2</v>
      </c>
      <c r="H11" s="62"/>
      <c r="I11" s="37">
        <f>IFERROR(VLOOKUP(B11,'TB '!$A:$G,7,),0)</f>
        <v>79762.52</v>
      </c>
      <c r="J11" s="37">
        <f>IFERROR(VLOOKUP($B11,'TB '!$4:$1048576,MATCH('List of Ledgers '!J$4,'TB '!$4:$4,0),0),0)</f>
        <v>0</v>
      </c>
      <c r="K11" s="37">
        <f>IFERROR(VLOOKUP($B11,'TB '!$4:$1048576,MATCH('List of Ledgers '!K$4,'TB '!$4:$4,0),0),0)</f>
        <v>0</v>
      </c>
      <c r="L11" s="37">
        <f>IFERROR(VLOOKUP(B11,'TB '!$A:$J,10,),0)</f>
        <v>79762.52</v>
      </c>
      <c r="M11" s="71"/>
      <c r="N11" s="63">
        <f>IFERROR(VLOOKUP($B11,'TB YTD'!$4:$1048576,MATCH('List of Ledgers '!N$4,'TB YTD'!$4:$4,0),0),0)</f>
        <v>79762.52</v>
      </c>
      <c r="O11" s="63">
        <f>IFERROR(VLOOKUP($B11,'TB YTD'!$4:$1048576,MATCH('List of Ledgers '!O$4,'TB YTD'!$4:$4,0),0),0)</f>
        <v>0</v>
      </c>
      <c r="P11" s="63">
        <f>IFERROR(VLOOKUP($B11,'TB YTD'!$4:$1048576,MATCH('List of Ledgers '!P$4,'TB YTD'!$4:$4,0),0),0)</f>
        <v>0</v>
      </c>
      <c r="Q11" s="63">
        <f>IFERROR(VLOOKUP($B11,'TB YTD'!$4:$1048576,MATCH('List of Ledgers '!Q$4,'TB YTD'!$4:$4,0),0),0)</f>
        <v>79762.52</v>
      </c>
      <c r="R11" s="63"/>
    </row>
    <row r="12" spans="1:20" hidden="1" x14ac:dyDescent="0.25">
      <c r="A12" s="106">
        <v>8</v>
      </c>
      <c r="B12" s="8" t="s">
        <v>139</v>
      </c>
      <c r="C12" s="8" t="s">
        <v>140</v>
      </c>
      <c r="D12" s="17" t="s">
        <v>128</v>
      </c>
      <c r="E12" s="17" t="s">
        <v>131</v>
      </c>
      <c r="G12" s="17" t="s">
        <v>7</v>
      </c>
      <c r="H12" s="62"/>
      <c r="I12" s="37">
        <f>IFERROR(VLOOKUP(B12,'TB '!$A:$G,7,),0)</f>
        <v>-2950</v>
      </c>
      <c r="J12" s="37">
        <f>IFERROR(VLOOKUP($B12,'TB '!$4:$1048576,MATCH('List of Ledgers '!J$4,'TB '!$4:$4,0),0),0)</f>
        <v>2950</v>
      </c>
      <c r="K12" s="37">
        <f>IFERROR(VLOOKUP($B12,'TB '!$4:$1048576,MATCH('List of Ledgers '!K$4,'TB '!$4:$4,0),0),0)</f>
        <v>0</v>
      </c>
      <c r="L12" s="37">
        <f>IFERROR(VLOOKUP(B12,'TB '!$A:$J,10,),0)</f>
        <v>0</v>
      </c>
      <c r="M12" s="71"/>
      <c r="N12" s="63">
        <f>IFERROR(VLOOKUP($B12,'TB YTD'!$4:$1048576,MATCH('List of Ledgers '!N$4,'TB YTD'!$4:$4,0),0),0)</f>
        <v>-17847</v>
      </c>
      <c r="O12" s="63">
        <f>IFERROR(VLOOKUP($B12,'TB YTD'!$4:$1048576,MATCH('List of Ledgers '!O$4,'TB YTD'!$4:$4,0),0),0)</f>
        <v>52686.5</v>
      </c>
      <c r="P12" s="63">
        <f>IFERROR(VLOOKUP($B12,'TB YTD'!$4:$1048576,MATCH('List of Ledgers '!P$4,'TB YTD'!$4:$4,0),0),0)</f>
        <v>34839.5</v>
      </c>
      <c r="Q12" s="63">
        <f>IFERROR(VLOOKUP($B12,'TB YTD'!$4:$1048576,MATCH('List of Ledgers '!Q$4,'TB YTD'!$4:$4,0),0),0)</f>
        <v>0</v>
      </c>
      <c r="R12" s="63"/>
    </row>
    <row r="13" spans="1:20" hidden="1" x14ac:dyDescent="0.25">
      <c r="A13" s="106">
        <v>9</v>
      </c>
      <c r="B13" s="8" t="s">
        <v>141</v>
      </c>
      <c r="C13" s="8" t="s">
        <v>142</v>
      </c>
      <c r="D13" s="17"/>
      <c r="E13" s="17"/>
      <c r="G13" s="17"/>
      <c r="H13" s="62"/>
      <c r="I13" s="37">
        <f>IFERROR(VLOOKUP(B13,'TB '!$A:$G,7,),0)</f>
        <v>0</v>
      </c>
      <c r="J13" s="37">
        <f>IFERROR(VLOOKUP($B13,'TB '!$4:$1048576,MATCH('List of Ledgers '!J$4,'TB '!$4:$4,0),0),0)</f>
        <v>0</v>
      </c>
      <c r="K13" s="37">
        <f>IFERROR(VLOOKUP($B13,'TB '!$4:$1048576,MATCH('List of Ledgers '!K$4,'TB '!$4:$4,0),0),0)</f>
        <v>0</v>
      </c>
      <c r="L13" s="37">
        <f>IFERROR(VLOOKUP(B13,'TB '!$A:$J,10,),0)</f>
        <v>0</v>
      </c>
      <c r="M13" s="71"/>
      <c r="N13" s="63">
        <f>IFERROR(VLOOKUP($B13,'TB YTD'!$4:$1048576,MATCH('List of Ledgers '!N$4,'TB YTD'!$4:$4,0),0),0)</f>
        <v>-1905100</v>
      </c>
      <c r="O13" s="63">
        <f>IFERROR(VLOOKUP($B13,'TB YTD'!$4:$1048576,MATCH('List of Ledgers '!O$4,'TB YTD'!$4:$4,0),0),0)</f>
        <v>1905100</v>
      </c>
      <c r="P13" s="63">
        <f>IFERROR(VLOOKUP($B13,'TB YTD'!$4:$1048576,MATCH('List of Ledgers '!P$4,'TB YTD'!$4:$4,0),0),0)</f>
        <v>0</v>
      </c>
      <c r="Q13" s="63">
        <f>IFERROR(VLOOKUP($B13,'TB YTD'!$4:$1048576,MATCH('List of Ledgers '!Q$4,'TB YTD'!$4:$4,0),0),0)</f>
        <v>0</v>
      </c>
      <c r="R13" s="63"/>
    </row>
    <row r="14" spans="1:20" hidden="1" x14ac:dyDescent="0.25">
      <c r="A14" s="106">
        <v>10</v>
      </c>
      <c r="B14" s="8" t="s">
        <v>143</v>
      </c>
      <c r="C14" s="8" t="s">
        <v>144</v>
      </c>
      <c r="D14" s="17"/>
      <c r="E14" s="17"/>
      <c r="G14" s="17"/>
      <c r="H14" s="62"/>
      <c r="I14" s="37">
        <f>IFERROR(VLOOKUP(B14,'TB '!$A:$G,7,),0)</f>
        <v>0</v>
      </c>
      <c r="J14" s="37">
        <f>IFERROR(VLOOKUP($B14,'TB '!$4:$1048576,MATCH('List of Ledgers '!J$4,'TB '!$4:$4,0),0),0)</f>
        <v>0</v>
      </c>
      <c r="K14" s="37">
        <f>IFERROR(VLOOKUP($B14,'TB '!$4:$1048576,MATCH('List of Ledgers '!K$4,'TB '!$4:$4,0),0),0)</f>
        <v>0</v>
      </c>
      <c r="L14" s="37">
        <f>IFERROR(VLOOKUP(B14,'TB '!$A:$J,10,),0)</f>
        <v>0</v>
      </c>
      <c r="M14" s="71"/>
      <c r="N14" s="63">
        <f>IFERROR(VLOOKUP($B14,'TB YTD'!$4:$1048576,MATCH('List of Ledgers '!N$4,'TB YTD'!$4:$4,0),0),0)</f>
        <v>0</v>
      </c>
      <c r="O14" s="63">
        <f>IFERROR(VLOOKUP($B14,'TB YTD'!$4:$1048576,MATCH('List of Ledgers '!O$4,'TB YTD'!$4:$4,0),0),0)</f>
        <v>0</v>
      </c>
      <c r="P14" s="63">
        <f>IFERROR(VLOOKUP($B14,'TB YTD'!$4:$1048576,MATCH('List of Ledgers '!P$4,'TB YTD'!$4:$4,0),0),0)</f>
        <v>0</v>
      </c>
      <c r="Q14" s="63">
        <f>IFERROR(VLOOKUP($B14,'TB YTD'!$4:$1048576,MATCH('List of Ledgers '!Q$4,'TB YTD'!$4:$4,0),0),0)</f>
        <v>0</v>
      </c>
      <c r="R14" s="63"/>
    </row>
    <row r="15" spans="1:20" hidden="1" x14ac:dyDescent="0.25">
      <c r="A15" s="106">
        <v>11</v>
      </c>
      <c r="B15" s="8" t="s">
        <v>145</v>
      </c>
      <c r="C15" s="8" t="s">
        <v>146</v>
      </c>
      <c r="D15" s="17"/>
      <c r="E15" s="17"/>
      <c r="G15" s="17"/>
      <c r="H15" s="62"/>
      <c r="I15" s="37">
        <f>IFERROR(VLOOKUP(B15,'TB '!$A:$G,7,),0)</f>
        <v>70000</v>
      </c>
      <c r="J15" s="37">
        <f>IFERROR(VLOOKUP($B15,'TB '!$4:$1048576,MATCH('List of Ledgers '!J$4,'TB '!$4:$4,0),0),0)</f>
        <v>0</v>
      </c>
      <c r="K15" s="37">
        <f>IFERROR(VLOOKUP($B15,'TB '!$4:$1048576,MATCH('List of Ledgers '!K$4,'TB '!$4:$4,0),0),0)</f>
        <v>0</v>
      </c>
      <c r="L15" s="37">
        <f>IFERROR(VLOOKUP(B15,'TB '!$A:$J,10,),0)</f>
        <v>70000</v>
      </c>
      <c r="M15" s="71"/>
      <c r="N15" s="63">
        <f>IFERROR(VLOOKUP($B15,'TB YTD'!$4:$1048576,MATCH('List of Ledgers '!N$4,'TB YTD'!$4:$4,0),0),0)</f>
        <v>70000</v>
      </c>
      <c r="O15" s="63">
        <f>IFERROR(VLOOKUP($B15,'TB YTD'!$4:$1048576,MATCH('List of Ledgers '!O$4,'TB YTD'!$4:$4,0),0),0)</f>
        <v>0</v>
      </c>
      <c r="P15" s="63">
        <f>IFERROR(VLOOKUP($B15,'TB YTD'!$4:$1048576,MATCH('List of Ledgers '!P$4,'TB YTD'!$4:$4,0),0),0)</f>
        <v>0</v>
      </c>
      <c r="Q15" s="63">
        <f>IFERROR(VLOOKUP($B15,'TB YTD'!$4:$1048576,MATCH('List of Ledgers '!Q$4,'TB YTD'!$4:$4,0),0),0)</f>
        <v>70000</v>
      </c>
      <c r="R15" s="63"/>
    </row>
    <row r="16" spans="1:20" hidden="1" x14ac:dyDescent="0.25">
      <c r="A16" s="106">
        <v>12</v>
      </c>
      <c r="B16" s="8" t="s">
        <v>147</v>
      </c>
      <c r="C16" s="8" t="s">
        <v>146</v>
      </c>
      <c r="D16" s="17"/>
      <c r="E16" s="17"/>
      <c r="G16" s="17"/>
      <c r="H16" s="62"/>
      <c r="I16" s="37">
        <f>IFERROR(VLOOKUP(B16,'TB '!$A:$G,7,),0)</f>
        <v>200000</v>
      </c>
      <c r="J16" s="37">
        <f>IFERROR(VLOOKUP($B16,'TB '!$4:$1048576,MATCH('List of Ledgers '!J$4,'TB '!$4:$4,0),0),0)</f>
        <v>0</v>
      </c>
      <c r="K16" s="37">
        <f>IFERROR(VLOOKUP($B16,'TB '!$4:$1048576,MATCH('List of Ledgers '!K$4,'TB '!$4:$4,0),0),0)</f>
        <v>0</v>
      </c>
      <c r="L16" s="37">
        <f>IFERROR(VLOOKUP(B16,'TB '!$A:$J,10,),0)</f>
        <v>200000</v>
      </c>
      <c r="M16" s="71"/>
      <c r="N16" s="63">
        <f>IFERROR(VLOOKUP($B16,'TB YTD'!$4:$1048576,MATCH('List of Ledgers '!N$4,'TB YTD'!$4:$4,0),0),0)</f>
        <v>200000</v>
      </c>
      <c r="O16" s="63">
        <f>IFERROR(VLOOKUP($B16,'TB YTD'!$4:$1048576,MATCH('List of Ledgers '!O$4,'TB YTD'!$4:$4,0),0),0)</f>
        <v>0</v>
      </c>
      <c r="P16" s="63">
        <f>IFERROR(VLOOKUP($B16,'TB YTD'!$4:$1048576,MATCH('List of Ledgers '!P$4,'TB YTD'!$4:$4,0),0),0)</f>
        <v>0</v>
      </c>
      <c r="Q16" s="63">
        <f>IFERROR(VLOOKUP($B16,'TB YTD'!$4:$1048576,MATCH('List of Ledgers '!Q$4,'TB YTD'!$4:$4,0),0),0)</f>
        <v>200000</v>
      </c>
      <c r="R16" s="63"/>
    </row>
    <row r="17" spans="1:18" hidden="1" x14ac:dyDescent="0.25">
      <c r="A17" s="106">
        <v>13</v>
      </c>
      <c r="B17" s="8" t="s">
        <v>148</v>
      </c>
      <c r="C17" s="8" t="s">
        <v>146</v>
      </c>
      <c r="D17" s="17"/>
      <c r="E17" s="17"/>
      <c r="G17" s="17"/>
      <c r="H17" s="62"/>
      <c r="I17" s="37">
        <f>IFERROR(VLOOKUP(B17,'TB '!$A:$G,7,),0)</f>
        <v>139000</v>
      </c>
      <c r="J17" s="37">
        <f>IFERROR(VLOOKUP($B17,'TB '!$4:$1048576,MATCH('List of Ledgers '!J$4,'TB '!$4:$4,0),0),0)</f>
        <v>0</v>
      </c>
      <c r="K17" s="37">
        <f>IFERROR(VLOOKUP($B17,'TB '!$4:$1048576,MATCH('List of Ledgers '!K$4,'TB '!$4:$4,0),0),0)</f>
        <v>0</v>
      </c>
      <c r="L17" s="37">
        <f>IFERROR(VLOOKUP(B17,'TB '!$A:$J,10,),0)</f>
        <v>139000</v>
      </c>
      <c r="M17" s="71"/>
      <c r="N17" s="63">
        <f>IFERROR(VLOOKUP($B17,'TB YTD'!$4:$1048576,MATCH('List of Ledgers '!N$4,'TB YTD'!$4:$4,0),0),0)</f>
        <v>139000</v>
      </c>
      <c r="O17" s="63">
        <f>IFERROR(VLOOKUP($B17,'TB YTD'!$4:$1048576,MATCH('List of Ledgers '!O$4,'TB YTD'!$4:$4,0),0),0)</f>
        <v>0</v>
      </c>
      <c r="P17" s="63">
        <f>IFERROR(VLOOKUP($B17,'TB YTD'!$4:$1048576,MATCH('List of Ledgers '!P$4,'TB YTD'!$4:$4,0),0),0)</f>
        <v>0</v>
      </c>
      <c r="Q17" s="63">
        <f>IFERROR(VLOOKUP($B17,'TB YTD'!$4:$1048576,MATCH('List of Ledgers '!Q$4,'TB YTD'!$4:$4,0),0),0)</f>
        <v>139000</v>
      </c>
      <c r="R17" s="63"/>
    </row>
    <row r="18" spans="1:18" hidden="1" x14ac:dyDescent="0.25">
      <c r="A18" s="106">
        <v>14</v>
      </c>
      <c r="B18" s="8" t="s">
        <v>149</v>
      </c>
      <c r="C18" s="8" t="s">
        <v>150</v>
      </c>
      <c r="D18" s="17" t="s">
        <v>151</v>
      </c>
      <c r="E18" s="17" t="s">
        <v>152</v>
      </c>
      <c r="F18" s="12" t="s">
        <v>16</v>
      </c>
      <c r="G18" s="17" t="s">
        <v>2</v>
      </c>
      <c r="H18" s="62"/>
      <c r="I18" s="37">
        <f>IFERROR(VLOOKUP(B18,'TB '!$A:$G,7,),0)</f>
        <v>0</v>
      </c>
      <c r="J18" s="37">
        <f>IFERROR(VLOOKUP($B18,'TB '!$4:$1048576,MATCH('List of Ledgers '!J$4,'TB '!$4:$4,0),0),0)</f>
        <v>0</v>
      </c>
      <c r="K18" s="37">
        <f>IFERROR(VLOOKUP($B18,'TB '!$4:$1048576,MATCH('List of Ledgers '!K$4,'TB '!$4:$4,0),0),0)</f>
        <v>0</v>
      </c>
      <c r="L18" s="37">
        <f>IFERROR(VLOOKUP(B18,'TB '!$A:$J,10,),0)</f>
        <v>0</v>
      </c>
      <c r="M18" s="71"/>
      <c r="N18" s="63">
        <f>IFERROR(VLOOKUP($B18,'TB YTD'!$4:$1048576,MATCH('List of Ledgers '!N$4,'TB YTD'!$4:$4,0),0),0)</f>
        <v>0</v>
      </c>
      <c r="O18" s="63">
        <f>IFERROR(VLOOKUP($B18,'TB YTD'!$4:$1048576,MATCH('List of Ledgers '!O$4,'TB YTD'!$4:$4,0),0),0)</f>
        <v>0</v>
      </c>
      <c r="P18" s="63">
        <f>IFERROR(VLOOKUP($B18,'TB YTD'!$4:$1048576,MATCH('List of Ledgers '!P$4,'TB YTD'!$4:$4,0),0),0)</f>
        <v>0</v>
      </c>
      <c r="Q18" s="63">
        <f>IFERROR(VLOOKUP($B18,'TB YTD'!$4:$1048576,MATCH('List of Ledgers '!Q$4,'TB YTD'!$4:$4,0),0),0)</f>
        <v>0</v>
      </c>
      <c r="R18" s="63"/>
    </row>
    <row r="19" spans="1:18" hidden="1" x14ac:dyDescent="0.25">
      <c r="A19" s="106">
        <v>15</v>
      </c>
      <c r="B19" s="2" t="s">
        <v>153</v>
      </c>
      <c r="C19" s="2" t="s">
        <v>154</v>
      </c>
      <c r="D19" s="12" t="s">
        <v>151</v>
      </c>
      <c r="E19" s="17" t="s">
        <v>152</v>
      </c>
      <c r="F19" s="12" t="s">
        <v>16</v>
      </c>
      <c r="G19" s="12" t="s">
        <v>4</v>
      </c>
      <c r="I19" s="37">
        <f>IFERROR(VLOOKUP(B19,'TB '!$A:$G,7,),0)</f>
        <v>0</v>
      </c>
      <c r="J19" s="37">
        <f>IFERROR(VLOOKUP($B19,'TB '!$4:$1048576,MATCH('List of Ledgers '!J$4,'TB '!$4:$4,0),0),0)</f>
        <v>0</v>
      </c>
      <c r="K19" s="37">
        <f>IFERROR(VLOOKUP($B19,'TB '!$4:$1048576,MATCH('List of Ledgers '!K$4,'TB '!$4:$4,0),0),0)</f>
        <v>0</v>
      </c>
      <c r="L19" s="37">
        <f>IFERROR(VLOOKUP(B19,'TB '!$A:$J,10,),0)</f>
        <v>0</v>
      </c>
      <c r="M19" s="71"/>
      <c r="N19" s="63">
        <f>IFERROR(VLOOKUP($B19,'TB YTD'!$4:$1048576,MATCH('List of Ledgers '!N$4,'TB YTD'!$4:$4,0),0),0)</f>
        <v>0</v>
      </c>
      <c r="O19" s="63">
        <f>IFERROR(VLOOKUP($B19,'TB YTD'!$4:$1048576,MATCH('List of Ledgers '!O$4,'TB YTD'!$4:$4,0),0),0)</f>
        <v>0</v>
      </c>
      <c r="P19" s="63">
        <f>IFERROR(VLOOKUP($B19,'TB YTD'!$4:$1048576,MATCH('List of Ledgers '!P$4,'TB YTD'!$4:$4,0),0),0)</f>
        <v>0</v>
      </c>
      <c r="Q19" s="63">
        <f>IFERROR(VLOOKUP($B19,'TB YTD'!$4:$1048576,MATCH('List of Ledgers '!Q$4,'TB YTD'!$4:$4,0),0),0)</f>
        <v>0</v>
      </c>
    </row>
    <row r="20" spans="1:18" hidden="1" x14ac:dyDescent="0.25">
      <c r="A20" s="106">
        <v>16</v>
      </c>
      <c r="B20" s="8" t="s">
        <v>155</v>
      </c>
      <c r="C20" s="8" t="s">
        <v>156</v>
      </c>
      <c r="D20" s="17" t="s">
        <v>128</v>
      </c>
      <c r="E20" s="17" t="s">
        <v>134</v>
      </c>
      <c r="G20" s="17" t="s">
        <v>2</v>
      </c>
      <c r="H20" s="62"/>
      <c r="I20" s="37">
        <f>IFERROR(VLOOKUP(B20,'TB '!$A:$G,7,),0)</f>
        <v>0</v>
      </c>
      <c r="J20" s="37">
        <f>IFERROR(VLOOKUP($B20,'TB '!$4:$1048576,MATCH('List of Ledgers '!J$4,'TB '!$4:$4,0),0),0)</f>
        <v>0</v>
      </c>
      <c r="K20" s="37">
        <f>IFERROR(VLOOKUP($B20,'TB '!$4:$1048576,MATCH('List of Ledgers '!K$4,'TB '!$4:$4,0),0),0)</f>
        <v>0</v>
      </c>
      <c r="L20" s="37">
        <f>IFERROR(VLOOKUP(B20,'TB '!$A:$J,10,),0)</f>
        <v>0</v>
      </c>
      <c r="M20" s="71"/>
      <c r="N20" s="63">
        <f>IFERROR(VLOOKUP($B20,'TB YTD'!$4:$1048576,MATCH('List of Ledgers '!N$4,'TB YTD'!$4:$4,0),0),0)</f>
        <v>0</v>
      </c>
      <c r="O20" s="63">
        <f>IFERROR(VLOOKUP($B20,'TB YTD'!$4:$1048576,MATCH('List of Ledgers '!O$4,'TB YTD'!$4:$4,0),0),0)</f>
        <v>15741</v>
      </c>
      <c r="P20" s="63">
        <f>IFERROR(VLOOKUP($B20,'TB YTD'!$4:$1048576,MATCH('List of Ledgers '!P$4,'TB YTD'!$4:$4,0),0),0)</f>
        <v>15741</v>
      </c>
      <c r="Q20" s="63">
        <f>IFERROR(VLOOKUP($B20,'TB YTD'!$4:$1048576,MATCH('List of Ledgers '!Q$4,'TB YTD'!$4:$4,0),0),0)</f>
        <v>0</v>
      </c>
      <c r="R20" s="63"/>
    </row>
    <row r="21" spans="1:18" hidden="1" x14ac:dyDescent="0.25">
      <c r="A21" s="106">
        <v>17</v>
      </c>
      <c r="B21" s="8" t="s">
        <v>157</v>
      </c>
      <c r="C21" s="8" t="s">
        <v>158</v>
      </c>
      <c r="D21" s="17" t="s">
        <v>128</v>
      </c>
      <c r="E21" s="17" t="s">
        <v>131</v>
      </c>
      <c r="G21" s="17" t="s">
        <v>4</v>
      </c>
      <c r="H21" s="62"/>
      <c r="I21" s="37">
        <f>IFERROR(VLOOKUP(B21,'TB '!$A:$G,7,),0)</f>
        <v>0</v>
      </c>
      <c r="J21" s="37">
        <f>IFERROR(VLOOKUP($B21,'TB '!$4:$1048576,MATCH('List of Ledgers '!J$4,'TB '!$4:$4,0),0),0)</f>
        <v>0</v>
      </c>
      <c r="K21" s="37">
        <f>IFERROR(VLOOKUP($B21,'TB '!$4:$1048576,MATCH('List of Ledgers '!K$4,'TB '!$4:$4,0),0),0)</f>
        <v>0</v>
      </c>
      <c r="L21" s="37">
        <f>IFERROR(VLOOKUP(B21,'TB '!$A:$J,10,),0)</f>
        <v>0</v>
      </c>
      <c r="M21" s="71"/>
      <c r="N21" s="63">
        <f>IFERROR(VLOOKUP($B21,'TB YTD'!$4:$1048576,MATCH('List of Ledgers '!N$4,'TB YTD'!$4:$4,0),0),0)</f>
        <v>0</v>
      </c>
      <c r="O21" s="63">
        <f>IFERROR(VLOOKUP($B21,'TB YTD'!$4:$1048576,MATCH('List of Ledgers '!O$4,'TB YTD'!$4:$4,0),0),0)</f>
        <v>5900</v>
      </c>
      <c r="P21" s="63">
        <f>IFERROR(VLOOKUP($B21,'TB YTD'!$4:$1048576,MATCH('List of Ledgers '!P$4,'TB YTD'!$4:$4,0),0),0)</f>
        <v>5900</v>
      </c>
      <c r="Q21" s="63">
        <f>IFERROR(VLOOKUP($B21,'TB YTD'!$4:$1048576,MATCH('List of Ledgers '!Q$4,'TB YTD'!$4:$4,0),0),0)</f>
        <v>0</v>
      </c>
      <c r="R21" s="63"/>
    </row>
    <row r="22" spans="1:18" hidden="1" x14ac:dyDescent="0.25">
      <c r="A22" s="106">
        <v>18</v>
      </c>
      <c r="B22" s="8" t="s">
        <v>159</v>
      </c>
      <c r="C22" s="8" t="s">
        <v>160</v>
      </c>
      <c r="D22" s="17"/>
      <c r="E22" s="17"/>
      <c r="G22" s="17"/>
      <c r="H22" s="62"/>
      <c r="I22" s="37">
        <f>IFERROR(VLOOKUP(B22,'TB '!$A:$G,7,),0)</f>
        <v>54886.38</v>
      </c>
      <c r="J22" s="37">
        <f>IFERROR(VLOOKUP($B22,'TB '!$4:$1048576,MATCH('List of Ledgers '!J$4,'TB '!$4:$4,0),0),0)</f>
        <v>0</v>
      </c>
      <c r="K22" s="37">
        <f>IFERROR(VLOOKUP($B22,'TB '!$4:$1048576,MATCH('List of Ledgers '!K$4,'TB '!$4:$4,0),0),0)</f>
        <v>0</v>
      </c>
      <c r="L22" s="37">
        <f>IFERROR(VLOOKUP(B22,'TB '!$A:$J,10,),0)</f>
        <v>54886.38</v>
      </c>
      <c r="M22" s="71"/>
      <c r="N22" s="63">
        <f>IFERROR(VLOOKUP($B22,'TB YTD'!$4:$1048576,MATCH('List of Ledgers '!N$4,'TB YTD'!$4:$4,0),0),0)</f>
        <v>54886.38</v>
      </c>
      <c r="O22" s="63">
        <f>IFERROR(VLOOKUP($B22,'TB YTD'!$4:$1048576,MATCH('List of Ledgers '!O$4,'TB YTD'!$4:$4,0),0),0)</f>
        <v>0</v>
      </c>
      <c r="P22" s="63">
        <f>IFERROR(VLOOKUP($B22,'TB YTD'!$4:$1048576,MATCH('List of Ledgers '!P$4,'TB YTD'!$4:$4,0),0),0)</f>
        <v>0</v>
      </c>
      <c r="Q22" s="63">
        <f>IFERROR(VLOOKUP($B22,'TB YTD'!$4:$1048576,MATCH('List of Ledgers '!Q$4,'TB YTD'!$4:$4,0),0),0)</f>
        <v>54886.38</v>
      </c>
      <c r="R22" s="63"/>
    </row>
    <row r="23" spans="1:18" hidden="1" x14ac:dyDescent="0.25">
      <c r="A23" s="165">
        <f>A22+1</f>
        <v>19</v>
      </c>
      <c r="B23" s="2" t="s">
        <v>1228</v>
      </c>
      <c r="C23" s="2" t="s">
        <v>130</v>
      </c>
      <c r="D23" s="17" t="s">
        <v>128</v>
      </c>
      <c r="E23" s="17" t="s">
        <v>131</v>
      </c>
      <c r="G23" s="17" t="s">
        <v>7</v>
      </c>
      <c r="I23" s="37">
        <f>IFERROR(VLOOKUP(B23,'TB '!$A:$G,7,),0)</f>
        <v>0</v>
      </c>
      <c r="J23" s="37">
        <f>IFERROR(VLOOKUP($B23,'TB '!$4:$1048576,MATCH('List of Ledgers '!J$4,'TB '!$4:$4,0),0),0)</f>
        <v>0</v>
      </c>
      <c r="K23" s="37">
        <f>IFERROR(VLOOKUP($B23,'TB '!$4:$1048576,MATCH('List of Ledgers '!K$4,'TB '!$4:$4,0),0),0)</f>
        <v>0</v>
      </c>
      <c r="L23" s="37">
        <f>IFERROR(VLOOKUP(B23,'TB '!$A:$J,10,),0)</f>
        <v>0</v>
      </c>
      <c r="M23" s="71"/>
      <c r="N23" s="63">
        <f>IFERROR(VLOOKUP($B23,'TB YTD'!$4:$1048576,MATCH('List of Ledgers '!N$4,'TB YTD'!$4:$4,0),0),0)</f>
        <v>0</v>
      </c>
      <c r="O23" s="63">
        <f>IFERROR(VLOOKUP($B23,'TB YTD'!$4:$1048576,MATCH('List of Ledgers '!O$4,'TB YTD'!$4:$4,0),0),0)</f>
        <v>124100</v>
      </c>
      <c r="P23" s="63">
        <f>IFERROR(VLOOKUP($B23,'TB YTD'!$4:$1048576,MATCH('List of Ledgers '!P$4,'TB YTD'!$4:$4,0),0),0)</f>
        <v>124100</v>
      </c>
      <c r="Q23" s="63">
        <f>IFERROR(VLOOKUP($B23,'TB YTD'!$4:$1048576,MATCH('List of Ledgers '!Q$4,'TB YTD'!$4:$4,0),0),0)</f>
        <v>0</v>
      </c>
      <c r="R23" s="63"/>
    </row>
    <row r="24" spans="1:18" hidden="1" x14ac:dyDescent="0.25">
      <c r="A24" s="106">
        <v>19</v>
      </c>
      <c r="B24" s="8" t="s">
        <v>161</v>
      </c>
      <c r="C24" s="8" t="s">
        <v>158</v>
      </c>
      <c r="D24" s="17" t="s">
        <v>128</v>
      </c>
      <c r="E24" s="17" t="s">
        <v>131</v>
      </c>
      <c r="G24" s="17" t="s">
        <v>4</v>
      </c>
      <c r="H24" s="62"/>
      <c r="I24" s="37">
        <f>IFERROR(VLOOKUP(B24,'TB '!$A:$G,7,),0)</f>
        <v>0</v>
      </c>
      <c r="J24" s="37">
        <f>IFERROR(VLOOKUP($B24,'TB '!$4:$1048576,MATCH('List of Ledgers '!J$4,'TB '!$4:$4,0),0),0)</f>
        <v>0</v>
      </c>
      <c r="K24" s="37">
        <f>IFERROR(VLOOKUP($B24,'TB '!$4:$1048576,MATCH('List of Ledgers '!K$4,'TB '!$4:$4,0),0),0)</f>
        <v>0</v>
      </c>
      <c r="L24" s="37">
        <f>IFERROR(VLOOKUP(B24,'TB '!$A:$J,10,),0)</f>
        <v>0</v>
      </c>
      <c r="M24" s="71"/>
      <c r="N24" s="63">
        <f>IFERROR(VLOOKUP($B24,'TB YTD'!$4:$1048576,MATCH('List of Ledgers '!N$4,'TB YTD'!$4:$4,0),0),0)</f>
        <v>0</v>
      </c>
      <c r="O24" s="63">
        <f>IFERROR(VLOOKUP($B24,'TB YTD'!$4:$1048576,MATCH('List of Ledgers '!O$4,'TB YTD'!$4:$4,0),0),0)</f>
        <v>0</v>
      </c>
      <c r="P24" s="63">
        <f>IFERROR(VLOOKUP($B24,'TB YTD'!$4:$1048576,MATCH('List of Ledgers '!P$4,'TB YTD'!$4:$4,0),0),0)</f>
        <v>0</v>
      </c>
      <c r="Q24" s="63">
        <f>IFERROR(VLOOKUP($B24,'TB YTD'!$4:$1048576,MATCH('List of Ledgers '!Q$4,'TB YTD'!$4:$4,0),0),0)</f>
        <v>0</v>
      </c>
      <c r="R24" s="63"/>
    </row>
    <row r="25" spans="1:18" hidden="1" x14ac:dyDescent="0.25">
      <c r="A25" s="106">
        <v>20</v>
      </c>
      <c r="B25" s="8" t="s">
        <v>162</v>
      </c>
      <c r="C25" s="8" t="s">
        <v>158</v>
      </c>
      <c r="D25" s="17" t="s">
        <v>128</v>
      </c>
      <c r="E25" s="17" t="s">
        <v>131</v>
      </c>
      <c r="G25" s="17" t="s">
        <v>4</v>
      </c>
      <c r="H25" s="62"/>
      <c r="I25" s="37">
        <f>IFERROR(VLOOKUP(B25,'TB '!$A:$G,7,),0)</f>
        <v>0</v>
      </c>
      <c r="J25" s="37">
        <f>IFERROR(VLOOKUP($B25,'TB '!$4:$1048576,MATCH('List of Ledgers '!J$4,'TB '!$4:$4,0),0),0)</f>
        <v>0</v>
      </c>
      <c r="K25" s="37">
        <f>IFERROR(VLOOKUP($B25,'TB '!$4:$1048576,MATCH('List of Ledgers '!K$4,'TB '!$4:$4,0),0),0)</f>
        <v>0</v>
      </c>
      <c r="L25" s="37">
        <f>IFERROR(VLOOKUP(B25,'TB '!$A:$J,10,),0)</f>
        <v>0</v>
      </c>
      <c r="M25" s="71"/>
      <c r="N25" s="63">
        <f>IFERROR(VLOOKUP($B25,'TB YTD'!$4:$1048576,MATCH('List of Ledgers '!N$4,'TB YTD'!$4:$4,0),0),0)</f>
        <v>0</v>
      </c>
      <c r="O25" s="63">
        <f>IFERROR(VLOOKUP($B25,'TB YTD'!$4:$1048576,MATCH('List of Ledgers '!O$4,'TB YTD'!$4:$4,0),0),0)</f>
        <v>0</v>
      </c>
      <c r="P25" s="63">
        <f>IFERROR(VLOOKUP($B25,'TB YTD'!$4:$1048576,MATCH('List of Ledgers '!P$4,'TB YTD'!$4:$4,0),0),0)</f>
        <v>0</v>
      </c>
      <c r="Q25" s="63">
        <f>IFERROR(VLOOKUP($B25,'TB YTD'!$4:$1048576,MATCH('List of Ledgers '!Q$4,'TB YTD'!$4:$4,0),0),0)</f>
        <v>0</v>
      </c>
      <c r="R25" s="63"/>
    </row>
    <row r="26" spans="1:18" hidden="1" x14ac:dyDescent="0.25">
      <c r="A26" s="106">
        <v>21</v>
      </c>
      <c r="B26" s="8" t="s">
        <v>163</v>
      </c>
      <c r="C26" s="8" t="s">
        <v>158</v>
      </c>
      <c r="D26" s="17" t="s">
        <v>128</v>
      </c>
      <c r="E26" s="17" t="s">
        <v>131</v>
      </c>
      <c r="G26" s="17" t="s">
        <v>4</v>
      </c>
      <c r="H26" s="62"/>
      <c r="I26" s="37">
        <f>IFERROR(VLOOKUP(B26,'TB '!$A:$G,7,),0)</f>
        <v>0</v>
      </c>
      <c r="J26" s="37">
        <f>IFERROR(VLOOKUP($B26,'TB '!$4:$1048576,MATCH('List of Ledgers '!J$4,'TB '!$4:$4,0),0),0)</f>
        <v>0</v>
      </c>
      <c r="K26" s="37">
        <f>IFERROR(VLOOKUP($B26,'TB '!$4:$1048576,MATCH('List of Ledgers '!K$4,'TB '!$4:$4,0),0),0)</f>
        <v>0</v>
      </c>
      <c r="L26" s="37">
        <f>IFERROR(VLOOKUP(B26,'TB '!$A:$J,10,),0)</f>
        <v>0</v>
      </c>
      <c r="M26" s="71"/>
      <c r="N26" s="63">
        <f>IFERROR(VLOOKUP($B26,'TB YTD'!$4:$1048576,MATCH('List of Ledgers '!N$4,'TB YTD'!$4:$4,0),0),0)</f>
        <v>0</v>
      </c>
      <c r="O26" s="63">
        <f>IFERROR(VLOOKUP($B26,'TB YTD'!$4:$1048576,MATCH('List of Ledgers '!O$4,'TB YTD'!$4:$4,0),0),0)</f>
        <v>0</v>
      </c>
      <c r="P26" s="63">
        <f>IFERROR(VLOOKUP($B26,'TB YTD'!$4:$1048576,MATCH('List of Ledgers '!P$4,'TB YTD'!$4:$4,0),0),0)</f>
        <v>0</v>
      </c>
      <c r="Q26" s="63">
        <f>IFERROR(VLOOKUP($B26,'TB YTD'!$4:$1048576,MATCH('List of Ledgers '!Q$4,'TB YTD'!$4:$4,0),0),0)</f>
        <v>0</v>
      </c>
      <c r="R26" s="63"/>
    </row>
    <row r="27" spans="1:18" hidden="1" x14ac:dyDescent="0.25">
      <c r="A27" s="106">
        <v>22</v>
      </c>
      <c r="B27" s="8" t="s">
        <v>164</v>
      </c>
      <c r="C27" s="8" t="s">
        <v>158</v>
      </c>
      <c r="D27" s="17" t="s">
        <v>128</v>
      </c>
      <c r="E27" s="17" t="s">
        <v>131</v>
      </c>
      <c r="G27" s="17" t="s">
        <v>4</v>
      </c>
      <c r="H27" s="62"/>
      <c r="I27" s="37">
        <f>IFERROR(VLOOKUP(B27,'TB '!$A:$G,7,),0)</f>
        <v>0</v>
      </c>
      <c r="J27" s="37">
        <f>IFERROR(VLOOKUP($B27,'TB '!$4:$1048576,MATCH('List of Ledgers '!J$4,'TB '!$4:$4,0),0),0)</f>
        <v>0</v>
      </c>
      <c r="K27" s="37">
        <f>IFERROR(VLOOKUP($B27,'TB '!$4:$1048576,MATCH('List of Ledgers '!K$4,'TB '!$4:$4,0),0),0)</f>
        <v>0</v>
      </c>
      <c r="L27" s="37">
        <f>IFERROR(VLOOKUP(B27,'TB '!$A:$J,10,),0)</f>
        <v>0</v>
      </c>
      <c r="M27" s="71"/>
      <c r="N27" s="63">
        <f>IFERROR(VLOOKUP($B27,'TB YTD'!$4:$1048576,MATCH('List of Ledgers '!N$4,'TB YTD'!$4:$4,0),0),0)</f>
        <v>0</v>
      </c>
      <c r="O27" s="63">
        <f>IFERROR(VLOOKUP($B27,'TB YTD'!$4:$1048576,MATCH('List of Ledgers '!O$4,'TB YTD'!$4:$4,0),0),0)</f>
        <v>0</v>
      </c>
      <c r="P27" s="63">
        <f>IFERROR(VLOOKUP($B27,'TB YTD'!$4:$1048576,MATCH('List of Ledgers '!P$4,'TB YTD'!$4:$4,0),0),0)</f>
        <v>0</v>
      </c>
      <c r="Q27" s="63">
        <f>IFERROR(VLOOKUP($B27,'TB YTD'!$4:$1048576,MATCH('List of Ledgers '!Q$4,'TB YTD'!$4:$4,0),0),0)</f>
        <v>0</v>
      </c>
      <c r="R27" s="63"/>
    </row>
    <row r="28" spans="1:18" hidden="1" x14ac:dyDescent="0.25">
      <c r="A28" s="106">
        <v>23</v>
      </c>
      <c r="B28" s="8" t="s">
        <v>165</v>
      </c>
      <c r="C28" s="8" t="s">
        <v>166</v>
      </c>
      <c r="D28" s="17" t="s">
        <v>151</v>
      </c>
      <c r="E28" s="17" t="s">
        <v>152</v>
      </c>
      <c r="F28" s="12" t="s">
        <v>69</v>
      </c>
      <c r="G28" s="17" t="s">
        <v>4</v>
      </c>
      <c r="H28" s="62"/>
      <c r="I28" s="37">
        <f>IFERROR(VLOOKUP(B28,'TB '!$A:$G,7,),0)</f>
        <v>0</v>
      </c>
      <c r="J28" s="37">
        <f>IFERROR(VLOOKUP($B28,'TB '!$4:$1048576,MATCH('List of Ledgers '!J$4,'TB '!$4:$4,0),0),0)</f>
        <v>0</v>
      </c>
      <c r="K28" s="37">
        <f>IFERROR(VLOOKUP($B28,'TB '!$4:$1048576,MATCH('List of Ledgers '!K$4,'TB '!$4:$4,0),0),0)</f>
        <v>0</v>
      </c>
      <c r="L28" s="37">
        <f>IFERROR(VLOOKUP(B28,'TB '!$A:$J,10,),0)</f>
        <v>0</v>
      </c>
      <c r="M28" s="71"/>
      <c r="N28" s="63">
        <f>IFERROR(VLOOKUP($B28,'TB YTD'!$4:$1048576,MATCH('List of Ledgers '!N$4,'TB YTD'!$4:$4,0),0),0)</f>
        <v>0</v>
      </c>
      <c r="O28" s="63">
        <f>IFERROR(VLOOKUP($B28,'TB YTD'!$4:$1048576,MATCH('List of Ledgers '!O$4,'TB YTD'!$4:$4,0),0),0)</f>
        <v>0</v>
      </c>
      <c r="P28" s="63">
        <f>IFERROR(VLOOKUP($B28,'TB YTD'!$4:$1048576,MATCH('List of Ledgers '!P$4,'TB YTD'!$4:$4,0),0),0)</f>
        <v>0</v>
      </c>
      <c r="Q28" s="63">
        <f>IFERROR(VLOOKUP($B28,'TB YTD'!$4:$1048576,MATCH('List of Ledgers '!Q$4,'TB YTD'!$4:$4,0),0),0)</f>
        <v>0</v>
      </c>
      <c r="R28" s="63"/>
    </row>
    <row r="29" spans="1:18" hidden="1" x14ac:dyDescent="0.25">
      <c r="A29" s="106">
        <v>24</v>
      </c>
      <c r="B29" s="8" t="s">
        <v>167</v>
      </c>
      <c r="C29" s="8" t="s">
        <v>140</v>
      </c>
      <c r="D29" s="17" t="s">
        <v>128</v>
      </c>
      <c r="E29" s="17" t="s">
        <v>131</v>
      </c>
      <c r="G29" s="17" t="s">
        <v>7</v>
      </c>
      <c r="H29" s="62"/>
      <c r="I29" s="37">
        <f>IFERROR(VLOOKUP(B29,'TB '!$A:$G,7,),0)</f>
        <v>0</v>
      </c>
      <c r="J29" s="37">
        <f>IFERROR(VLOOKUP($B29,'TB '!$4:$1048576,MATCH('List of Ledgers '!J$4,'TB '!$4:$4,0),0),0)</f>
        <v>21714</v>
      </c>
      <c r="K29" s="37">
        <f>IFERROR(VLOOKUP($B29,'TB '!$4:$1048576,MATCH('List of Ledgers '!K$4,'TB '!$4:$4,0),0),0)</f>
        <v>21714</v>
      </c>
      <c r="L29" s="37">
        <f>IFERROR(VLOOKUP(B29,'TB '!$A:$J,10,),0)</f>
        <v>0</v>
      </c>
      <c r="M29" s="71"/>
      <c r="N29" s="63">
        <f>IFERROR(VLOOKUP($B29,'TB YTD'!$4:$1048576,MATCH('List of Ledgers '!N$4,'TB YTD'!$4:$4,0),0),0)</f>
        <v>0</v>
      </c>
      <c r="O29" s="63">
        <f>IFERROR(VLOOKUP($B29,'TB YTD'!$4:$1048576,MATCH('List of Ledgers '!O$4,'TB YTD'!$4:$4,0),0),0)</f>
        <v>21714</v>
      </c>
      <c r="P29" s="63">
        <f>IFERROR(VLOOKUP($B29,'TB YTD'!$4:$1048576,MATCH('List of Ledgers '!P$4,'TB YTD'!$4:$4,0),0),0)</f>
        <v>21714</v>
      </c>
      <c r="Q29" s="63">
        <f>IFERROR(VLOOKUP($B29,'TB YTD'!$4:$1048576,MATCH('List of Ledgers '!Q$4,'TB YTD'!$4:$4,0),0),0)</f>
        <v>0</v>
      </c>
      <c r="R29" s="63"/>
    </row>
    <row r="30" spans="1:18" hidden="1" x14ac:dyDescent="0.25">
      <c r="A30" s="106">
        <v>25</v>
      </c>
      <c r="B30" s="8" t="s">
        <v>168</v>
      </c>
      <c r="C30" s="8" t="s">
        <v>158</v>
      </c>
      <c r="D30" s="17" t="s">
        <v>128</v>
      </c>
      <c r="E30" s="17" t="s">
        <v>131</v>
      </c>
      <c r="G30" s="17" t="s">
        <v>7</v>
      </c>
      <c r="H30" s="62"/>
      <c r="I30" s="37">
        <f>IFERROR(VLOOKUP(B30,'TB '!$A:$G,7,),0)</f>
        <v>0</v>
      </c>
      <c r="J30" s="37">
        <f>IFERROR(VLOOKUP($B30,'TB '!$4:$1048576,MATCH('List of Ledgers '!J$4,'TB '!$4:$4,0),0),0)</f>
        <v>1414.82</v>
      </c>
      <c r="K30" s="37">
        <f>IFERROR(VLOOKUP($B30,'TB '!$4:$1048576,MATCH('List of Ledgers '!K$4,'TB '!$4:$4,0),0),0)</f>
        <v>1414.82</v>
      </c>
      <c r="L30" s="37">
        <f>IFERROR(VLOOKUP(B30,'TB '!$A:$J,10,),0)</f>
        <v>0</v>
      </c>
      <c r="M30" s="71"/>
      <c r="N30" s="63">
        <f>IFERROR(VLOOKUP($B30,'TB YTD'!$4:$1048576,MATCH('List of Ledgers '!N$4,'TB YTD'!$4:$4,0),0),0)</f>
        <v>-6219.16</v>
      </c>
      <c r="O30" s="63">
        <f>IFERROR(VLOOKUP($B30,'TB YTD'!$4:$1048576,MATCH('List of Ledgers '!O$4,'TB YTD'!$4:$4,0),0),0)</f>
        <v>32293.08</v>
      </c>
      <c r="P30" s="63">
        <f>IFERROR(VLOOKUP($B30,'TB YTD'!$4:$1048576,MATCH('List of Ledgers '!P$4,'TB YTD'!$4:$4,0),0),0)</f>
        <v>26073.919999999998</v>
      </c>
      <c r="Q30" s="63">
        <f>IFERROR(VLOOKUP($B30,'TB YTD'!$4:$1048576,MATCH('List of Ledgers '!Q$4,'TB YTD'!$4:$4,0),0),0)</f>
        <v>0</v>
      </c>
      <c r="R30" s="63"/>
    </row>
    <row r="31" spans="1:18" hidden="1" x14ac:dyDescent="0.25">
      <c r="A31" s="165">
        <f>A30+1</f>
        <v>26</v>
      </c>
      <c r="B31" s="2" t="s">
        <v>1215</v>
      </c>
      <c r="C31" s="2" t="s">
        <v>1032</v>
      </c>
      <c r="D31" s="17" t="s">
        <v>128</v>
      </c>
      <c r="E31" s="17" t="s">
        <v>131</v>
      </c>
      <c r="G31" s="17" t="s">
        <v>9</v>
      </c>
      <c r="I31" s="37">
        <f>IFERROR(VLOOKUP(B31,'TB '!$A:$G,7,),0)</f>
        <v>455.32</v>
      </c>
      <c r="J31" s="37">
        <f>IFERROR(VLOOKUP($B31,'TB '!$4:$1048576,MATCH('List of Ledgers '!J$4,'TB '!$4:$4,0),0),0)</f>
        <v>133.5</v>
      </c>
      <c r="K31" s="37">
        <f>IFERROR(VLOOKUP($B31,'TB '!$4:$1048576,MATCH('List of Ledgers '!K$4,'TB '!$4:$4,0),0),0)</f>
        <v>588.82000000000005</v>
      </c>
      <c r="L31" s="37">
        <f>IFERROR(VLOOKUP(B31,'TB '!$A:$J,10,),0)</f>
        <v>0</v>
      </c>
      <c r="M31" s="71"/>
      <c r="N31" s="63">
        <f>IFERROR(VLOOKUP($B31,'TB YTD'!$4:$1048576,MATCH('List of Ledgers '!N$4,'TB YTD'!$4:$4,0),0),0)</f>
        <v>0</v>
      </c>
      <c r="O31" s="63">
        <f>IFERROR(VLOOKUP($B31,'TB YTD'!$4:$1048576,MATCH('List of Ledgers '!O$4,'TB YTD'!$4:$4,0),0),0)</f>
        <v>1633.5</v>
      </c>
      <c r="P31" s="63">
        <f>IFERROR(VLOOKUP($B31,'TB YTD'!$4:$1048576,MATCH('List of Ledgers '!P$4,'TB YTD'!$4:$4,0),0),0)</f>
        <v>1633.5</v>
      </c>
      <c r="Q31" s="63">
        <f>IFERROR(VLOOKUP($B31,'TB YTD'!$4:$1048576,MATCH('List of Ledgers '!Q$4,'TB YTD'!$4:$4,0),0),0)</f>
        <v>0</v>
      </c>
      <c r="R31" s="63"/>
    </row>
    <row r="32" spans="1:18" hidden="1" x14ac:dyDescent="0.25">
      <c r="A32" s="106">
        <v>26</v>
      </c>
      <c r="B32" s="8" t="s">
        <v>169</v>
      </c>
      <c r="C32" s="8" t="s">
        <v>158</v>
      </c>
      <c r="D32" s="17" t="s">
        <v>128</v>
      </c>
      <c r="E32" s="17" t="s">
        <v>131</v>
      </c>
      <c r="G32" s="17" t="s">
        <v>7</v>
      </c>
      <c r="H32" s="62"/>
      <c r="I32" s="37">
        <f>IFERROR(VLOOKUP(B32,'TB '!$A:$G,7,),0)</f>
        <v>0</v>
      </c>
      <c r="J32" s="37">
        <f>IFERROR(VLOOKUP($B32,'TB '!$4:$1048576,MATCH('List of Ledgers '!J$4,'TB '!$4:$4,0),0),0)</f>
        <v>1763</v>
      </c>
      <c r="K32" s="37">
        <f>IFERROR(VLOOKUP($B32,'TB '!$4:$1048576,MATCH('List of Ledgers '!K$4,'TB '!$4:$4,0),0),0)</f>
        <v>1763</v>
      </c>
      <c r="L32" s="37">
        <f>IFERROR(VLOOKUP(B32,'TB '!$A:$J,10,),0)</f>
        <v>0</v>
      </c>
      <c r="M32" s="71"/>
      <c r="N32" s="63">
        <f>IFERROR(VLOOKUP($B32,'TB YTD'!$4:$1048576,MATCH('List of Ledgers '!N$4,'TB YTD'!$4:$4,0),0),0)</f>
        <v>-6134</v>
      </c>
      <c r="O32" s="63">
        <f>IFERROR(VLOOKUP($B32,'TB YTD'!$4:$1048576,MATCH('List of Ledgers '!O$4,'TB YTD'!$4:$4,0),0),0)</f>
        <v>69851.23</v>
      </c>
      <c r="P32" s="63">
        <f>IFERROR(VLOOKUP($B32,'TB YTD'!$4:$1048576,MATCH('List of Ledgers '!P$4,'TB YTD'!$4:$4,0),0),0)</f>
        <v>63717.23</v>
      </c>
      <c r="Q32" s="63">
        <f>IFERROR(VLOOKUP($B32,'TB YTD'!$4:$1048576,MATCH('List of Ledgers '!Q$4,'TB YTD'!$4:$4,0),0),0)</f>
        <v>0</v>
      </c>
      <c r="R32" s="63"/>
    </row>
    <row r="33" spans="1:18" hidden="1" x14ac:dyDescent="0.25">
      <c r="A33" s="106">
        <v>27</v>
      </c>
      <c r="B33" s="8" t="s">
        <v>170</v>
      </c>
      <c r="C33" s="8" t="s">
        <v>158</v>
      </c>
      <c r="D33" s="17" t="s">
        <v>128</v>
      </c>
      <c r="E33" s="17" t="s">
        <v>131</v>
      </c>
      <c r="G33" s="17" t="s">
        <v>7</v>
      </c>
      <c r="H33" s="62"/>
      <c r="I33" s="37">
        <f>IFERROR(VLOOKUP(B33,'TB '!$A:$G,7,),0)</f>
        <v>0</v>
      </c>
      <c r="J33" s="37">
        <f>IFERROR(VLOOKUP($B33,'TB '!$4:$1048576,MATCH('List of Ledgers '!J$4,'TB '!$4:$4,0),0),0)</f>
        <v>0</v>
      </c>
      <c r="K33" s="37">
        <f>IFERROR(VLOOKUP($B33,'TB '!$4:$1048576,MATCH('List of Ledgers '!K$4,'TB '!$4:$4,0),0),0)</f>
        <v>1295.6400000000001</v>
      </c>
      <c r="L33" s="37">
        <f>IFERROR(VLOOKUP(B33,'TB '!$A:$J,10,),0)</f>
        <v>-1295.6400000000001</v>
      </c>
      <c r="M33" s="71"/>
      <c r="N33" s="63">
        <f>IFERROR(VLOOKUP($B33,'TB YTD'!$4:$1048576,MATCH('List of Ledgers '!N$4,'TB YTD'!$4:$4,0),0),0)</f>
        <v>0</v>
      </c>
      <c r="O33" s="63">
        <f>IFERROR(VLOOKUP($B33,'TB YTD'!$4:$1048576,MATCH('List of Ledgers '!O$4,'TB YTD'!$4:$4,0),0),0)</f>
        <v>529.82000000000005</v>
      </c>
      <c r="P33" s="63">
        <f>IFERROR(VLOOKUP($B33,'TB YTD'!$4:$1048576,MATCH('List of Ledgers '!P$4,'TB YTD'!$4:$4,0),0),0)</f>
        <v>1825.46</v>
      </c>
      <c r="Q33" s="63">
        <f>IFERROR(VLOOKUP($B33,'TB YTD'!$4:$1048576,MATCH('List of Ledgers '!Q$4,'TB YTD'!$4:$4,0),0),0)</f>
        <v>-1295.6400000000001</v>
      </c>
      <c r="R33" s="63"/>
    </row>
    <row r="34" spans="1:18" hidden="1" x14ac:dyDescent="0.25">
      <c r="A34" s="106">
        <v>28</v>
      </c>
      <c r="B34" s="8" t="s">
        <v>171</v>
      </c>
      <c r="C34" s="8" t="s">
        <v>172</v>
      </c>
      <c r="D34" s="17"/>
      <c r="E34" s="17"/>
      <c r="G34" s="17"/>
      <c r="H34" s="62"/>
      <c r="I34" s="37">
        <f>IFERROR(VLOOKUP(B34,'TB '!$A:$G,7,),0)</f>
        <v>5000</v>
      </c>
      <c r="J34" s="37">
        <f>IFERROR(VLOOKUP($B34,'TB '!$4:$1048576,MATCH('List of Ledgers '!J$4,'TB '!$4:$4,0),0),0)</f>
        <v>0</v>
      </c>
      <c r="K34" s="37">
        <f>IFERROR(VLOOKUP($B34,'TB '!$4:$1048576,MATCH('List of Ledgers '!K$4,'TB '!$4:$4,0),0),0)</f>
        <v>0</v>
      </c>
      <c r="L34" s="37">
        <f>IFERROR(VLOOKUP(B34,'TB '!$A:$J,10,),0)</f>
        <v>5000</v>
      </c>
      <c r="M34" s="71"/>
      <c r="N34" s="63">
        <f>IFERROR(VLOOKUP($B34,'TB YTD'!$4:$1048576,MATCH('List of Ledgers '!N$4,'TB YTD'!$4:$4,0),0),0)</f>
        <v>5000</v>
      </c>
      <c r="O34" s="63">
        <f>IFERROR(VLOOKUP($B34,'TB YTD'!$4:$1048576,MATCH('List of Ledgers '!O$4,'TB YTD'!$4:$4,0),0),0)</f>
        <v>0</v>
      </c>
      <c r="P34" s="63">
        <f>IFERROR(VLOOKUP($B34,'TB YTD'!$4:$1048576,MATCH('List of Ledgers '!P$4,'TB YTD'!$4:$4,0),0),0)</f>
        <v>0</v>
      </c>
      <c r="Q34" s="63">
        <f>IFERROR(VLOOKUP($B34,'TB YTD'!$4:$1048576,MATCH('List of Ledgers '!Q$4,'TB YTD'!$4:$4,0),0),0)</f>
        <v>5000</v>
      </c>
      <c r="R34" s="63"/>
    </row>
    <row r="35" spans="1:18" hidden="1" x14ac:dyDescent="0.25">
      <c r="A35" s="106">
        <v>29</v>
      </c>
      <c r="B35" s="8" t="s">
        <v>173</v>
      </c>
      <c r="C35" s="8" t="s">
        <v>140</v>
      </c>
      <c r="D35" s="17" t="s">
        <v>128</v>
      </c>
      <c r="E35" s="17" t="s">
        <v>131</v>
      </c>
      <c r="G35" s="17" t="s">
        <v>7</v>
      </c>
      <c r="H35" s="62"/>
      <c r="I35" s="37">
        <f>IFERROR(VLOOKUP(B35,'TB '!$A:$G,7,),0)</f>
        <v>0</v>
      </c>
      <c r="J35" s="37">
        <f>IFERROR(VLOOKUP($B35,'TB '!$4:$1048576,MATCH('List of Ledgers '!J$4,'TB '!$4:$4,0),0),0)</f>
        <v>0</v>
      </c>
      <c r="K35" s="37">
        <f>IFERROR(VLOOKUP($B35,'TB '!$4:$1048576,MATCH('List of Ledgers '!K$4,'TB '!$4:$4,0),0),0)</f>
        <v>0</v>
      </c>
      <c r="L35" s="37">
        <f>IFERROR(VLOOKUP(B35,'TB '!$A:$J,10,),0)</f>
        <v>0</v>
      </c>
      <c r="M35" s="71"/>
      <c r="N35" s="63">
        <f>IFERROR(VLOOKUP($B35,'TB YTD'!$4:$1048576,MATCH('List of Ledgers '!N$4,'TB YTD'!$4:$4,0),0),0)</f>
        <v>0</v>
      </c>
      <c r="O35" s="63">
        <f>IFERROR(VLOOKUP($B35,'TB YTD'!$4:$1048576,MATCH('List of Ledgers '!O$4,'TB YTD'!$4:$4,0),0),0)</f>
        <v>0</v>
      </c>
      <c r="P35" s="63">
        <f>IFERROR(VLOOKUP($B35,'TB YTD'!$4:$1048576,MATCH('List of Ledgers '!P$4,'TB YTD'!$4:$4,0),0),0)</f>
        <v>0</v>
      </c>
      <c r="Q35" s="63">
        <f>IFERROR(VLOOKUP($B35,'TB YTD'!$4:$1048576,MATCH('List of Ledgers '!Q$4,'TB YTD'!$4:$4,0),0),0)</f>
        <v>0</v>
      </c>
      <c r="R35" s="63"/>
    </row>
    <row r="36" spans="1:18" hidden="1" x14ac:dyDescent="0.25">
      <c r="A36" s="106">
        <v>30</v>
      </c>
      <c r="B36" s="8" t="s">
        <v>174</v>
      </c>
      <c r="C36" s="8" t="s">
        <v>142</v>
      </c>
      <c r="D36" s="17"/>
      <c r="E36" s="17"/>
      <c r="F36" s="153"/>
      <c r="G36" s="17"/>
      <c r="H36" s="62"/>
      <c r="I36" s="37">
        <f>IFERROR(VLOOKUP(B36,'TB '!$A:$G,7,),0)</f>
        <v>-94740264.390000001</v>
      </c>
      <c r="J36" s="37">
        <f>IFERROR(VLOOKUP($B36,'TB '!$4:$1048576,MATCH('List of Ledgers '!J$4,'TB '!$4:$4,0),0),0)</f>
        <v>0</v>
      </c>
      <c r="K36" s="37">
        <f>IFERROR(VLOOKUP($B36,'TB '!$4:$1048576,MATCH('List of Ledgers '!K$4,'TB '!$4:$4,0),0),0)</f>
        <v>0</v>
      </c>
      <c r="L36" s="37">
        <f>IFERROR(VLOOKUP(B36,'TB '!$A:$J,10,),0)</f>
        <v>-94740264.390000001</v>
      </c>
      <c r="M36" s="71"/>
      <c r="N36" s="63">
        <f>IFERROR(VLOOKUP($B36,'TB YTD'!$4:$1048576,MATCH('List of Ledgers '!N$4,'TB YTD'!$4:$4,0),0),0)</f>
        <v>-102312391.39</v>
      </c>
      <c r="O36" s="63">
        <f>IFERROR(VLOOKUP($B36,'TB YTD'!$4:$1048576,MATCH('List of Ledgers '!O$4,'TB YTD'!$4:$4,0),0),0)</f>
        <v>8281392</v>
      </c>
      <c r="P36" s="63">
        <f>IFERROR(VLOOKUP($B36,'TB YTD'!$4:$1048576,MATCH('List of Ledgers '!P$4,'TB YTD'!$4:$4,0),0),0)</f>
        <v>709265</v>
      </c>
      <c r="Q36" s="63">
        <f>IFERROR(VLOOKUP($B36,'TB YTD'!$4:$1048576,MATCH('List of Ledgers '!Q$4,'TB YTD'!$4:$4,0),0),0)</f>
        <v>-94740264.390000001</v>
      </c>
      <c r="R36" s="63"/>
    </row>
    <row r="37" spans="1:18" hidden="1" x14ac:dyDescent="0.25">
      <c r="A37" s="106">
        <v>31</v>
      </c>
      <c r="B37" s="8" t="s">
        <v>175</v>
      </c>
      <c r="C37" s="8" t="s">
        <v>176</v>
      </c>
      <c r="D37" s="17" t="s">
        <v>128</v>
      </c>
      <c r="E37" s="17" t="s">
        <v>131</v>
      </c>
      <c r="G37" s="17" t="s">
        <v>7</v>
      </c>
      <c r="H37" s="62"/>
      <c r="I37" s="37">
        <f>IFERROR(VLOOKUP(B37,'TB '!$A:$G,7,),0)</f>
        <v>0</v>
      </c>
      <c r="J37" s="37">
        <f>IFERROR(VLOOKUP($B37,'TB '!$4:$1048576,MATCH('List of Ledgers '!J$4,'TB '!$4:$4,0),0),0)</f>
        <v>0</v>
      </c>
      <c r="K37" s="37">
        <f>IFERROR(VLOOKUP($B37,'TB '!$4:$1048576,MATCH('List of Ledgers '!K$4,'TB '!$4:$4,0),0),0)</f>
        <v>0</v>
      </c>
      <c r="L37" s="37">
        <f>IFERROR(VLOOKUP(B37,'TB '!$A:$J,10,),0)</f>
        <v>0</v>
      </c>
      <c r="M37" s="71"/>
      <c r="N37" s="63">
        <f>IFERROR(VLOOKUP($B37,'TB YTD'!$4:$1048576,MATCH('List of Ledgers '!N$4,'TB YTD'!$4:$4,0),0),0)</f>
        <v>0</v>
      </c>
      <c r="O37" s="63">
        <f>IFERROR(VLOOKUP($B37,'TB YTD'!$4:$1048576,MATCH('List of Ledgers '!O$4,'TB YTD'!$4:$4,0),0),0)</f>
        <v>0</v>
      </c>
      <c r="P37" s="63">
        <f>IFERROR(VLOOKUP($B37,'TB YTD'!$4:$1048576,MATCH('List of Ledgers '!P$4,'TB YTD'!$4:$4,0),0),0)</f>
        <v>0</v>
      </c>
      <c r="Q37" s="63">
        <f>IFERROR(VLOOKUP($B37,'TB YTD'!$4:$1048576,MATCH('List of Ledgers '!Q$4,'TB YTD'!$4:$4,0),0),0)</f>
        <v>0</v>
      </c>
      <c r="R37" s="63"/>
    </row>
    <row r="38" spans="1:18" hidden="1" x14ac:dyDescent="0.25">
      <c r="A38" s="106">
        <v>32</v>
      </c>
      <c r="B38" s="2" t="s">
        <v>177</v>
      </c>
      <c r="C38" s="2" t="s">
        <v>158</v>
      </c>
      <c r="D38" s="17" t="s">
        <v>128</v>
      </c>
      <c r="E38" s="17" t="s">
        <v>131</v>
      </c>
      <c r="G38" s="17" t="s">
        <v>4</v>
      </c>
      <c r="I38" s="37">
        <f>IFERROR(VLOOKUP(B38,'TB '!$A:$G,7,),0)</f>
        <v>0</v>
      </c>
      <c r="J38" s="37">
        <f>IFERROR(VLOOKUP($B38,'TB '!$4:$1048576,MATCH('List of Ledgers '!J$4,'TB '!$4:$4,0),0),0)</f>
        <v>0</v>
      </c>
      <c r="K38" s="37">
        <f>IFERROR(VLOOKUP($B38,'TB '!$4:$1048576,MATCH('List of Ledgers '!K$4,'TB '!$4:$4,0),0),0)</f>
        <v>0</v>
      </c>
      <c r="L38" s="37">
        <f>IFERROR(VLOOKUP(B38,'TB '!$A:$J,10,),0)</f>
        <v>0</v>
      </c>
      <c r="M38" s="71"/>
      <c r="N38" s="63">
        <f>IFERROR(VLOOKUP($B38,'TB YTD'!$4:$1048576,MATCH('List of Ledgers '!N$4,'TB YTD'!$4:$4,0),0),0)</f>
        <v>0</v>
      </c>
      <c r="O38" s="63">
        <f>IFERROR(VLOOKUP($B38,'TB YTD'!$4:$1048576,MATCH('List of Ledgers '!O$4,'TB YTD'!$4:$4,0),0),0)</f>
        <v>110979</v>
      </c>
      <c r="P38" s="63">
        <f>IFERROR(VLOOKUP($B38,'TB YTD'!$4:$1048576,MATCH('List of Ledgers '!P$4,'TB YTD'!$4:$4,0),0),0)</f>
        <v>110979</v>
      </c>
      <c r="Q38" s="63">
        <f>IFERROR(VLOOKUP($B38,'TB YTD'!$4:$1048576,MATCH('List of Ledgers '!Q$4,'TB YTD'!$4:$4,0),0),0)</f>
        <v>0</v>
      </c>
    </row>
    <row r="39" spans="1:18" hidden="1" x14ac:dyDescent="0.25">
      <c r="A39" s="106">
        <v>33</v>
      </c>
      <c r="B39" s="8" t="s">
        <v>178</v>
      </c>
      <c r="C39" s="8" t="s">
        <v>158</v>
      </c>
      <c r="D39" s="17" t="s">
        <v>128</v>
      </c>
      <c r="E39" s="17" t="s">
        <v>131</v>
      </c>
      <c r="G39" s="17" t="s">
        <v>4</v>
      </c>
      <c r="H39" s="62"/>
      <c r="I39" s="37">
        <f>IFERROR(VLOOKUP(B39,'TB '!$A:$G,7,),0)</f>
        <v>0</v>
      </c>
      <c r="J39" s="37">
        <f>IFERROR(VLOOKUP($B39,'TB '!$4:$1048576,MATCH('List of Ledgers '!J$4,'TB '!$4:$4,0),0),0)</f>
        <v>0</v>
      </c>
      <c r="K39" s="37">
        <f>IFERROR(VLOOKUP($B39,'TB '!$4:$1048576,MATCH('List of Ledgers '!K$4,'TB '!$4:$4,0),0),0)</f>
        <v>0</v>
      </c>
      <c r="L39" s="37">
        <f>IFERROR(VLOOKUP(B39,'TB '!$A:$J,10,),0)</f>
        <v>0</v>
      </c>
      <c r="M39" s="71"/>
      <c r="N39" s="63">
        <f>IFERROR(VLOOKUP($B39,'TB YTD'!$4:$1048576,MATCH('List of Ledgers '!N$4,'TB YTD'!$4:$4,0),0),0)</f>
        <v>0</v>
      </c>
      <c r="O39" s="63">
        <f>IFERROR(VLOOKUP($B39,'TB YTD'!$4:$1048576,MATCH('List of Ledgers '!O$4,'TB YTD'!$4:$4,0),0),0)</f>
        <v>0</v>
      </c>
      <c r="P39" s="63">
        <f>IFERROR(VLOOKUP($B39,'TB YTD'!$4:$1048576,MATCH('List of Ledgers '!P$4,'TB YTD'!$4:$4,0),0),0)</f>
        <v>0</v>
      </c>
      <c r="Q39" s="63">
        <f>IFERROR(VLOOKUP($B39,'TB YTD'!$4:$1048576,MATCH('List of Ledgers '!Q$4,'TB YTD'!$4:$4,0),0),0)</f>
        <v>0</v>
      </c>
      <c r="R39" s="63"/>
    </row>
    <row r="40" spans="1:18" hidden="1" x14ac:dyDescent="0.25">
      <c r="A40" s="106">
        <v>34</v>
      </c>
      <c r="B40" s="8" t="s">
        <v>179</v>
      </c>
      <c r="C40" s="8" t="s">
        <v>180</v>
      </c>
      <c r="D40" s="17" t="s">
        <v>128</v>
      </c>
      <c r="E40" s="17" t="s">
        <v>131</v>
      </c>
      <c r="G40" s="17" t="s">
        <v>2</v>
      </c>
      <c r="H40" s="62"/>
      <c r="I40" s="37">
        <f>IFERROR(VLOOKUP(B40,'TB '!$A:$G,7,),0)</f>
        <v>0</v>
      </c>
      <c r="J40" s="37">
        <f>IFERROR(VLOOKUP($B40,'TB '!$4:$1048576,MATCH('List of Ledgers '!J$4,'TB '!$4:$4,0),0),0)</f>
        <v>0</v>
      </c>
      <c r="K40" s="37">
        <f>IFERROR(VLOOKUP($B40,'TB '!$4:$1048576,MATCH('List of Ledgers '!K$4,'TB '!$4:$4,0),0),0)</f>
        <v>0</v>
      </c>
      <c r="L40" s="37">
        <f>IFERROR(VLOOKUP(B40,'TB '!$A:$J,10,),0)</f>
        <v>0</v>
      </c>
      <c r="M40" s="71"/>
      <c r="N40" s="63">
        <f>IFERROR(VLOOKUP($B40,'TB YTD'!$4:$1048576,MATCH('List of Ledgers '!N$4,'TB YTD'!$4:$4,0),0),0)</f>
        <v>-221250</v>
      </c>
      <c r="O40" s="63">
        <f>IFERROR(VLOOKUP($B40,'TB YTD'!$4:$1048576,MATCH('List of Ledgers '!O$4,'TB YTD'!$4:$4,0),0),0)</f>
        <v>221250</v>
      </c>
      <c r="P40" s="63">
        <f>IFERROR(VLOOKUP($B40,'TB YTD'!$4:$1048576,MATCH('List of Ledgers '!P$4,'TB YTD'!$4:$4,0),0),0)</f>
        <v>0</v>
      </c>
      <c r="Q40" s="63">
        <f>IFERROR(VLOOKUP($B40,'TB YTD'!$4:$1048576,MATCH('List of Ledgers '!Q$4,'TB YTD'!$4:$4,0),0),0)</f>
        <v>0</v>
      </c>
      <c r="R40" s="63"/>
    </row>
    <row r="41" spans="1:18" hidden="1" x14ac:dyDescent="0.25">
      <c r="A41" s="106">
        <v>35</v>
      </c>
      <c r="B41" s="8" t="s">
        <v>181</v>
      </c>
      <c r="C41" s="8" t="s">
        <v>124</v>
      </c>
      <c r="D41" s="17"/>
      <c r="E41" s="17"/>
      <c r="G41" s="17"/>
      <c r="H41" s="62"/>
      <c r="I41" s="37">
        <f>IFERROR(VLOOKUP(B41,'TB '!$A:$G,7,),0)</f>
        <v>21405.96</v>
      </c>
      <c r="J41" s="37">
        <f>IFERROR(VLOOKUP($B41,'TB '!$4:$1048576,MATCH('List of Ledgers '!J$4,'TB '!$4:$4,0),0),0)</f>
        <v>0</v>
      </c>
      <c r="K41" s="37">
        <f>IFERROR(VLOOKUP($B41,'TB '!$4:$1048576,MATCH('List of Ledgers '!K$4,'TB '!$4:$4,0),0),0)</f>
        <v>0</v>
      </c>
      <c r="L41" s="37">
        <f>IFERROR(VLOOKUP(B41,'TB '!$A:$J,10,),0)</f>
        <v>21405.96</v>
      </c>
      <c r="M41" s="71"/>
      <c r="N41" s="63">
        <f>IFERROR(VLOOKUP($B41,'TB YTD'!$4:$1048576,MATCH('List of Ledgers '!N$4,'TB YTD'!$4:$4,0),0),0)</f>
        <v>21405.96</v>
      </c>
      <c r="O41" s="63">
        <f>IFERROR(VLOOKUP($B41,'TB YTD'!$4:$1048576,MATCH('List of Ledgers '!O$4,'TB YTD'!$4:$4,0),0),0)</f>
        <v>0</v>
      </c>
      <c r="P41" s="63">
        <f>IFERROR(VLOOKUP($B41,'TB YTD'!$4:$1048576,MATCH('List of Ledgers '!P$4,'TB YTD'!$4:$4,0),0),0)</f>
        <v>0</v>
      </c>
      <c r="Q41" s="63">
        <f>IFERROR(VLOOKUP($B41,'TB YTD'!$4:$1048576,MATCH('List of Ledgers '!Q$4,'TB YTD'!$4:$4,0),0),0)</f>
        <v>21405.96</v>
      </c>
      <c r="R41" s="63"/>
    </row>
    <row r="42" spans="1:18" hidden="1" x14ac:dyDescent="0.25">
      <c r="A42" s="106">
        <v>36</v>
      </c>
      <c r="B42" s="8" t="s">
        <v>182</v>
      </c>
      <c r="C42" s="8" t="s">
        <v>183</v>
      </c>
      <c r="D42" s="17" t="s">
        <v>128</v>
      </c>
      <c r="E42" s="17" t="s">
        <v>134</v>
      </c>
      <c r="G42" s="17" t="s">
        <v>2</v>
      </c>
      <c r="H42" s="62"/>
      <c r="I42" s="37">
        <f>IFERROR(VLOOKUP(B42,'TB '!$A:$G,7,),0)</f>
        <v>0</v>
      </c>
      <c r="J42" s="37">
        <f>IFERROR(VLOOKUP($B42,'TB '!$4:$1048576,MATCH('List of Ledgers '!J$4,'TB '!$4:$4,0),0),0)</f>
        <v>0</v>
      </c>
      <c r="K42" s="37">
        <f>IFERROR(VLOOKUP($B42,'TB '!$4:$1048576,MATCH('List of Ledgers '!K$4,'TB '!$4:$4,0),0),0)</f>
        <v>0</v>
      </c>
      <c r="L42" s="37">
        <f>IFERROR(VLOOKUP(B42,'TB '!$A:$J,10,),0)</f>
        <v>0</v>
      </c>
      <c r="M42" s="71"/>
      <c r="N42" s="63">
        <f>IFERROR(VLOOKUP($B42,'TB YTD'!$4:$1048576,MATCH('List of Ledgers '!N$4,'TB YTD'!$4:$4,0),0),0)</f>
        <v>0</v>
      </c>
      <c r="O42" s="63">
        <f>IFERROR(VLOOKUP($B42,'TB YTD'!$4:$1048576,MATCH('List of Ledgers '!O$4,'TB YTD'!$4:$4,0),0),0)</f>
        <v>0</v>
      </c>
      <c r="P42" s="63">
        <f>IFERROR(VLOOKUP($B42,'TB YTD'!$4:$1048576,MATCH('List of Ledgers '!P$4,'TB YTD'!$4:$4,0),0),0)</f>
        <v>0</v>
      </c>
      <c r="Q42" s="63">
        <f>IFERROR(VLOOKUP($B42,'TB YTD'!$4:$1048576,MATCH('List of Ledgers '!Q$4,'TB YTD'!$4:$4,0),0),0)</f>
        <v>0</v>
      </c>
      <c r="R42" s="63"/>
    </row>
    <row r="43" spans="1:18" hidden="1" x14ac:dyDescent="0.25">
      <c r="A43" s="106">
        <v>37</v>
      </c>
      <c r="B43" s="8" t="s">
        <v>184</v>
      </c>
      <c r="C43" s="8" t="s">
        <v>185</v>
      </c>
      <c r="D43" s="106" t="s">
        <v>128</v>
      </c>
      <c r="E43" s="17" t="s">
        <v>134</v>
      </c>
      <c r="G43" s="17" t="s">
        <v>3</v>
      </c>
      <c r="H43" s="62"/>
      <c r="I43" s="37">
        <f>IFERROR(VLOOKUP(B43,'TB '!$A:$G,7,),0)</f>
        <v>0</v>
      </c>
      <c r="J43" s="37">
        <f>IFERROR(VLOOKUP($B43,'TB '!$4:$1048576,MATCH('List of Ledgers '!J$4,'TB '!$4:$4,0),0),0)</f>
        <v>0</v>
      </c>
      <c r="K43" s="37">
        <f>IFERROR(VLOOKUP($B43,'TB '!$4:$1048576,MATCH('List of Ledgers '!K$4,'TB '!$4:$4,0),0),0)</f>
        <v>0</v>
      </c>
      <c r="L43" s="37">
        <f>IFERROR(VLOOKUP(B43,'TB '!$A:$J,10,),0)</f>
        <v>0</v>
      </c>
      <c r="M43" s="71"/>
      <c r="N43" s="63">
        <f>IFERROR(VLOOKUP($B43,'TB YTD'!$4:$1048576,MATCH('List of Ledgers '!N$4,'TB YTD'!$4:$4,0),0),0)</f>
        <v>0</v>
      </c>
      <c r="O43" s="63">
        <f>IFERROR(VLOOKUP($B43,'TB YTD'!$4:$1048576,MATCH('List of Ledgers '!O$4,'TB YTD'!$4:$4,0),0),0)</f>
        <v>31288</v>
      </c>
      <c r="P43" s="63">
        <f>IFERROR(VLOOKUP($B43,'TB YTD'!$4:$1048576,MATCH('List of Ledgers '!P$4,'TB YTD'!$4:$4,0),0),0)</f>
        <v>31288</v>
      </c>
      <c r="Q43" s="63">
        <f>IFERROR(VLOOKUP($B43,'TB YTD'!$4:$1048576,MATCH('List of Ledgers '!Q$4,'TB YTD'!$4:$4,0),0),0)</f>
        <v>0</v>
      </c>
      <c r="R43" s="63"/>
    </row>
    <row r="44" spans="1:18" hidden="1" x14ac:dyDescent="0.25">
      <c r="A44" s="106">
        <v>38</v>
      </c>
      <c r="B44" s="8" t="s">
        <v>186</v>
      </c>
      <c r="C44" s="8" t="s">
        <v>187</v>
      </c>
      <c r="D44" s="17" t="s">
        <v>128</v>
      </c>
      <c r="E44" s="17" t="s">
        <v>134</v>
      </c>
      <c r="G44" s="17" t="s">
        <v>2</v>
      </c>
      <c r="H44" s="62"/>
      <c r="I44" s="37">
        <f>IFERROR(VLOOKUP(B44,'TB '!$A:$G,7,),0)</f>
        <v>0</v>
      </c>
      <c r="J44" s="37">
        <f>IFERROR(VLOOKUP($B44,'TB '!$4:$1048576,MATCH('List of Ledgers '!J$4,'TB '!$4:$4,0),0),0)</f>
        <v>0</v>
      </c>
      <c r="K44" s="37">
        <f>IFERROR(VLOOKUP($B44,'TB '!$4:$1048576,MATCH('List of Ledgers '!K$4,'TB '!$4:$4,0),0),0)</f>
        <v>0</v>
      </c>
      <c r="L44" s="37">
        <f>IFERROR(VLOOKUP(B44,'TB '!$A:$J,10,),0)</f>
        <v>0</v>
      </c>
      <c r="M44" s="71"/>
      <c r="N44" s="63">
        <f>IFERROR(VLOOKUP($B44,'TB YTD'!$4:$1048576,MATCH('List of Ledgers '!N$4,'TB YTD'!$4:$4,0),0),0)</f>
        <v>0</v>
      </c>
      <c r="O44" s="63">
        <f>IFERROR(VLOOKUP($B44,'TB YTD'!$4:$1048576,MATCH('List of Ledgers '!O$4,'TB YTD'!$4:$4,0),0),0)</f>
        <v>0</v>
      </c>
      <c r="P44" s="63">
        <f>IFERROR(VLOOKUP($B44,'TB YTD'!$4:$1048576,MATCH('List of Ledgers '!P$4,'TB YTD'!$4:$4,0),0),0)</f>
        <v>0</v>
      </c>
      <c r="Q44" s="63">
        <f>IFERROR(VLOOKUP($B44,'TB YTD'!$4:$1048576,MATCH('List of Ledgers '!Q$4,'TB YTD'!$4:$4,0),0),0)</f>
        <v>0</v>
      </c>
      <c r="R44" s="63"/>
    </row>
    <row r="45" spans="1:18" hidden="1" x14ac:dyDescent="0.25">
      <c r="A45" s="106">
        <v>39</v>
      </c>
      <c r="B45" s="8" t="s">
        <v>188</v>
      </c>
      <c r="C45" s="8" t="s">
        <v>189</v>
      </c>
      <c r="D45" s="17" t="s">
        <v>128</v>
      </c>
      <c r="E45" s="17" t="s">
        <v>131</v>
      </c>
      <c r="G45" s="17" t="s">
        <v>7</v>
      </c>
      <c r="H45" s="62"/>
      <c r="I45" s="37">
        <f>IFERROR(VLOOKUP(B45,'TB '!$A:$G,7,),0)</f>
        <v>0</v>
      </c>
      <c r="J45" s="37">
        <f>IFERROR(VLOOKUP($B45,'TB '!$4:$1048576,MATCH('List of Ledgers '!J$4,'TB '!$4:$4,0),0),0)</f>
        <v>0</v>
      </c>
      <c r="K45" s="37">
        <f>IFERROR(VLOOKUP($B45,'TB '!$4:$1048576,MATCH('List of Ledgers '!K$4,'TB '!$4:$4,0),0),0)</f>
        <v>0</v>
      </c>
      <c r="L45" s="37">
        <f>IFERROR(VLOOKUP(B45,'TB '!$A:$J,10,),0)</f>
        <v>0</v>
      </c>
      <c r="M45" s="71"/>
      <c r="N45" s="63">
        <f>IFERROR(VLOOKUP($B45,'TB YTD'!$4:$1048576,MATCH('List of Ledgers '!N$4,'TB YTD'!$4:$4,0),0),0)</f>
        <v>164182.82</v>
      </c>
      <c r="O45" s="63">
        <f>IFERROR(VLOOKUP($B45,'TB YTD'!$4:$1048576,MATCH('List of Ledgers '!O$4,'TB YTD'!$4:$4,0),0),0)</f>
        <v>151904</v>
      </c>
      <c r="P45" s="63">
        <f>IFERROR(VLOOKUP($B45,'TB YTD'!$4:$1048576,MATCH('List of Ledgers '!P$4,'TB YTD'!$4:$4,0),0),0)</f>
        <v>316086.82</v>
      </c>
      <c r="Q45" s="63">
        <f>IFERROR(VLOOKUP($B45,'TB YTD'!$4:$1048576,MATCH('List of Ledgers '!Q$4,'TB YTD'!$4:$4,0),0),0)</f>
        <v>0</v>
      </c>
      <c r="R45" s="63"/>
    </row>
    <row r="46" spans="1:18" hidden="1" x14ac:dyDescent="0.25">
      <c r="A46" s="106">
        <v>40</v>
      </c>
      <c r="B46" s="8" t="s">
        <v>190</v>
      </c>
      <c r="C46" s="8" t="s">
        <v>189</v>
      </c>
      <c r="D46" s="17" t="s">
        <v>128</v>
      </c>
      <c r="E46" s="17" t="s">
        <v>131</v>
      </c>
      <c r="G46" s="17" t="s">
        <v>7</v>
      </c>
      <c r="H46" s="62"/>
      <c r="I46" s="37">
        <f>IFERROR(VLOOKUP(B46,'TB '!$A:$G,7,),0)</f>
        <v>0</v>
      </c>
      <c r="J46" s="37">
        <f>IFERROR(VLOOKUP($B46,'TB '!$4:$1048576,MATCH('List of Ledgers '!J$4,'TB '!$4:$4,0),0),0)</f>
        <v>0</v>
      </c>
      <c r="K46" s="37">
        <f>IFERROR(VLOOKUP($B46,'TB '!$4:$1048576,MATCH('List of Ledgers '!K$4,'TB '!$4:$4,0),0),0)</f>
        <v>0</v>
      </c>
      <c r="L46" s="37">
        <f>IFERROR(VLOOKUP(B46,'TB '!$A:$J,10,),0)</f>
        <v>0</v>
      </c>
      <c r="M46" s="71"/>
      <c r="N46" s="63">
        <f>IFERROR(VLOOKUP($B46,'TB YTD'!$4:$1048576,MATCH('List of Ledgers '!N$4,'TB YTD'!$4:$4,0),0),0)</f>
        <v>42199</v>
      </c>
      <c r="O46" s="63">
        <f>IFERROR(VLOOKUP($B46,'TB YTD'!$4:$1048576,MATCH('List of Ledgers '!O$4,'TB YTD'!$4:$4,0),0),0)</f>
        <v>388748</v>
      </c>
      <c r="P46" s="63">
        <f>IFERROR(VLOOKUP($B46,'TB YTD'!$4:$1048576,MATCH('List of Ledgers '!P$4,'TB YTD'!$4:$4,0),0),0)</f>
        <v>430947</v>
      </c>
      <c r="Q46" s="63">
        <f>IFERROR(VLOOKUP($B46,'TB YTD'!$4:$1048576,MATCH('List of Ledgers '!Q$4,'TB YTD'!$4:$4,0),0),0)</f>
        <v>0</v>
      </c>
      <c r="R46" s="63"/>
    </row>
    <row r="47" spans="1:18" hidden="1" x14ac:dyDescent="0.25">
      <c r="A47" s="106">
        <v>41</v>
      </c>
      <c r="B47" s="8" t="s">
        <v>191</v>
      </c>
      <c r="C47" s="8" t="s">
        <v>144</v>
      </c>
      <c r="D47" s="17"/>
      <c r="E47" s="17"/>
      <c r="G47" s="17"/>
      <c r="H47" s="62"/>
      <c r="I47" s="37">
        <f>IFERROR(VLOOKUP(B47,'TB '!$A:$G,7,),0)</f>
        <v>0</v>
      </c>
      <c r="J47" s="37">
        <f>IFERROR(VLOOKUP($B47,'TB '!$4:$1048576,MATCH('List of Ledgers '!J$4,'TB '!$4:$4,0),0),0)</f>
        <v>0</v>
      </c>
      <c r="K47" s="37">
        <f>IFERROR(VLOOKUP($B47,'TB '!$4:$1048576,MATCH('List of Ledgers '!K$4,'TB '!$4:$4,0),0),0)</f>
        <v>0</v>
      </c>
      <c r="L47" s="37">
        <f>IFERROR(VLOOKUP(B47,'TB '!$A:$J,10,),0)</f>
        <v>0</v>
      </c>
      <c r="M47" s="71"/>
      <c r="N47" s="63">
        <f>IFERROR(VLOOKUP($B47,'TB YTD'!$4:$1048576,MATCH('List of Ledgers '!N$4,'TB YTD'!$4:$4,0),0),0)</f>
        <v>0</v>
      </c>
      <c r="O47" s="63">
        <f>IFERROR(VLOOKUP($B47,'TB YTD'!$4:$1048576,MATCH('List of Ledgers '!O$4,'TB YTD'!$4:$4,0),0),0)</f>
        <v>0</v>
      </c>
      <c r="P47" s="63">
        <f>IFERROR(VLOOKUP($B47,'TB YTD'!$4:$1048576,MATCH('List of Ledgers '!P$4,'TB YTD'!$4:$4,0),0),0)</f>
        <v>0</v>
      </c>
      <c r="Q47" s="63">
        <f>IFERROR(VLOOKUP($B47,'TB YTD'!$4:$1048576,MATCH('List of Ledgers '!Q$4,'TB YTD'!$4:$4,0),0),0)</f>
        <v>0</v>
      </c>
      <c r="R47" s="63"/>
    </row>
    <row r="48" spans="1:18" hidden="1" x14ac:dyDescent="0.25">
      <c r="A48" s="106">
        <v>42</v>
      </c>
      <c r="B48" s="8" t="s">
        <v>192</v>
      </c>
      <c r="C48" s="8" t="s">
        <v>193</v>
      </c>
      <c r="D48" s="17" t="s">
        <v>128</v>
      </c>
      <c r="E48" s="17"/>
      <c r="G48" s="17" t="s">
        <v>11</v>
      </c>
      <c r="H48" s="62"/>
      <c r="I48" s="37">
        <f>IFERROR(VLOOKUP(B48,'TB '!$A:$G,7,),0)</f>
        <v>0</v>
      </c>
      <c r="J48" s="37">
        <f>IFERROR(VLOOKUP($B48,'TB '!$4:$1048576,MATCH('List of Ledgers '!J$4,'TB '!$4:$4,0),0),0)</f>
        <v>0</v>
      </c>
      <c r="K48" s="37">
        <f>IFERROR(VLOOKUP($B48,'TB '!$4:$1048576,MATCH('List of Ledgers '!K$4,'TB '!$4:$4,0),0),0)</f>
        <v>0</v>
      </c>
      <c r="L48" s="37">
        <f>IFERROR(VLOOKUP(B48,'TB '!$A:$J,10,),0)</f>
        <v>0</v>
      </c>
      <c r="M48" s="71"/>
      <c r="N48" s="63">
        <f>IFERROR(VLOOKUP($B48,'TB YTD'!$4:$1048576,MATCH('List of Ledgers '!N$4,'TB YTD'!$4:$4,0),0),0)</f>
        <v>0</v>
      </c>
      <c r="O48" s="63">
        <f>IFERROR(VLOOKUP($B48,'TB YTD'!$4:$1048576,MATCH('List of Ledgers '!O$4,'TB YTD'!$4:$4,0),0),0)</f>
        <v>0</v>
      </c>
      <c r="P48" s="63">
        <f>IFERROR(VLOOKUP($B48,'TB YTD'!$4:$1048576,MATCH('List of Ledgers '!P$4,'TB YTD'!$4:$4,0),0),0)</f>
        <v>0</v>
      </c>
      <c r="Q48" s="63">
        <f>IFERROR(VLOOKUP($B48,'TB YTD'!$4:$1048576,MATCH('List of Ledgers '!Q$4,'TB YTD'!$4:$4,0),0),0)</f>
        <v>0</v>
      </c>
      <c r="R48" s="63"/>
    </row>
    <row r="49" spans="1:18" hidden="1" x14ac:dyDescent="0.25">
      <c r="A49" s="106">
        <v>43</v>
      </c>
      <c r="B49" s="8" t="s">
        <v>194</v>
      </c>
      <c r="C49" s="8" t="s">
        <v>193</v>
      </c>
      <c r="D49" s="17" t="s">
        <v>128</v>
      </c>
      <c r="E49" s="17"/>
      <c r="G49" s="17" t="s">
        <v>11</v>
      </c>
      <c r="H49" s="62"/>
      <c r="I49" s="37">
        <f>IFERROR(VLOOKUP(B49,'TB '!$A:$G,7,),0)</f>
        <v>-12484.11</v>
      </c>
      <c r="J49" s="37">
        <f>IFERROR(VLOOKUP($B49,'TB '!$4:$1048576,MATCH('List of Ledgers '!J$4,'TB '!$4:$4,0),0),0)</f>
        <v>0</v>
      </c>
      <c r="K49" s="37">
        <f>IFERROR(VLOOKUP($B49,'TB '!$4:$1048576,MATCH('List of Ledgers '!K$4,'TB '!$4:$4,0),0),0)</f>
        <v>0</v>
      </c>
      <c r="L49" s="37">
        <f>IFERROR(VLOOKUP(B49,'TB '!$A:$J,10,),0)</f>
        <v>-12484.11</v>
      </c>
      <c r="M49" s="71"/>
      <c r="N49" s="63">
        <f>IFERROR(VLOOKUP($B49,'TB YTD'!$4:$1048576,MATCH('List of Ledgers '!N$4,'TB YTD'!$4:$4,0),0),0)</f>
        <v>0</v>
      </c>
      <c r="O49" s="63">
        <f>IFERROR(VLOOKUP($B49,'TB YTD'!$4:$1048576,MATCH('List of Ledgers '!O$4,'TB YTD'!$4:$4,0),0),0)</f>
        <v>5282157.59</v>
      </c>
      <c r="P49" s="63">
        <f>IFERROR(VLOOKUP($B49,'TB YTD'!$4:$1048576,MATCH('List of Ledgers '!P$4,'TB YTD'!$4:$4,0),0),0)</f>
        <v>5294641.7</v>
      </c>
      <c r="Q49" s="63">
        <f>IFERROR(VLOOKUP($B49,'TB YTD'!$4:$1048576,MATCH('List of Ledgers '!Q$4,'TB YTD'!$4:$4,0),0),0)</f>
        <v>-12484.11</v>
      </c>
      <c r="R49" s="63"/>
    </row>
    <row r="50" spans="1:18" hidden="1" x14ac:dyDescent="0.25">
      <c r="A50" s="106">
        <v>44</v>
      </c>
      <c r="B50" s="8" t="s">
        <v>195</v>
      </c>
      <c r="C50" s="8" t="s">
        <v>136</v>
      </c>
      <c r="D50" s="12" t="s">
        <v>128</v>
      </c>
      <c r="E50" s="12" t="s">
        <v>134</v>
      </c>
      <c r="G50" s="12" t="s">
        <v>2</v>
      </c>
      <c r="H50" s="62"/>
      <c r="I50" s="37">
        <f>IFERROR(VLOOKUP(B50,'TB '!$A:$G,7,),0)</f>
        <v>0</v>
      </c>
      <c r="J50" s="37">
        <f>IFERROR(VLOOKUP($B50,'TB '!$4:$1048576,MATCH('List of Ledgers '!J$4,'TB '!$4:$4,0),0),0)</f>
        <v>0</v>
      </c>
      <c r="K50" s="37">
        <f>IFERROR(VLOOKUP($B50,'TB '!$4:$1048576,MATCH('List of Ledgers '!K$4,'TB '!$4:$4,0),0),0)</f>
        <v>0</v>
      </c>
      <c r="L50" s="37">
        <f>IFERROR(VLOOKUP(B50,'TB '!$A:$J,10,),0)</f>
        <v>0</v>
      </c>
      <c r="M50" s="71"/>
      <c r="N50" s="63">
        <f>IFERROR(VLOOKUP($B50,'TB YTD'!$4:$1048576,MATCH('List of Ledgers '!N$4,'TB YTD'!$4:$4,0),0),0)</f>
        <v>0</v>
      </c>
      <c r="O50" s="63">
        <f>IFERROR(VLOOKUP($B50,'TB YTD'!$4:$1048576,MATCH('List of Ledgers '!O$4,'TB YTD'!$4:$4,0),0),0)</f>
        <v>0</v>
      </c>
      <c r="P50" s="63">
        <f>IFERROR(VLOOKUP($B50,'TB YTD'!$4:$1048576,MATCH('List of Ledgers '!P$4,'TB YTD'!$4:$4,0),0),0)</f>
        <v>0</v>
      </c>
      <c r="Q50" s="63">
        <f>IFERROR(VLOOKUP($B50,'TB YTD'!$4:$1048576,MATCH('List of Ledgers '!Q$4,'TB YTD'!$4:$4,0),0),0)</f>
        <v>0</v>
      </c>
      <c r="R50" s="63"/>
    </row>
    <row r="51" spans="1:18" hidden="1" x14ac:dyDescent="0.25">
      <c r="A51" s="106">
        <v>45</v>
      </c>
      <c r="B51" s="8" t="s">
        <v>196</v>
      </c>
      <c r="C51" s="8" t="s">
        <v>140</v>
      </c>
      <c r="D51" s="17" t="s">
        <v>128</v>
      </c>
      <c r="E51" s="17" t="s">
        <v>131</v>
      </c>
      <c r="G51" s="17" t="s">
        <v>7</v>
      </c>
      <c r="H51" s="62"/>
      <c r="I51" s="37">
        <f>IFERROR(VLOOKUP(B51,'TB '!$A:$G,7,),0)</f>
        <v>0</v>
      </c>
      <c r="J51" s="37">
        <f>IFERROR(VLOOKUP($B51,'TB '!$4:$1048576,MATCH('List of Ledgers '!J$4,'TB '!$4:$4,0),0),0)</f>
        <v>0</v>
      </c>
      <c r="K51" s="37">
        <f>IFERROR(VLOOKUP($B51,'TB '!$4:$1048576,MATCH('List of Ledgers '!K$4,'TB '!$4:$4,0),0),0)</f>
        <v>0</v>
      </c>
      <c r="L51" s="37">
        <f>IFERROR(VLOOKUP(B51,'TB '!$A:$J,10,),0)</f>
        <v>0</v>
      </c>
      <c r="M51" s="71"/>
      <c r="N51" s="63">
        <f>IFERROR(VLOOKUP($B51,'TB YTD'!$4:$1048576,MATCH('List of Ledgers '!N$4,'TB YTD'!$4:$4,0),0),0)</f>
        <v>0</v>
      </c>
      <c r="O51" s="63">
        <f>IFERROR(VLOOKUP($B51,'TB YTD'!$4:$1048576,MATCH('List of Ledgers '!O$4,'TB YTD'!$4:$4,0),0),0)</f>
        <v>0</v>
      </c>
      <c r="P51" s="63">
        <f>IFERROR(VLOOKUP($B51,'TB YTD'!$4:$1048576,MATCH('List of Ledgers '!P$4,'TB YTD'!$4:$4,0),0),0)</f>
        <v>0</v>
      </c>
      <c r="Q51" s="63">
        <f>IFERROR(VLOOKUP($B51,'TB YTD'!$4:$1048576,MATCH('List of Ledgers '!Q$4,'TB YTD'!$4:$4,0),0),0)</f>
        <v>0</v>
      </c>
      <c r="R51" s="63"/>
    </row>
    <row r="52" spans="1:18" hidden="1" x14ac:dyDescent="0.25">
      <c r="A52" s="106">
        <v>46</v>
      </c>
      <c r="B52" s="8" t="s">
        <v>197</v>
      </c>
      <c r="C52" s="8" t="s">
        <v>198</v>
      </c>
      <c r="D52" s="17" t="s">
        <v>128</v>
      </c>
      <c r="E52" s="17" t="s">
        <v>134</v>
      </c>
      <c r="G52" s="17" t="s">
        <v>2</v>
      </c>
      <c r="H52" s="62"/>
      <c r="I52" s="37">
        <f>IFERROR(VLOOKUP(B52,'TB '!$A:$G,7,),0)</f>
        <v>0</v>
      </c>
      <c r="J52" s="37">
        <f>IFERROR(VLOOKUP($B52,'TB '!$4:$1048576,MATCH('List of Ledgers '!J$4,'TB '!$4:$4,0),0),0)</f>
        <v>0</v>
      </c>
      <c r="K52" s="37">
        <f>IFERROR(VLOOKUP($B52,'TB '!$4:$1048576,MATCH('List of Ledgers '!K$4,'TB '!$4:$4,0),0),0)</f>
        <v>0</v>
      </c>
      <c r="L52" s="37">
        <f>IFERROR(VLOOKUP(B52,'TB '!$A:$J,10,),0)</f>
        <v>0</v>
      </c>
      <c r="M52" s="71"/>
      <c r="N52" s="63">
        <f>IFERROR(VLOOKUP($B52,'TB YTD'!$4:$1048576,MATCH('List of Ledgers '!N$4,'TB YTD'!$4:$4,0),0),0)</f>
        <v>0</v>
      </c>
      <c r="O52" s="63">
        <f>IFERROR(VLOOKUP($B52,'TB YTD'!$4:$1048576,MATCH('List of Ledgers '!O$4,'TB YTD'!$4:$4,0),0),0)</f>
        <v>0</v>
      </c>
      <c r="P52" s="63">
        <f>IFERROR(VLOOKUP($B52,'TB YTD'!$4:$1048576,MATCH('List of Ledgers '!P$4,'TB YTD'!$4:$4,0),0),0)</f>
        <v>0</v>
      </c>
      <c r="Q52" s="63">
        <f>IFERROR(VLOOKUP($B52,'TB YTD'!$4:$1048576,MATCH('List of Ledgers '!Q$4,'TB YTD'!$4:$4,0),0),0)</f>
        <v>0</v>
      </c>
      <c r="R52" s="63"/>
    </row>
    <row r="53" spans="1:18" hidden="1" x14ac:dyDescent="0.25">
      <c r="A53" s="106">
        <v>47</v>
      </c>
      <c r="B53" s="8" t="s">
        <v>199</v>
      </c>
      <c r="C53" s="8" t="s">
        <v>200</v>
      </c>
      <c r="D53" s="106"/>
      <c r="E53" s="17"/>
      <c r="G53" s="17"/>
      <c r="H53" s="62"/>
      <c r="I53" s="37">
        <f>IFERROR(VLOOKUP(B53,'TB '!$A:$G,7,),0)</f>
        <v>-600000</v>
      </c>
      <c r="J53" s="37">
        <f>IFERROR(VLOOKUP($B53,'TB '!$4:$1048576,MATCH('List of Ledgers '!J$4,'TB '!$4:$4,0),0),0)</f>
        <v>0</v>
      </c>
      <c r="K53" s="37">
        <f>IFERROR(VLOOKUP($B53,'TB '!$4:$1048576,MATCH('List of Ledgers '!K$4,'TB '!$4:$4,0),0),0)</f>
        <v>0</v>
      </c>
      <c r="L53" s="37">
        <f>IFERROR(VLOOKUP(B53,'TB '!$A:$J,10,),0)</f>
        <v>-600000</v>
      </c>
      <c r="M53" s="71"/>
      <c r="N53" s="63">
        <f>IFERROR(VLOOKUP($B53,'TB YTD'!$4:$1048576,MATCH('List of Ledgers '!N$4,'TB YTD'!$4:$4,0),0),0)</f>
        <v>-600000</v>
      </c>
      <c r="O53" s="63">
        <f>IFERROR(VLOOKUP($B53,'TB YTD'!$4:$1048576,MATCH('List of Ledgers '!O$4,'TB YTD'!$4:$4,0),0),0)</f>
        <v>0</v>
      </c>
      <c r="P53" s="63">
        <f>IFERROR(VLOOKUP($B53,'TB YTD'!$4:$1048576,MATCH('List of Ledgers '!P$4,'TB YTD'!$4:$4,0),0),0)</f>
        <v>0</v>
      </c>
      <c r="Q53" s="63">
        <f>IFERROR(VLOOKUP($B53,'TB YTD'!$4:$1048576,MATCH('List of Ledgers '!Q$4,'TB YTD'!$4:$4,0),0),0)</f>
        <v>-600000</v>
      </c>
      <c r="R53" s="63"/>
    </row>
    <row r="54" spans="1:18" hidden="1" x14ac:dyDescent="0.25">
      <c r="A54" s="106">
        <v>48</v>
      </c>
      <c r="B54" s="8" t="s">
        <v>201</v>
      </c>
      <c r="C54" s="8" t="s">
        <v>158</v>
      </c>
      <c r="D54" s="17" t="s">
        <v>128</v>
      </c>
      <c r="E54" s="17" t="s">
        <v>131</v>
      </c>
      <c r="G54" s="17" t="s">
        <v>4</v>
      </c>
      <c r="H54" s="62"/>
      <c r="I54" s="37">
        <f>IFERROR(VLOOKUP(B54,'TB '!$A:$G,7,),0)</f>
        <v>0</v>
      </c>
      <c r="J54" s="37">
        <f>IFERROR(VLOOKUP($B54,'TB '!$4:$1048576,MATCH('List of Ledgers '!J$4,'TB '!$4:$4,0),0),0)</f>
        <v>0</v>
      </c>
      <c r="K54" s="37">
        <f>IFERROR(VLOOKUP($B54,'TB '!$4:$1048576,MATCH('List of Ledgers '!K$4,'TB '!$4:$4,0),0),0)</f>
        <v>0</v>
      </c>
      <c r="L54" s="37">
        <f>IFERROR(VLOOKUP(B54,'TB '!$A:$J,10,),0)</f>
        <v>0</v>
      </c>
      <c r="M54" s="71"/>
      <c r="N54" s="63">
        <f>IFERROR(VLOOKUP($B54,'TB YTD'!$4:$1048576,MATCH('List of Ledgers '!N$4,'TB YTD'!$4:$4,0),0),0)</f>
        <v>0</v>
      </c>
      <c r="O54" s="63">
        <f>IFERROR(VLOOKUP($B54,'TB YTD'!$4:$1048576,MATCH('List of Ledgers '!O$4,'TB YTD'!$4:$4,0),0),0)</f>
        <v>54908</v>
      </c>
      <c r="P54" s="63">
        <f>IFERROR(VLOOKUP($B54,'TB YTD'!$4:$1048576,MATCH('List of Ledgers '!P$4,'TB YTD'!$4:$4,0),0),0)</f>
        <v>54908</v>
      </c>
      <c r="Q54" s="63">
        <f>IFERROR(VLOOKUP($B54,'TB YTD'!$4:$1048576,MATCH('List of Ledgers '!Q$4,'TB YTD'!$4:$4,0),0),0)</f>
        <v>0</v>
      </c>
      <c r="R54" s="63"/>
    </row>
    <row r="55" spans="1:18" hidden="1" x14ac:dyDescent="0.25">
      <c r="A55" s="106">
        <v>49</v>
      </c>
      <c r="B55" s="8" t="s">
        <v>202</v>
      </c>
      <c r="C55" s="8" t="s">
        <v>140</v>
      </c>
      <c r="D55" s="17" t="s">
        <v>128</v>
      </c>
      <c r="E55" s="17" t="s">
        <v>131</v>
      </c>
      <c r="G55" s="17" t="s">
        <v>7</v>
      </c>
      <c r="H55" s="62"/>
      <c r="I55" s="37">
        <f>IFERROR(VLOOKUP(B55,'TB '!$A:$G,7,),0)</f>
        <v>0</v>
      </c>
      <c r="J55" s="37">
        <f>IFERROR(VLOOKUP($B55,'TB '!$4:$1048576,MATCH('List of Ledgers '!J$4,'TB '!$4:$4,0),0),0)</f>
        <v>0</v>
      </c>
      <c r="K55" s="37">
        <f>IFERROR(VLOOKUP($B55,'TB '!$4:$1048576,MATCH('List of Ledgers '!K$4,'TB '!$4:$4,0),0),0)</f>
        <v>0</v>
      </c>
      <c r="L55" s="37">
        <f>IFERROR(VLOOKUP(B55,'TB '!$A:$J,10,),0)</f>
        <v>0</v>
      </c>
      <c r="M55" s="71"/>
      <c r="N55" s="63">
        <f>IFERROR(VLOOKUP($B55,'TB YTD'!$4:$1048576,MATCH('List of Ledgers '!N$4,'TB YTD'!$4:$4,0),0),0)</f>
        <v>0</v>
      </c>
      <c r="O55" s="63">
        <f>IFERROR(VLOOKUP($B55,'TB YTD'!$4:$1048576,MATCH('List of Ledgers '!O$4,'TB YTD'!$4:$4,0),0),0)</f>
        <v>0</v>
      </c>
      <c r="P55" s="63">
        <f>IFERROR(VLOOKUP($B55,'TB YTD'!$4:$1048576,MATCH('List of Ledgers '!P$4,'TB YTD'!$4:$4,0),0),0)</f>
        <v>0</v>
      </c>
      <c r="Q55" s="63">
        <f>IFERROR(VLOOKUP($B55,'TB YTD'!$4:$1048576,MATCH('List of Ledgers '!Q$4,'TB YTD'!$4:$4,0),0),0)</f>
        <v>0</v>
      </c>
      <c r="R55" s="63"/>
    </row>
    <row r="56" spans="1:18" hidden="1" x14ac:dyDescent="0.25">
      <c r="A56" s="106">
        <v>50</v>
      </c>
      <c r="B56" s="8" t="s">
        <v>203</v>
      </c>
      <c r="C56" s="8" t="s">
        <v>158</v>
      </c>
      <c r="D56" s="17" t="s">
        <v>128</v>
      </c>
      <c r="E56" s="17" t="s">
        <v>131</v>
      </c>
      <c r="G56" s="17" t="s">
        <v>4</v>
      </c>
      <c r="H56" s="62"/>
      <c r="I56" s="37">
        <f>IFERROR(VLOOKUP(B56,'TB '!$A:$G,7,),0)</f>
        <v>0</v>
      </c>
      <c r="J56" s="37">
        <f>IFERROR(VLOOKUP($B56,'TB '!$4:$1048576,MATCH('List of Ledgers '!J$4,'TB '!$4:$4,0),0),0)</f>
        <v>0</v>
      </c>
      <c r="K56" s="37">
        <f>IFERROR(VLOOKUP($B56,'TB '!$4:$1048576,MATCH('List of Ledgers '!K$4,'TB '!$4:$4,0),0),0)</f>
        <v>0</v>
      </c>
      <c r="L56" s="37">
        <f>IFERROR(VLOOKUP(B56,'TB '!$A:$J,10,),0)</f>
        <v>0</v>
      </c>
      <c r="M56" s="71"/>
      <c r="N56" s="63">
        <f>IFERROR(VLOOKUP($B56,'TB YTD'!$4:$1048576,MATCH('List of Ledgers '!N$4,'TB YTD'!$4:$4,0),0),0)</f>
        <v>0</v>
      </c>
      <c r="O56" s="63">
        <f>IFERROR(VLOOKUP($B56,'TB YTD'!$4:$1048576,MATCH('List of Ledgers '!O$4,'TB YTD'!$4:$4,0),0),0)</f>
        <v>0</v>
      </c>
      <c r="P56" s="63">
        <f>IFERROR(VLOOKUP($B56,'TB YTD'!$4:$1048576,MATCH('List of Ledgers '!P$4,'TB YTD'!$4:$4,0),0),0)</f>
        <v>0</v>
      </c>
      <c r="Q56" s="63">
        <f>IFERROR(VLOOKUP($B56,'TB YTD'!$4:$1048576,MATCH('List of Ledgers '!Q$4,'TB YTD'!$4:$4,0),0),0)</f>
        <v>0</v>
      </c>
      <c r="R56" s="63"/>
    </row>
    <row r="57" spans="1:18" hidden="1" x14ac:dyDescent="0.25">
      <c r="A57" s="106">
        <v>51</v>
      </c>
      <c r="B57" s="8" t="s">
        <v>204</v>
      </c>
      <c r="C57" s="8" t="s">
        <v>160</v>
      </c>
      <c r="D57" s="17"/>
      <c r="E57" s="17"/>
      <c r="G57" s="17"/>
      <c r="H57" s="62"/>
      <c r="I57" s="37">
        <f>IFERROR(VLOOKUP(B57,'TB '!$A:$G,7,),0)</f>
        <v>845.57</v>
      </c>
      <c r="J57" s="37">
        <f>IFERROR(VLOOKUP($B57,'TB '!$4:$1048576,MATCH('List of Ledgers '!J$4,'TB '!$4:$4,0),0),0)</f>
        <v>0</v>
      </c>
      <c r="K57" s="37">
        <f>IFERROR(VLOOKUP($B57,'TB '!$4:$1048576,MATCH('List of Ledgers '!K$4,'TB '!$4:$4,0),0),0)</f>
        <v>0</v>
      </c>
      <c r="L57" s="37">
        <f>IFERROR(VLOOKUP(B57,'TB '!$A:$J,10,),0)</f>
        <v>845.57</v>
      </c>
      <c r="M57" s="71"/>
      <c r="N57" s="63">
        <f>IFERROR(VLOOKUP($B57,'TB YTD'!$4:$1048576,MATCH('List of Ledgers '!N$4,'TB YTD'!$4:$4,0),0),0)</f>
        <v>845.57</v>
      </c>
      <c r="O57" s="63">
        <f>IFERROR(VLOOKUP($B57,'TB YTD'!$4:$1048576,MATCH('List of Ledgers '!O$4,'TB YTD'!$4:$4,0),0),0)</f>
        <v>0</v>
      </c>
      <c r="P57" s="63">
        <f>IFERROR(VLOOKUP($B57,'TB YTD'!$4:$1048576,MATCH('List of Ledgers '!P$4,'TB YTD'!$4:$4,0),0),0)</f>
        <v>0</v>
      </c>
      <c r="Q57" s="63">
        <f>IFERROR(VLOOKUP($B57,'TB YTD'!$4:$1048576,MATCH('List of Ledgers '!Q$4,'TB YTD'!$4:$4,0),0),0)</f>
        <v>845.57</v>
      </c>
      <c r="R57" s="63"/>
    </row>
    <row r="58" spans="1:18" hidden="1" x14ac:dyDescent="0.25">
      <c r="A58" s="106">
        <v>52</v>
      </c>
      <c r="B58" s="8" t="s">
        <v>205</v>
      </c>
      <c r="C58" s="8" t="s">
        <v>140</v>
      </c>
      <c r="D58" s="17" t="s">
        <v>128</v>
      </c>
      <c r="E58" s="17" t="s">
        <v>131</v>
      </c>
      <c r="G58" s="17" t="s">
        <v>7</v>
      </c>
      <c r="H58" s="62"/>
      <c r="I58" s="37">
        <f>IFERROR(VLOOKUP(B58,'TB '!$A:$G,7,),0)</f>
        <v>0</v>
      </c>
      <c r="J58" s="37">
        <f>IFERROR(VLOOKUP($B58,'TB '!$4:$1048576,MATCH('List of Ledgers '!J$4,'TB '!$4:$4,0),0),0)</f>
        <v>0</v>
      </c>
      <c r="K58" s="37">
        <f>IFERROR(VLOOKUP($B58,'TB '!$4:$1048576,MATCH('List of Ledgers '!K$4,'TB '!$4:$4,0),0),0)</f>
        <v>0</v>
      </c>
      <c r="L58" s="37">
        <f>IFERROR(VLOOKUP(B58,'TB '!$A:$J,10,),0)</f>
        <v>0</v>
      </c>
      <c r="M58" s="71"/>
      <c r="N58" s="63">
        <f>IFERROR(VLOOKUP($B58,'TB YTD'!$4:$1048576,MATCH('List of Ledgers '!N$4,'TB YTD'!$4:$4,0),0),0)</f>
        <v>0</v>
      </c>
      <c r="O58" s="63">
        <f>IFERROR(VLOOKUP($B58,'TB YTD'!$4:$1048576,MATCH('List of Ledgers '!O$4,'TB YTD'!$4:$4,0),0),0)</f>
        <v>0</v>
      </c>
      <c r="P58" s="63">
        <f>IFERROR(VLOOKUP($B58,'TB YTD'!$4:$1048576,MATCH('List of Ledgers '!P$4,'TB YTD'!$4:$4,0),0),0)</f>
        <v>0</v>
      </c>
      <c r="Q58" s="63">
        <f>IFERROR(VLOOKUP($B58,'TB YTD'!$4:$1048576,MATCH('List of Ledgers '!Q$4,'TB YTD'!$4:$4,0),0),0)</f>
        <v>0</v>
      </c>
      <c r="R58" s="63"/>
    </row>
    <row r="59" spans="1:18" hidden="1" x14ac:dyDescent="0.25">
      <c r="A59" s="106">
        <v>53</v>
      </c>
      <c r="B59" s="8" t="s">
        <v>206</v>
      </c>
      <c r="C59" s="8" t="s">
        <v>207</v>
      </c>
      <c r="D59" s="17" t="s">
        <v>128</v>
      </c>
      <c r="E59" s="17" t="s">
        <v>131</v>
      </c>
      <c r="G59" s="17" t="s">
        <v>3</v>
      </c>
      <c r="H59" s="62"/>
      <c r="I59" s="37">
        <f>IFERROR(VLOOKUP(B59,'TB '!$A:$G,7,),0)</f>
        <v>0</v>
      </c>
      <c r="J59" s="37">
        <f>IFERROR(VLOOKUP($B59,'TB '!$4:$1048576,MATCH('List of Ledgers '!J$4,'TB '!$4:$4,0),0),0)</f>
        <v>0</v>
      </c>
      <c r="K59" s="37">
        <f>IFERROR(VLOOKUP($B59,'TB '!$4:$1048576,MATCH('List of Ledgers '!K$4,'TB '!$4:$4,0),0),0)</f>
        <v>0</v>
      </c>
      <c r="L59" s="37">
        <f>IFERROR(VLOOKUP(B59,'TB '!$A:$J,10,),0)</f>
        <v>0</v>
      </c>
      <c r="M59" s="71"/>
      <c r="N59" s="63">
        <f>IFERROR(VLOOKUP($B59,'TB YTD'!$4:$1048576,MATCH('List of Ledgers '!N$4,'TB YTD'!$4:$4,0),0),0)</f>
        <v>0</v>
      </c>
      <c r="O59" s="63">
        <f>IFERROR(VLOOKUP($B59,'TB YTD'!$4:$1048576,MATCH('List of Ledgers '!O$4,'TB YTD'!$4:$4,0),0),0)</f>
        <v>0</v>
      </c>
      <c r="P59" s="63">
        <f>IFERROR(VLOOKUP($B59,'TB YTD'!$4:$1048576,MATCH('List of Ledgers '!P$4,'TB YTD'!$4:$4,0),0),0)</f>
        <v>0</v>
      </c>
      <c r="Q59" s="63">
        <f>IFERROR(VLOOKUP($B59,'TB YTD'!$4:$1048576,MATCH('List of Ledgers '!Q$4,'TB YTD'!$4:$4,0),0),0)</f>
        <v>0</v>
      </c>
      <c r="R59" s="63"/>
    </row>
    <row r="60" spans="1:18" hidden="1" x14ac:dyDescent="0.25">
      <c r="A60" s="106">
        <v>54</v>
      </c>
      <c r="B60" s="8" t="s">
        <v>208</v>
      </c>
      <c r="C60" s="8" t="s">
        <v>136</v>
      </c>
      <c r="D60" s="12" t="s">
        <v>128</v>
      </c>
      <c r="E60" s="12" t="s">
        <v>134</v>
      </c>
      <c r="G60" s="12" t="s">
        <v>2</v>
      </c>
      <c r="H60" s="62"/>
      <c r="I60" s="37">
        <f>IFERROR(VLOOKUP(B60,'TB '!$A:$G,7,),0)</f>
        <v>0</v>
      </c>
      <c r="J60" s="37">
        <f>IFERROR(VLOOKUP($B60,'TB '!$4:$1048576,MATCH('List of Ledgers '!J$4,'TB '!$4:$4,0),0),0)</f>
        <v>0</v>
      </c>
      <c r="K60" s="37">
        <f>IFERROR(VLOOKUP($B60,'TB '!$4:$1048576,MATCH('List of Ledgers '!K$4,'TB '!$4:$4,0),0),0)</f>
        <v>0</v>
      </c>
      <c r="L60" s="37">
        <f>IFERROR(VLOOKUP(B60,'TB '!$A:$J,10,),0)</f>
        <v>0</v>
      </c>
      <c r="M60" s="71"/>
      <c r="N60" s="63">
        <f>IFERROR(VLOOKUP($B60,'TB YTD'!$4:$1048576,MATCH('List of Ledgers '!N$4,'TB YTD'!$4:$4,0),0),0)</f>
        <v>0</v>
      </c>
      <c r="O60" s="63">
        <f>IFERROR(VLOOKUP($B60,'TB YTD'!$4:$1048576,MATCH('List of Ledgers '!O$4,'TB YTD'!$4:$4,0),0),0)</f>
        <v>0</v>
      </c>
      <c r="P60" s="63">
        <f>IFERROR(VLOOKUP($B60,'TB YTD'!$4:$1048576,MATCH('List of Ledgers '!P$4,'TB YTD'!$4:$4,0),0),0)</f>
        <v>0</v>
      </c>
      <c r="Q60" s="63">
        <f>IFERROR(VLOOKUP($B60,'TB YTD'!$4:$1048576,MATCH('List of Ledgers '!Q$4,'TB YTD'!$4:$4,0),0),0)</f>
        <v>0</v>
      </c>
      <c r="R60" s="63"/>
    </row>
    <row r="61" spans="1:18" hidden="1" x14ac:dyDescent="0.25">
      <c r="A61" s="106">
        <v>55</v>
      </c>
      <c r="B61" s="8" t="s">
        <v>209</v>
      </c>
      <c r="C61" s="8" t="s">
        <v>136</v>
      </c>
      <c r="D61" s="12" t="s">
        <v>128</v>
      </c>
      <c r="E61" s="12" t="s">
        <v>134</v>
      </c>
      <c r="G61" s="12" t="s">
        <v>2</v>
      </c>
      <c r="H61" s="62"/>
      <c r="I61" s="37">
        <f>IFERROR(VLOOKUP(B61,'TB '!$A:$G,7,),0)</f>
        <v>0</v>
      </c>
      <c r="J61" s="37">
        <f>IFERROR(VLOOKUP($B61,'TB '!$4:$1048576,MATCH('List of Ledgers '!J$4,'TB '!$4:$4,0),0),0)</f>
        <v>0</v>
      </c>
      <c r="K61" s="37">
        <f>IFERROR(VLOOKUP($B61,'TB '!$4:$1048576,MATCH('List of Ledgers '!K$4,'TB '!$4:$4,0),0),0)</f>
        <v>0</v>
      </c>
      <c r="L61" s="37">
        <f>IFERROR(VLOOKUP(B61,'TB '!$A:$J,10,),0)</f>
        <v>0</v>
      </c>
      <c r="M61" s="71"/>
      <c r="N61" s="63">
        <f>IFERROR(VLOOKUP($B61,'TB YTD'!$4:$1048576,MATCH('List of Ledgers '!N$4,'TB YTD'!$4:$4,0),0),0)</f>
        <v>0</v>
      </c>
      <c r="O61" s="63">
        <f>IFERROR(VLOOKUP($B61,'TB YTD'!$4:$1048576,MATCH('List of Ledgers '!O$4,'TB YTD'!$4:$4,0),0),0)</f>
        <v>0</v>
      </c>
      <c r="P61" s="63">
        <f>IFERROR(VLOOKUP($B61,'TB YTD'!$4:$1048576,MATCH('List of Ledgers '!P$4,'TB YTD'!$4:$4,0),0),0)</f>
        <v>0</v>
      </c>
      <c r="Q61" s="63">
        <f>IFERROR(VLOOKUP($B61,'TB YTD'!$4:$1048576,MATCH('List of Ledgers '!Q$4,'TB YTD'!$4:$4,0),0),0)</f>
        <v>0</v>
      </c>
      <c r="R61" s="63"/>
    </row>
    <row r="62" spans="1:18" hidden="1" x14ac:dyDescent="0.25">
      <c r="A62" s="106">
        <v>56</v>
      </c>
      <c r="B62" s="8" t="s">
        <v>210</v>
      </c>
      <c r="C62" s="8" t="s">
        <v>185</v>
      </c>
      <c r="D62" s="106" t="s">
        <v>128</v>
      </c>
      <c r="E62" s="17" t="s">
        <v>134</v>
      </c>
      <c r="G62" s="17" t="s">
        <v>3</v>
      </c>
      <c r="H62" s="62"/>
      <c r="I62" s="37">
        <f>IFERROR(VLOOKUP(B62,'TB '!$A:$G,7,),0)</f>
        <v>0</v>
      </c>
      <c r="J62" s="37">
        <f>IFERROR(VLOOKUP($B62,'TB '!$4:$1048576,MATCH('List of Ledgers '!J$4,'TB '!$4:$4,0),0),0)</f>
        <v>0</v>
      </c>
      <c r="K62" s="37">
        <f>IFERROR(VLOOKUP($B62,'TB '!$4:$1048576,MATCH('List of Ledgers '!K$4,'TB '!$4:$4,0),0),0)</f>
        <v>0</v>
      </c>
      <c r="L62" s="37">
        <f>IFERROR(VLOOKUP(B62,'TB '!$A:$J,10,),0)</f>
        <v>0</v>
      </c>
      <c r="M62" s="71"/>
      <c r="N62" s="63">
        <f>IFERROR(VLOOKUP($B62,'TB YTD'!$4:$1048576,MATCH('List of Ledgers '!N$4,'TB YTD'!$4:$4,0),0),0)</f>
        <v>0</v>
      </c>
      <c r="O62" s="63">
        <f>IFERROR(VLOOKUP($B62,'TB YTD'!$4:$1048576,MATCH('List of Ledgers '!O$4,'TB YTD'!$4:$4,0),0),0)</f>
        <v>21902</v>
      </c>
      <c r="P62" s="63">
        <f>IFERROR(VLOOKUP($B62,'TB YTD'!$4:$1048576,MATCH('List of Ledgers '!P$4,'TB YTD'!$4:$4,0),0),0)</f>
        <v>21902</v>
      </c>
      <c r="Q62" s="63">
        <f>IFERROR(VLOOKUP($B62,'TB YTD'!$4:$1048576,MATCH('List of Ledgers '!Q$4,'TB YTD'!$4:$4,0),0),0)</f>
        <v>0</v>
      </c>
      <c r="R62" s="63"/>
    </row>
    <row r="63" spans="1:18" hidden="1" x14ac:dyDescent="0.25">
      <c r="A63" s="106">
        <v>57</v>
      </c>
      <c r="B63" s="8" t="s">
        <v>211</v>
      </c>
      <c r="C63" s="8" t="s">
        <v>146</v>
      </c>
      <c r="D63" s="17"/>
      <c r="E63" s="17"/>
      <c r="G63" s="17"/>
      <c r="H63" s="62"/>
      <c r="I63" s="37">
        <f>IFERROR(VLOOKUP(B63,'TB '!$A:$G,7,),0)</f>
        <v>463</v>
      </c>
      <c r="J63" s="37">
        <f>IFERROR(VLOOKUP($B63,'TB '!$4:$1048576,MATCH('List of Ledgers '!J$4,'TB '!$4:$4,0),0),0)</f>
        <v>0</v>
      </c>
      <c r="K63" s="37">
        <f>IFERROR(VLOOKUP($B63,'TB '!$4:$1048576,MATCH('List of Ledgers '!K$4,'TB '!$4:$4,0),0),0)</f>
        <v>0</v>
      </c>
      <c r="L63" s="37">
        <f>IFERROR(VLOOKUP(B63,'TB '!$A:$J,10,),0)</f>
        <v>463</v>
      </c>
      <c r="M63" s="71"/>
      <c r="N63" s="63">
        <f>IFERROR(VLOOKUP($B63,'TB YTD'!$4:$1048576,MATCH('List of Ledgers '!N$4,'TB YTD'!$4:$4,0),0),0)</f>
        <v>463</v>
      </c>
      <c r="O63" s="63">
        <f>IFERROR(VLOOKUP($B63,'TB YTD'!$4:$1048576,MATCH('List of Ledgers '!O$4,'TB YTD'!$4:$4,0),0),0)</f>
        <v>0</v>
      </c>
      <c r="P63" s="63">
        <f>IFERROR(VLOOKUP($B63,'TB YTD'!$4:$1048576,MATCH('List of Ledgers '!P$4,'TB YTD'!$4:$4,0),0),0)</f>
        <v>0</v>
      </c>
      <c r="Q63" s="63">
        <f>IFERROR(VLOOKUP($B63,'TB YTD'!$4:$1048576,MATCH('List of Ledgers '!Q$4,'TB YTD'!$4:$4,0),0),0)</f>
        <v>463</v>
      </c>
      <c r="R63" s="63"/>
    </row>
    <row r="64" spans="1:18" hidden="1" x14ac:dyDescent="0.25">
      <c r="A64" s="106">
        <v>58</v>
      </c>
      <c r="B64" s="8" t="s">
        <v>212</v>
      </c>
      <c r="C64" s="8" t="s">
        <v>146</v>
      </c>
      <c r="D64" s="17"/>
      <c r="E64" s="17"/>
      <c r="G64" s="17"/>
      <c r="H64" s="62"/>
      <c r="I64" s="37">
        <f>IFERROR(VLOOKUP(B64,'TB '!$A:$G,7,),0)</f>
        <v>9523</v>
      </c>
      <c r="J64" s="37">
        <f>IFERROR(VLOOKUP($B64,'TB '!$4:$1048576,MATCH('List of Ledgers '!J$4,'TB '!$4:$4,0),0),0)</f>
        <v>0</v>
      </c>
      <c r="K64" s="37">
        <f>IFERROR(VLOOKUP($B64,'TB '!$4:$1048576,MATCH('List of Ledgers '!K$4,'TB '!$4:$4,0),0),0)</f>
        <v>0</v>
      </c>
      <c r="L64" s="37">
        <f>IFERROR(VLOOKUP(B64,'TB '!$A:$J,10,),0)</f>
        <v>9523</v>
      </c>
      <c r="M64" s="71"/>
      <c r="N64" s="63">
        <f>IFERROR(VLOOKUP($B64,'TB YTD'!$4:$1048576,MATCH('List of Ledgers '!N$4,'TB YTD'!$4:$4,0),0),0)</f>
        <v>9523</v>
      </c>
      <c r="O64" s="63">
        <f>IFERROR(VLOOKUP($B64,'TB YTD'!$4:$1048576,MATCH('List of Ledgers '!O$4,'TB YTD'!$4:$4,0),0),0)</f>
        <v>0</v>
      </c>
      <c r="P64" s="63">
        <f>IFERROR(VLOOKUP($B64,'TB YTD'!$4:$1048576,MATCH('List of Ledgers '!P$4,'TB YTD'!$4:$4,0),0),0)</f>
        <v>0</v>
      </c>
      <c r="Q64" s="63">
        <f>IFERROR(VLOOKUP($B64,'TB YTD'!$4:$1048576,MATCH('List of Ledgers '!Q$4,'TB YTD'!$4:$4,0),0),0)</f>
        <v>9523</v>
      </c>
      <c r="R64" s="63"/>
    </row>
    <row r="65" spans="1:18" hidden="1" x14ac:dyDescent="0.25">
      <c r="A65" s="106">
        <v>59</v>
      </c>
      <c r="B65" s="8" t="s">
        <v>213</v>
      </c>
      <c r="C65" s="8" t="s">
        <v>146</v>
      </c>
      <c r="D65" s="17"/>
      <c r="E65" s="17"/>
      <c r="G65" s="17"/>
      <c r="H65" s="62"/>
      <c r="I65" s="37">
        <f>IFERROR(VLOOKUP(B65,'TB '!$A:$G,7,),0)</f>
        <v>7683</v>
      </c>
      <c r="J65" s="37">
        <f>IFERROR(VLOOKUP($B65,'TB '!$4:$1048576,MATCH('List of Ledgers '!J$4,'TB '!$4:$4,0),0),0)</f>
        <v>0</v>
      </c>
      <c r="K65" s="37">
        <f>IFERROR(VLOOKUP($B65,'TB '!$4:$1048576,MATCH('List of Ledgers '!K$4,'TB '!$4:$4,0),0),0)</f>
        <v>0</v>
      </c>
      <c r="L65" s="37">
        <f>IFERROR(VLOOKUP(B65,'TB '!$A:$J,10,),0)</f>
        <v>7683</v>
      </c>
      <c r="M65" s="71"/>
      <c r="N65" s="63">
        <f>IFERROR(VLOOKUP($B65,'TB YTD'!$4:$1048576,MATCH('List of Ledgers '!N$4,'TB YTD'!$4:$4,0),0),0)</f>
        <v>7683</v>
      </c>
      <c r="O65" s="63">
        <f>IFERROR(VLOOKUP($B65,'TB YTD'!$4:$1048576,MATCH('List of Ledgers '!O$4,'TB YTD'!$4:$4,0),0),0)</f>
        <v>0</v>
      </c>
      <c r="P65" s="63">
        <f>IFERROR(VLOOKUP($B65,'TB YTD'!$4:$1048576,MATCH('List of Ledgers '!P$4,'TB YTD'!$4:$4,0),0),0)</f>
        <v>0</v>
      </c>
      <c r="Q65" s="63">
        <f>IFERROR(VLOOKUP($B65,'TB YTD'!$4:$1048576,MATCH('List of Ledgers '!Q$4,'TB YTD'!$4:$4,0),0),0)</f>
        <v>7683</v>
      </c>
      <c r="R65" s="63"/>
    </row>
    <row r="66" spans="1:18" hidden="1" x14ac:dyDescent="0.25">
      <c r="A66" s="106">
        <v>60</v>
      </c>
      <c r="B66" s="8" t="s">
        <v>214</v>
      </c>
      <c r="C66" s="8" t="s">
        <v>215</v>
      </c>
      <c r="D66" s="17"/>
      <c r="E66" s="17"/>
      <c r="G66" s="17"/>
      <c r="H66" s="62"/>
      <c r="I66" s="37">
        <f>IFERROR(VLOOKUP(B66,'TB '!$A:$G,7,),0)</f>
        <v>0</v>
      </c>
      <c r="J66" s="37">
        <f>IFERROR(VLOOKUP($B66,'TB '!$4:$1048576,MATCH('List of Ledgers '!J$4,'TB '!$4:$4,0),0),0)</f>
        <v>0</v>
      </c>
      <c r="K66" s="37">
        <f>IFERROR(VLOOKUP($B66,'TB '!$4:$1048576,MATCH('List of Ledgers '!K$4,'TB '!$4:$4,0),0),0)</f>
        <v>0</v>
      </c>
      <c r="L66" s="37">
        <f>IFERROR(VLOOKUP(B66,'TB '!$A:$J,10,),0)</f>
        <v>0</v>
      </c>
      <c r="M66" s="71"/>
      <c r="N66" s="63">
        <f>IFERROR(VLOOKUP($B66,'TB YTD'!$4:$1048576,MATCH('List of Ledgers '!N$4,'TB YTD'!$4:$4,0),0),0)</f>
        <v>0</v>
      </c>
      <c r="O66" s="63">
        <f>IFERROR(VLOOKUP($B66,'TB YTD'!$4:$1048576,MATCH('List of Ledgers '!O$4,'TB YTD'!$4:$4,0),0),0)</f>
        <v>0</v>
      </c>
      <c r="P66" s="63">
        <f>IFERROR(VLOOKUP($B66,'TB YTD'!$4:$1048576,MATCH('List of Ledgers '!P$4,'TB YTD'!$4:$4,0),0),0)</f>
        <v>0</v>
      </c>
      <c r="Q66" s="63">
        <f>IFERROR(VLOOKUP($B66,'TB YTD'!$4:$1048576,MATCH('List of Ledgers '!Q$4,'TB YTD'!$4:$4,0),0),0)</f>
        <v>0</v>
      </c>
      <c r="R66" s="63"/>
    </row>
    <row r="67" spans="1:18" hidden="1" x14ac:dyDescent="0.25">
      <c r="A67" s="106">
        <v>61</v>
      </c>
      <c r="B67" s="8" t="s">
        <v>216</v>
      </c>
      <c r="C67" s="8" t="s">
        <v>124</v>
      </c>
      <c r="D67" s="17"/>
      <c r="E67" s="17"/>
      <c r="G67" s="17"/>
      <c r="H67" s="62"/>
      <c r="I67" s="37">
        <f>IFERROR(VLOOKUP(B67,'TB '!$A:$G,7,),0)</f>
        <v>1283.76</v>
      </c>
      <c r="J67" s="37">
        <f>IFERROR(VLOOKUP($B67,'TB '!$4:$1048576,MATCH('List of Ledgers '!J$4,'TB '!$4:$4,0),0),0)</f>
        <v>0</v>
      </c>
      <c r="K67" s="37">
        <f>IFERROR(VLOOKUP($B67,'TB '!$4:$1048576,MATCH('List of Ledgers '!K$4,'TB '!$4:$4,0),0),0)</f>
        <v>0</v>
      </c>
      <c r="L67" s="37">
        <f>IFERROR(VLOOKUP(B67,'TB '!$A:$J,10,),0)</f>
        <v>1283.76</v>
      </c>
      <c r="M67" s="71"/>
      <c r="N67" s="63">
        <f>IFERROR(VLOOKUP($B67,'TB YTD'!$4:$1048576,MATCH('List of Ledgers '!N$4,'TB YTD'!$4:$4,0),0),0)</f>
        <v>1283.76</v>
      </c>
      <c r="O67" s="63">
        <f>IFERROR(VLOOKUP($B67,'TB YTD'!$4:$1048576,MATCH('List of Ledgers '!O$4,'TB YTD'!$4:$4,0),0),0)</f>
        <v>0</v>
      </c>
      <c r="P67" s="63">
        <f>IFERROR(VLOOKUP($B67,'TB YTD'!$4:$1048576,MATCH('List of Ledgers '!P$4,'TB YTD'!$4:$4,0),0),0)</f>
        <v>0</v>
      </c>
      <c r="Q67" s="63">
        <f>IFERROR(VLOOKUP($B67,'TB YTD'!$4:$1048576,MATCH('List of Ledgers '!Q$4,'TB YTD'!$4:$4,0),0),0)</f>
        <v>1283.76</v>
      </c>
      <c r="R67" s="63"/>
    </row>
    <row r="68" spans="1:18" hidden="1" x14ac:dyDescent="0.25">
      <c r="A68" s="106">
        <v>62</v>
      </c>
      <c r="B68" s="8" t="s">
        <v>217</v>
      </c>
      <c r="C68" s="8" t="s">
        <v>189</v>
      </c>
      <c r="D68" s="17" t="s">
        <v>128</v>
      </c>
      <c r="E68" s="17" t="s">
        <v>131</v>
      </c>
      <c r="G68" s="17" t="s">
        <v>7</v>
      </c>
      <c r="H68" s="62"/>
      <c r="I68" s="37">
        <f>IFERROR(VLOOKUP(B68,'TB '!$A:$G,7,),0)</f>
        <v>0</v>
      </c>
      <c r="J68" s="37">
        <f>IFERROR(VLOOKUP($B68,'TB '!$4:$1048576,MATCH('List of Ledgers '!J$4,'TB '!$4:$4,0),0),0)</f>
        <v>0</v>
      </c>
      <c r="K68" s="37">
        <f>IFERROR(VLOOKUP($B68,'TB '!$4:$1048576,MATCH('List of Ledgers '!K$4,'TB '!$4:$4,0),0),0)</f>
        <v>0</v>
      </c>
      <c r="L68" s="37">
        <f>IFERROR(VLOOKUP(B68,'TB '!$A:$J,10,),0)</f>
        <v>0</v>
      </c>
      <c r="M68" s="71"/>
      <c r="N68" s="63">
        <f>IFERROR(VLOOKUP($B68,'TB YTD'!$4:$1048576,MATCH('List of Ledgers '!N$4,'TB YTD'!$4:$4,0),0),0)</f>
        <v>0</v>
      </c>
      <c r="O68" s="63">
        <f>IFERROR(VLOOKUP($B68,'TB YTD'!$4:$1048576,MATCH('List of Ledgers '!O$4,'TB YTD'!$4:$4,0),0),0)</f>
        <v>0</v>
      </c>
      <c r="P68" s="63">
        <f>IFERROR(VLOOKUP($B68,'TB YTD'!$4:$1048576,MATCH('List of Ledgers '!P$4,'TB YTD'!$4:$4,0),0),0)</f>
        <v>0</v>
      </c>
      <c r="Q68" s="63">
        <f>IFERROR(VLOOKUP($B68,'TB YTD'!$4:$1048576,MATCH('List of Ledgers '!Q$4,'TB YTD'!$4:$4,0),0),0)</f>
        <v>0</v>
      </c>
      <c r="R68" s="63"/>
    </row>
    <row r="69" spans="1:18" hidden="1" x14ac:dyDescent="0.25">
      <c r="A69" s="106">
        <v>63</v>
      </c>
      <c r="B69" s="8" t="s">
        <v>218</v>
      </c>
      <c r="C69" s="8" t="s">
        <v>140</v>
      </c>
      <c r="D69" s="17" t="s">
        <v>128</v>
      </c>
      <c r="E69" s="17" t="s">
        <v>131</v>
      </c>
      <c r="G69" s="17" t="s">
        <v>7</v>
      </c>
      <c r="H69" s="62"/>
      <c r="I69" s="37">
        <f>IFERROR(VLOOKUP(B69,'TB '!$A:$G,7,),0)</f>
        <v>0</v>
      </c>
      <c r="J69" s="37">
        <f>IFERROR(VLOOKUP($B69,'TB '!$4:$1048576,MATCH('List of Ledgers '!J$4,'TB '!$4:$4,0),0),0)</f>
        <v>0</v>
      </c>
      <c r="K69" s="37">
        <f>IFERROR(VLOOKUP($B69,'TB '!$4:$1048576,MATCH('List of Ledgers '!K$4,'TB '!$4:$4,0),0),0)</f>
        <v>0</v>
      </c>
      <c r="L69" s="37">
        <f>IFERROR(VLOOKUP(B69,'TB '!$A:$J,10,),0)</f>
        <v>0</v>
      </c>
      <c r="M69" s="71"/>
      <c r="N69" s="63">
        <f>IFERROR(VLOOKUP($B69,'TB YTD'!$4:$1048576,MATCH('List of Ledgers '!N$4,'TB YTD'!$4:$4,0),0),0)</f>
        <v>0</v>
      </c>
      <c r="O69" s="63">
        <f>IFERROR(VLOOKUP($B69,'TB YTD'!$4:$1048576,MATCH('List of Ledgers '!O$4,'TB YTD'!$4:$4,0),0),0)</f>
        <v>0</v>
      </c>
      <c r="P69" s="63">
        <f>IFERROR(VLOOKUP($B69,'TB YTD'!$4:$1048576,MATCH('List of Ledgers '!P$4,'TB YTD'!$4:$4,0),0),0)</f>
        <v>0</v>
      </c>
      <c r="Q69" s="63">
        <f>IFERROR(VLOOKUP($B69,'TB YTD'!$4:$1048576,MATCH('List of Ledgers '!Q$4,'TB YTD'!$4:$4,0),0),0)</f>
        <v>0</v>
      </c>
      <c r="R69" s="63"/>
    </row>
    <row r="70" spans="1:18" hidden="1" x14ac:dyDescent="0.25">
      <c r="A70" s="106">
        <v>64</v>
      </c>
      <c r="B70" s="8" t="s">
        <v>219</v>
      </c>
      <c r="C70" s="8" t="s">
        <v>140</v>
      </c>
      <c r="D70" s="17" t="s">
        <v>128</v>
      </c>
      <c r="E70" s="17" t="s">
        <v>131</v>
      </c>
      <c r="G70" s="17" t="s">
        <v>7</v>
      </c>
      <c r="H70" s="62"/>
      <c r="I70" s="37">
        <f>IFERROR(VLOOKUP(B70,'TB '!$A:$G,7,),0)</f>
        <v>-1000</v>
      </c>
      <c r="J70" s="37">
        <f>IFERROR(VLOOKUP($B70,'TB '!$4:$1048576,MATCH('List of Ledgers '!J$4,'TB '!$4:$4,0),0),0)</f>
        <v>0</v>
      </c>
      <c r="K70" s="37">
        <f>IFERROR(VLOOKUP($B70,'TB '!$4:$1048576,MATCH('List of Ledgers '!K$4,'TB '!$4:$4,0),0),0)</f>
        <v>0</v>
      </c>
      <c r="L70" s="37">
        <f>IFERROR(VLOOKUP(B70,'TB '!$A:$J,10,),0)</f>
        <v>-1000</v>
      </c>
      <c r="M70" s="71"/>
      <c r="N70" s="63">
        <f>IFERROR(VLOOKUP($B70,'TB YTD'!$4:$1048576,MATCH('List of Ledgers '!N$4,'TB YTD'!$4:$4,0),0),0)</f>
        <v>-960.98</v>
      </c>
      <c r="O70" s="63">
        <f>IFERROR(VLOOKUP($B70,'TB YTD'!$4:$1048576,MATCH('List of Ledgers '!O$4,'TB YTD'!$4:$4,0),0),0)</f>
        <v>16522</v>
      </c>
      <c r="P70" s="63">
        <f>IFERROR(VLOOKUP($B70,'TB YTD'!$4:$1048576,MATCH('List of Ledgers '!P$4,'TB YTD'!$4:$4,0),0),0)</f>
        <v>16561.02</v>
      </c>
      <c r="Q70" s="63">
        <f>IFERROR(VLOOKUP($B70,'TB YTD'!$4:$1048576,MATCH('List of Ledgers '!Q$4,'TB YTD'!$4:$4,0),0),0)</f>
        <v>-1000</v>
      </c>
      <c r="R70" s="63"/>
    </row>
    <row r="71" spans="1:18" hidden="1" x14ac:dyDescent="0.25">
      <c r="A71" s="106">
        <v>65</v>
      </c>
      <c r="B71" s="8" t="s">
        <v>220</v>
      </c>
      <c r="C71" s="8" t="s">
        <v>140</v>
      </c>
      <c r="D71" s="17" t="s">
        <v>128</v>
      </c>
      <c r="E71" s="17" t="s">
        <v>131</v>
      </c>
      <c r="G71" s="17" t="s">
        <v>7</v>
      </c>
      <c r="H71" s="62"/>
      <c r="I71" s="37">
        <f>IFERROR(VLOOKUP(B71,'TB '!$A:$G,7,),0)</f>
        <v>0</v>
      </c>
      <c r="J71" s="37">
        <f>IFERROR(VLOOKUP($B71,'TB '!$4:$1048576,MATCH('List of Ledgers '!J$4,'TB '!$4:$4,0),0),0)</f>
        <v>0</v>
      </c>
      <c r="K71" s="37">
        <f>IFERROR(VLOOKUP($B71,'TB '!$4:$1048576,MATCH('List of Ledgers '!K$4,'TB '!$4:$4,0),0),0)</f>
        <v>0</v>
      </c>
      <c r="L71" s="37">
        <f>IFERROR(VLOOKUP(B71,'TB '!$A:$J,10,),0)</f>
        <v>0</v>
      </c>
      <c r="M71" s="71"/>
      <c r="N71" s="63">
        <f>IFERROR(VLOOKUP($B71,'TB YTD'!$4:$1048576,MATCH('List of Ledgers '!N$4,'TB YTD'!$4:$4,0),0),0)</f>
        <v>0</v>
      </c>
      <c r="O71" s="63">
        <f>IFERROR(VLOOKUP($B71,'TB YTD'!$4:$1048576,MATCH('List of Ledgers '!O$4,'TB YTD'!$4:$4,0),0),0)</f>
        <v>0</v>
      </c>
      <c r="P71" s="63">
        <f>IFERROR(VLOOKUP($B71,'TB YTD'!$4:$1048576,MATCH('List of Ledgers '!P$4,'TB YTD'!$4:$4,0),0),0)</f>
        <v>0</v>
      </c>
      <c r="Q71" s="63">
        <f>IFERROR(VLOOKUP($B71,'TB YTD'!$4:$1048576,MATCH('List of Ledgers '!Q$4,'TB YTD'!$4:$4,0),0),0)</f>
        <v>0</v>
      </c>
      <c r="R71" s="63"/>
    </row>
    <row r="72" spans="1:18" hidden="1" x14ac:dyDescent="0.25">
      <c r="A72" s="106">
        <v>66</v>
      </c>
      <c r="B72" s="8" t="s">
        <v>221</v>
      </c>
      <c r="C72" s="8" t="s">
        <v>185</v>
      </c>
      <c r="D72" s="106" t="s">
        <v>128</v>
      </c>
      <c r="E72" s="17" t="s">
        <v>134</v>
      </c>
      <c r="G72" s="17" t="s">
        <v>3</v>
      </c>
      <c r="H72" s="62"/>
      <c r="I72" s="37">
        <f>IFERROR(VLOOKUP(B72,'TB '!$A:$G,7,),0)</f>
        <v>-229554.44</v>
      </c>
      <c r="J72" s="37">
        <f>IFERROR(VLOOKUP($B72,'TB '!$4:$1048576,MATCH('List of Ledgers '!J$4,'TB '!$4:$4,0),0),0)</f>
        <v>5000</v>
      </c>
      <c r="K72" s="37">
        <f>IFERROR(VLOOKUP($B72,'TB '!$4:$1048576,MATCH('List of Ledgers '!K$4,'TB '!$4:$4,0),0),0)</f>
        <v>38553</v>
      </c>
      <c r="L72" s="37">
        <f>IFERROR(VLOOKUP(B72,'TB '!$A:$J,10,),0)</f>
        <v>-263107.44</v>
      </c>
      <c r="M72" s="71"/>
      <c r="N72" s="63">
        <f>IFERROR(VLOOKUP($B72,'TB YTD'!$4:$1048576,MATCH('List of Ledgers '!N$4,'TB YTD'!$4:$4,0),0),0)</f>
        <v>0</v>
      </c>
      <c r="O72" s="63">
        <f>IFERROR(VLOOKUP($B72,'TB YTD'!$4:$1048576,MATCH('List of Ledgers '!O$4,'TB YTD'!$4:$4,0),0),0)</f>
        <v>136962</v>
      </c>
      <c r="P72" s="63">
        <f>IFERROR(VLOOKUP($B72,'TB YTD'!$4:$1048576,MATCH('List of Ledgers '!P$4,'TB YTD'!$4:$4,0),0),0)</f>
        <v>400069.44</v>
      </c>
      <c r="Q72" s="63">
        <f>IFERROR(VLOOKUP($B72,'TB YTD'!$4:$1048576,MATCH('List of Ledgers '!Q$4,'TB YTD'!$4:$4,0),0),0)</f>
        <v>-263107.44</v>
      </c>
      <c r="R72" s="63"/>
    </row>
    <row r="73" spans="1:18" hidden="1" x14ac:dyDescent="0.25">
      <c r="A73" s="106">
        <v>67</v>
      </c>
      <c r="B73" s="8" t="s">
        <v>222</v>
      </c>
      <c r="C73" s="8" t="s">
        <v>140</v>
      </c>
      <c r="D73" s="17" t="s">
        <v>128</v>
      </c>
      <c r="E73" s="17" t="s">
        <v>131</v>
      </c>
      <c r="G73" s="17" t="s">
        <v>7</v>
      </c>
      <c r="H73" s="62"/>
      <c r="I73" s="37">
        <f>IFERROR(VLOOKUP(B73,'TB '!$A:$G,7,),0)</f>
        <v>-54000</v>
      </c>
      <c r="J73" s="37">
        <f>IFERROR(VLOOKUP($B73,'TB '!$4:$1048576,MATCH('List of Ledgers '!J$4,'TB '!$4:$4,0),0),0)</f>
        <v>0</v>
      </c>
      <c r="K73" s="37">
        <f>IFERROR(VLOOKUP($B73,'TB '!$4:$1048576,MATCH('List of Ledgers '!K$4,'TB '!$4:$4,0),0),0)</f>
        <v>0</v>
      </c>
      <c r="L73" s="37">
        <f>IFERROR(VLOOKUP(B73,'TB '!$A:$J,10,),0)</f>
        <v>-54000</v>
      </c>
      <c r="M73" s="71"/>
      <c r="N73" s="63">
        <f>IFERROR(VLOOKUP($B73,'TB YTD'!$4:$1048576,MATCH('List of Ledgers '!N$4,'TB YTD'!$4:$4,0),0),0)</f>
        <v>-54000</v>
      </c>
      <c r="O73" s="63">
        <f>IFERROR(VLOOKUP($B73,'TB YTD'!$4:$1048576,MATCH('List of Ledgers '!O$4,'TB YTD'!$4:$4,0),0),0)</f>
        <v>281600</v>
      </c>
      <c r="P73" s="63">
        <f>IFERROR(VLOOKUP($B73,'TB YTD'!$4:$1048576,MATCH('List of Ledgers '!P$4,'TB YTD'!$4:$4,0),0),0)</f>
        <v>281600</v>
      </c>
      <c r="Q73" s="63">
        <f>IFERROR(VLOOKUP($B73,'TB YTD'!$4:$1048576,MATCH('List of Ledgers '!Q$4,'TB YTD'!$4:$4,0),0),0)</f>
        <v>-54000</v>
      </c>
      <c r="R73" s="63"/>
    </row>
    <row r="74" spans="1:18" hidden="1" x14ac:dyDescent="0.25">
      <c r="A74" s="106">
        <v>68</v>
      </c>
      <c r="B74" s="8" t="s">
        <v>223</v>
      </c>
      <c r="C74" s="8" t="s">
        <v>124</v>
      </c>
      <c r="D74" s="17"/>
      <c r="E74" s="17"/>
      <c r="G74" s="17"/>
      <c r="H74" s="62"/>
      <c r="I74" s="37">
        <f>IFERROR(VLOOKUP(B74,'TB '!$A:$G,7,),0)</f>
        <v>249345.9</v>
      </c>
      <c r="J74" s="37">
        <f>IFERROR(VLOOKUP($B74,'TB '!$4:$1048576,MATCH('List of Ledgers '!J$4,'TB '!$4:$4,0),0),0)</f>
        <v>0</v>
      </c>
      <c r="K74" s="37">
        <f>IFERROR(VLOOKUP($B74,'TB '!$4:$1048576,MATCH('List of Ledgers '!K$4,'TB '!$4:$4,0),0),0)</f>
        <v>0</v>
      </c>
      <c r="L74" s="37">
        <f>IFERROR(VLOOKUP(B74,'TB '!$A:$J,10,),0)</f>
        <v>249345.9</v>
      </c>
      <c r="M74" s="71"/>
      <c r="N74" s="63">
        <f>IFERROR(VLOOKUP($B74,'TB YTD'!$4:$1048576,MATCH('List of Ledgers '!N$4,'TB YTD'!$4:$4,0),0),0)</f>
        <v>249345.9</v>
      </c>
      <c r="O74" s="63">
        <f>IFERROR(VLOOKUP($B74,'TB YTD'!$4:$1048576,MATCH('List of Ledgers '!O$4,'TB YTD'!$4:$4,0),0),0)</f>
        <v>0</v>
      </c>
      <c r="P74" s="63">
        <f>IFERROR(VLOOKUP($B74,'TB YTD'!$4:$1048576,MATCH('List of Ledgers '!P$4,'TB YTD'!$4:$4,0),0),0)</f>
        <v>0</v>
      </c>
      <c r="Q74" s="63">
        <f>IFERROR(VLOOKUP($B74,'TB YTD'!$4:$1048576,MATCH('List of Ledgers '!Q$4,'TB YTD'!$4:$4,0),0),0)</f>
        <v>249345.9</v>
      </c>
      <c r="R74" s="63"/>
    </row>
    <row r="75" spans="1:18" hidden="1" x14ac:dyDescent="0.25">
      <c r="A75" s="165">
        <f>A74+1</f>
        <v>69</v>
      </c>
      <c r="B75" s="2" t="s">
        <v>1253</v>
      </c>
      <c r="C75" s="2" t="s">
        <v>275</v>
      </c>
      <c r="D75" s="17" t="s">
        <v>151</v>
      </c>
      <c r="E75" s="17" t="s">
        <v>152</v>
      </c>
      <c r="F75" s="12" t="s">
        <v>62</v>
      </c>
      <c r="G75" s="17" t="s">
        <v>7</v>
      </c>
      <c r="I75" s="37">
        <f>IFERROR(VLOOKUP(B75,'TB '!$A:$G,7,),0)</f>
        <v>0</v>
      </c>
      <c r="J75" s="37">
        <f>IFERROR(VLOOKUP($B75,'TB '!$4:$1048576,MATCH('List of Ledgers '!J$4,'TB '!$4:$4,0),0),0)</f>
        <v>0</v>
      </c>
      <c r="K75" s="37">
        <f>IFERROR(VLOOKUP($B75,'TB '!$4:$1048576,MATCH('List of Ledgers '!K$4,'TB '!$4:$4,0),0),0)</f>
        <v>0</v>
      </c>
      <c r="L75" s="37">
        <f>IFERROR(VLOOKUP(B75,'TB '!$A:$J,10,),0)</f>
        <v>0</v>
      </c>
      <c r="M75" s="71"/>
      <c r="N75" s="63">
        <f>IFERROR(VLOOKUP($B75,'TB YTD'!$4:$1048576,MATCH('List of Ledgers '!N$4,'TB YTD'!$4:$4,0),0),0)</f>
        <v>0</v>
      </c>
      <c r="O75" s="63">
        <f>IFERROR(VLOOKUP($B75,'TB YTD'!$4:$1048576,MATCH('List of Ledgers '!O$4,'TB YTD'!$4:$4,0),0),0)</f>
        <v>29500</v>
      </c>
      <c r="P75" s="63">
        <f>IFERROR(VLOOKUP($B75,'TB YTD'!$4:$1048576,MATCH('List of Ledgers '!P$4,'TB YTD'!$4:$4,0),0),0)</f>
        <v>0</v>
      </c>
      <c r="Q75" s="63">
        <f>IFERROR(VLOOKUP($B75,'TB YTD'!$4:$1048576,MATCH('List of Ledgers '!Q$4,'TB YTD'!$4:$4,0),0),0)</f>
        <v>29500</v>
      </c>
      <c r="R75" s="63"/>
    </row>
    <row r="76" spans="1:18" hidden="1" x14ac:dyDescent="0.25">
      <c r="A76" s="106">
        <v>69</v>
      </c>
      <c r="B76" s="8" t="s">
        <v>224</v>
      </c>
      <c r="C76" s="8" t="s">
        <v>158</v>
      </c>
      <c r="D76" s="17" t="s">
        <v>128</v>
      </c>
      <c r="E76" s="17" t="s">
        <v>131</v>
      </c>
      <c r="G76" s="17" t="s">
        <v>7</v>
      </c>
      <c r="H76" s="62"/>
      <c r="I76" s="37">
        <f>IFERROR(VLOOKUP(B76,'TB '!$A:$G,7,),0)</f>
        <v>0</v>
      </c>
      <c r="J76" s="37">
        <f>IFERROR(VLOOKUP($B76,'TB '!$4:$1048576,MATCH('List of Ledgers '!J$4,'TB '!$4:$4,0),0),0)</f>
        <v>17509</v>
      </c>
      <c r="K76" s="37">
        <f>IFERROR(VLOOKUP($B76,'TB '!$4:$1048576,MATCH('List of Ledgers '!K$4,'TB '!$4:$4,0),0),0)</f>
        <v>17509</v>
      </c>
      <c r="L76" s="37">
        <f>IFERROR(VLOOKUP(B76,'TB '!$A:$J,10,),0)</f>
        <v>0</v>
      </c>
      <c r="M76" s="71"/>
      <c r="N76" s="63">
        <f>IFERROR(VLOOKUP($B76,'TB YTD'!$4:$1048576,MATCH('List of Ledgers '!N$4,'TB YTD'!$4:$4,0),0),0)</f>
        <v>-112576</v>
      </c>
      <c r="O76" s="63">
        <f>IFERROR(VLOOKUP($B76,'TB YTD'!$4:$1048576,MATCH('List of Ledgers '!O$4,'TB YTD'!$4:$4,0),0),0)</f>
        <v>423303</v>
      </c>
      <c r="P76" s="63">
        <f>IFERROR(VLOOKUP($B76,'TB YTD'!$4:$1048576,MATCH('List of Ledgers '!P$4,'TB YTD'!$4:$4,0),0),0)</f>
        <v>310727</v>
      </c>
      <c r="Q76" s="63">
        <f>IFERROR(VLOOKUP($B76,'TB YTD'!$4:$1048576,MATCH('List of Ledgers '!Q$4,'TB YTD'!$4:$4,0),0),0)</f>
        <v>0</v>
      </c>
      <c r="R76" s="63"/>
    </row>
    <row r="77" spans="1:18" hidden="1" x14ac:dyDescent="0.25">
      <c r="A77" s="106">
        <v>70</v>
      </c>
      <c r="B77" s="8" t="s">
        <v>225</v>
      </c>
      <c r="C77" s="8" t="s">
        <v>124</v>
      </c>
      <c r="D77" s="17"/>
      <c r="E77" s="17"/>
      <c r="G77" s="17"/>
      <c r="H77" s="62"/>
      <c r="I77" s="37">
        <f>IFERROR(VLOOKUP(B77,'TB '!$A:$G,7,),0)</f>
        <v>90672.54</v>
      </c>
      <c r="J77" s="37">
        <f>IFERROR(VLOOKUP($B77,'TB '!$4:$1048576,MATCH('List of Ledgers '!J$4,'TB '!$4:$4,0),0),0)</f>
        <v>0</v>
      </c>
      <c r="K77" s="37">
        <f>IFERROR(VLOOKUP($B77,'TB '!$4:$1048576,MATCH('List of Ledgers '!K$4,'TB '!$4:$4,0),0),0)</f>
        <v>0</v>
      </c>
      <c r="L77" s="37">
        <f>IFERROR(VLOOKUP(B77,'TB '!$A:$J,10,),0)</f>
        <v>90672.54</v>
      </c>
      <c r="M77" s="71"/>
      <c r="N77" s="63">
        <f>IFERROR(VLOOKUP($B77,'TB YTD'!$4:$1048576,MATCH('List of Ledgers '!N$4,'TB YTD'!$4:$4,0),0),0)</f>
        <v>90672.54</v>
      </c>
      <c r="O77" s="63">
        <f>IFERROR(VLOOKUP($B77,'TB YTD'!$4:$1048576,MATCH('List of Ledgers '!O$4,'TB YTD'!$4:$4,0),0),0)</f>
        <v>0</v>
      </c>
      <c r="P77" s="63">
        <f>IFERROR(VLOOKUP($B77,'TB YTD'!$4:$1048576,MATCH('List of Ledgers '!P$4,'TB YTD'!$4:$4,0),0),0)</f>
        <v>0</v>
      </c>
      <c r="Q77" s="63">
        <f>IFERROR(VLOOKUP($B77,'TB YTD'!$4:$1048576,MATCH('List of Ledgers '!Q$4,'TB YTD'!$4:$4,0),0),0)</f>
        <v>90672.54</v>
      </c>
      <c r="R77" s="63"/>
    </row>
    <row r="78" spans="1:18" hidden="1" x14ac:dyDescent="0.25">
      <c r="A78" s="106">
        <v>71</v>
      </c>
      <c r="B78" s="8" t="s">
        <v>226</v>
      </c>
      <c r="C78" s="8" t="s">
        <v>189</v>
      </c>
      <c r="D78" s="17" t="s">
        <v>151</v>
      </c>
      <c r="E78" s="17" t="s">
        <v>152</v>
      </c>
      <c r="F78" s="12" t="s">
        <v>42</v>
      </c>
      <c r="G78" s="17" t="s">
        <v>7</v>
      </c>
      <c r="H78" s="62"/>
      <c r="I78" s="37">
        <f>IFERROR(VLOOKUP(B78,'TB '!$A:$G,7,),0)</f>
        <v>0</v>
      </c>
      <c r="J78" s="37">
        <f>IFERROR(VLOOKUP($B78,'TB '!$4:$1048576,MATCH('List of Ledgers '!J$4,'TB '!$4:$4,0),0),0)</f>
        <v>24.32</v>
      </c>
      <c r="K78" s="37">
        <f>IFERROR(VLOOKUP($B78,'TB '!$4:$1048576,MATCH('List of Ledgers '!K$4,'TB '!$4:$4,0),0),0)</f>
        <v>0</v>
      </c>
      <c r="L78" s="37">
        <f>IFERROR(VLOOKUP(B78,'TB '!$A:$J,10,),0)</f>
        <v>24.32</v>
      </c>
      <c r="M78" s="71"/>
      <c r="N78" s="63">
        <f>IFERROR(VLOOKUP($B78,'TB YTD'!$4:$1048576,MATCH('List of Ledgers '!N$4,'TB YTD'!$4:$4,0),0),0)</f>
        <v>0</v>
      </c>
      <c r="O78" s="63">
        <f>IFERROR(VLOOKUP($B78,'TB YTD'!$4:$1048576,MATCH('List of Ledgers '!O$4,'TB YTD'!$4:$4,0),0),0)</f>
        <v>6010.68</v>
      </c>
      <c r="P78" s="63">
        <f>IFERROR(VLOOKUP($B78,'TB YTD'!$4:$1048576,MATCH('List of Ledgers '!P$4,'TB YTD'!$4:$4,0),0),0)</f>
        <v>0</v>
      </c>
      <c r="Q78" s="63">
        <f>IFERROR(VLOOKUP($B78,'TB YTD'!$4:$1048576,MATCH('List of Ledgers '!Q$4,'TB YTD'!$4:$4,0),0),0)</f>
        <v>6010.68</v>
      </c>
      <c r="R78" s="63"/>
    </row>
    <row r="79" spans="1:18" hidden="1" x14ac:dyDescent="0.25">
      <c r="A79" s="106">
        <v>72</v>
      </c>
      <c r="B79" s="8" t="s">
        <v>227</v>
      </c>
      <c r="C79" s="8" t="s">
        <v>189</v>
      </c>
      <c r="D79" s="17" t="s">
        <v>151</v>
      </c>
      <c r="E79" s="17" t="s">
        <v>152</v>
      </c>
      <c r="F79" s="12" t="s">
        <v>42</v>
      </c>
      <c r="G79" s="17" t="s">
        <v>7</v>
      </c>
      <c r="H79" s="62"/>
      <c r="I79" s="37">
        <f>IFERROR(VLOOKUP(B79,'TB '!$A:$G,7,),0)</f>
        <v>0</v>
      </c>
      <c r="J79" s="37">
        <f>IFERROR(VLOOKUP($B79,'TB '!$4:$1048576,MATCH('List of Ledgers '!J$4,'TB '!$4:$4,0),0),0)</f>
        <v>600</v>
      </c>
      <c r="K79" s="37">
        <f>IFERROR(VLOOKUP($B79,'TB '!$4:$1048576,MATCH('List of Ledgers '!K$4,'TB '!$4:$4,0),0),0)</f>
        <v>0</v>
      </c>
      <c r="L79" s="37">
        <f>IFERROR(VLOOKUP(B79,'TB '!$A:$J,10,),0)</f>
        <v>600</v>
      </c>
      <c r="M79" s="71"/>
      <c r="N79" s="63">
        <f>IFERROR(VLOOKUP($B79,'TB YTD'!$4:$1048576,MATCH('List of Ledgers '!N$4,'TB YTD'!$4:$4,0),0),0)</f>
        <v>0</v>
      </c>
      <c r="O79" s="63">
        <f>IFERROR(VLOOKUP($B79,'TB YTD'!$4:$1048576,MATCH('List of Ledgers '!O$4,'TB YTD'!$4:$4,0),0),0)</f>
        <v>1248</v>
      </c>
      <c r="P79" s="63">
        <f>IFERROR(VLOOKUP($B79,'TB YTD'!$4:$1048576,MATCH('List of Ledgers '!P$4,'TB YTD'!$4:$4,0),0),0)</f>
        <v>0</v>
      </c>
      <c r="Q79" s="63">
        <f>IFERROR(VLOOKUP($B79,'TB YTD'!$4:$1048576,MATCH('List of Ledgers '!Q$4,'TB YTD'!$4:$4,0),0),0)</f>
        <v>1248</v>
      </c>
      <c r="R79" s="63"/>
    </row>
    <row r="80" spans="1:18" hidden="1" x14ac:dyDescent="0.25">
      <c r="A80" s="106">
        <v>73</v>
      </c>
      <c r="B80" s="8" t="s">
        <v>228</v>
      </c>
      <c r="C80" s="8" t="s">
        <v>189</v>
      </c>
      <c r="D80" s="17" t="s">
        <v>151</v>
      </c>
      <c r="E80" s="17" t="s">
        <v>152</v>
      </c>
      <c r="F80" s="12" t="s">
        <v>42</v>
      </c>
      <c r="G80" s="17" t="s">
        <v>7</v>
      </c>
      <c r="H80" s="62"/>
      <c r="I80" s="37">
        <f>IFERROR(VLOOKUP(B80,'TB '!$A:$G,7,),0)</f>
        <v>0</v>
      </c>
      <c r="J80" s="37">
        <f>IFERROR(VLOOKUP($B80,'TB '!$4:$1048576,MATCH('List of Ledgers '!J$4,'TB '!$4:$4,0),0),0)</f>
        <v>0</v>
      </c>
      <c r="K80" s="37">
        <f>IFERROR(VLOOKUP($B80,'TB '!$4:$1048576,MATCH('List of Ledgers '!K$4,'TB '!$4:$4,0),0),0)</f>
        <v>0</v>
      </c>
      <c r="L80" s="37">
        <f>IFERROR(VLOOKUP(B80,'TB '!$A:$J,10,),0)</f>
        <v>0</v>
      </c>
      <c r="M80" s="71"/>
      <c r="N80" s="63">
        <f>IFERROR(VLOOKUP($B80,'TB YTD'!$4:$1048576,MATCH('List of Ledgers '!N$4,'TB YTD'!$4:$4,0),0),0)</f>
        <v>0</v>
      </c>
      <c r="O80" s="63">
        <f>IFERROR(VLOOKUP($B80,'TB YTD'!$4:$1048576,MATCH('List of Ledgers '!O$4,'TB YTD'!$4:$4,0),0),0)</f>
        <v>0</v>
      </c>
      <c r="P80" s="63">
        <f>IFERROR(VLOOKUP($B80,'TB YTD'!$4:$1048576,MATCH('List of Ledgers '!P$4,'TB YTD'!$4:$4,0),0),0)</f>
        <v>0</v>
      </c>
      <c r="Q80" s="63">
        <f>IFERROR(VLOOKUP($B80,'TB YTD'!$4:$1048576,MATCH('List of Ledgers '!Q$4,'TB YTD'!$4:$4,0),0),0)</f>
        <v>0</v>
      </c>
      <c r="R80" s="63"/>
    </row>
    <row r="81" spans="1:18" hidden="1" x14ac:dyDescent="0.25">
      <c r="A81" s="106">
        <v>74</v>
      </c>
      <c r="B81" s="8" t="s">
        <v>229</v>
      </c>
      <c r="C81" s="8" t="s">
        <v>166</v>
      </c>
      <c r="D81" s="17" t="s">
        <v>151</v>
      </c>
      <c r="E81" s="17" t="s">
        <v>152</v>
      </c>
      <c r="F81" s="12" t="s">
        <v>42</v>
      </c>
      <c r="G81" s="17" t="s">
        <v>4</v>
      </c>
      <c r="H81" s="62"/>
      <c r="I81" s="37">
        <f>IFERROR(VLOOKUP(B81,'TB '!$A:$G,7,),0)</f>
        <v>0</v>
      </c>
      <c r="J81" s="37">
        <f>IFERROR(VLOOKUP($B81,'TB '!$4:$1048576,MATCH('List of Ledgers '!J$4,'TB '!$4:$4,0),0),0)</f>
        <v>600</v>
      </c>
      <c r="K81" s="37">
        <f>IFERROR(VLOOKUP($B81,'TB '!$4:$1048576,MATCH('List of Ledgers '!K$4,'TB '!$4:$4,0),0),0)</f>
        <v>0</v>
      </c>
      <c r="L81" s="37">
        <f>IFERROR(VLOOKUP(B81,'TB '!$A:$J,10,),0)</f>
        <v>600</v>
      </c>
      <c r="M81" s="71"/>
      <c r="N81" s="63">
        <f>IFERROR(VLOOKUP($B81,'TB YTD'!$4:$1048576,MATCH('List of Ledgers '!N$4,'TB YTD'!$4:$4,0),0),0)</f>
        <v>0</v>
      </c>
      <c r="O81" s="63">
        <f>IFERROR(VLOOKUP($B81,'TB YTD'!$4:$1048576,MATCH('List of Ledgers '!O$4,'TB YTD'!$4:$4,0),0),0)</f>
        <v>600</v>
      </c>
      <c r="P81" s="63">
        <f>IFERROR(VLOOKUP($B81,'TB YTD'!$4:$1048576,MATCH('List of Ledgers '!P$4,'TB YTD'!$4:$4,0),0),0)</f>
        <v>0</v>
      </c>
      <c r="Q81" s="63">
        <f>IFERROR(VLOOKUP($B81,'TB YTD'!$4:$1048576,MATCH('List of Ledgers '!Q$4,'TB YTD'!$4:$4,0),0),0)</f>
        <v>600</v>
      </c>
      <c r="R81" s="63"/>
    </row>
    <row r="82" spans="1:18" hidden="1" x14ac:dyDescent="0.25">
      <c r="A82" s="106">
        <v>75</v>
      </c>
      <c r="B82" s="8" t="s">
        <v>230</v>
      </c>
      <c r="C82" s="8" t="s">
        <v>166</v>
      </c>
      <c r="D82" s="17" t="s">
        <v>151</v>
      </c>
      <c r="E82" s="17" t="s">
        <v>152</v>
      </c>
      <c r="F82" s="12" t="s">
        <v>42</v>
      </c>
      <c r="G82" s="17" t="s">
        <v>4</v>
      </c>
      <c r="H82" s="62"/>
      <c r="I82" s="37">
        <f>IFERROR(VLOOKUP(B82,'TB '!$A:$G,7,),0)</f>
        <v>0</v>
      </c>
      <c r="J82" s="37">
        <f>IFERROR(VLOOKUP($B82,'TB '!$4:$1048576,MATCH('List of Ledgers '!J$4,'TB '!$4:$4,0),0),0)</f>
        <v>0</v>
      </c>
      <c r="K82" s="37">
        <f>IFERROR(VLOOKUP($B82,'TB '!$4:$1048576,MATCH('List of Ledgers '!K$4,'TB '!$4:$4,0),0),0)</f>
        <v>0</v>
      </c>
      <c r="L82" s="37">
        <f>IFERROR(VLOOKUP(B82,'TB '!$A:$J,10,),0)</f>
        <v>0</v>
      </c>
      <c r="M82" s="71"/>
      <c r="N82" s="63">
        <f>IFERROR(VLOOKUP($B82,'TB YTD'!$4:$1048576,MATCH('List of Ledgers '!N$4,'TB YTD'!$4:$4,0),0),0)</f>
        <v>0</v>
      </c>
      <c r="O82" s="63">
        <f>IFERROR(VLOOKUP($B82,'TB YTD'!$4:$1048576,MATCH('List of Ledgers '!O$4,'TB YTD'!$4:$4,0),0),0)</f>
        <v>2050</v>
      </c>
      <c r="P82" s="63">
        <f>IFERROR(VLOOKUP($B82,'TB YTD'!$4:$1048576,MATCH('List of Ledgers '!P$4,'TB YTD'!$4:$4,0),0),0)</f>
        <v>0</v>
      </c>
      <c r="Q82" s="63">
        <f>IFERROR(VLOOKUP($B82,'TB YTD'!$4:$1048576,MATCH('List of Ledgers '!Q$4,'TB YTD'!$4:$4,0),0),0)</f>
        <v>2050</v>
      </c>
      <c r="R82" s="63"/>
    </row>
    <row r="83" spans="1:18" hidden="1" x14ac:dyDescent="0.25">
      <c r="A83" s="106">
        <v>76</v>
      </c>
      <c r="B83" s="8" t="s">
        <v>231</v>
      </c>
      <c r="C83" s="8" t="s">
        <v>140</v>
      </c>
      <c r="D83" s="17" t="s">
        <v>128</v>
      </c>
      <c r="E83" s="17" t="s">
        <v>131</v>
      </c>
      <c r="G83" s="17" t="s">
        <v>7</v>
      </c>
      <c r="H83" s="62"/>
      <c r="I83" s="37">
        <f>IFERROR(VLOOKUP(B83,'TB '!$A:$G,7,),0)</f>
        <v>0</v>
      </c>
      <c r="J83" s="37">
        <f>IFERROR(VLOOKUP($B83,'TB '!$4:$1048576,MATCH('List of Ledgers '!J$4,'TB '!$4:$4,0),0),0)</f>
        <v>0</v>
      </c>
      <c r="K83" s="37">
        <f>IFERROR(VLOOKUP($B83,'TB '!$4:$1048576,MATCH('List of Ledgers '!K$4,'TB '!$4:$4,0),0),0)</f>
        <v>0</v>
      </c>
      <c r="L83" s="37">
        <f>IFERROR(VLOOKUP(B83,'TB '!$A:$J,10,),0)</f>
        <v>0</v>
      </c>
      <c r="M83" s="71"/>
      <c r="N83" s="63">
        <f>IFERROR(VLOOKUP($B83,'TB YTD'!$4:$1048576,MATCH('List of Ledgers '!N$4,'TB YTD'!$4:$4,0),0),0)</f>
        <v>0</v>
      </c>
      <c r="O83" s="63">
        <f>IFERROR(VLOOKUP($B83,'TB YTD'!$4:$1048576,MATCH('List of Ledgers '!O$4,'TB YTD'!$4:$4,0),0),0)</f>
        <v>0</v>
      </c>
      <c r="P83" s="63">
        <f>IFERROR(VLOOKUP($B83,'TB YTD'!$4:$1048576,MATCH('List of Ledgers '!P$4,'TB YTD'!$4:$4,0),0),0)</f>
        <v>0</v>
      </c>
      <c r="Q83" s="63">
        <f>IFERROR(VLOOKUP($B83,'TB YTD'!$4:$1048576,MATCH('List of Ledgers '!Q$4,'TB YTD'!$4:$4,0),0),0)</f>
        <v>0</v>
      </c>
      <c r="R83" s="63"/>
    </row>
    <row r="84" spans="1:18" hidden="1" x14ac:dyDescent="0.25">
      <c r="A84" s="106">
        <v>77</v>
      </c>
      <c r="B84" s="8" t="s">
        <v>232</v>
      </c>
      <c r="C84" s="8" t="s">
        <v>140</v>
      </c>
      <c r="D84" s="17" t="s">
        <v>128</v>
      </c>
      <c r="E84" s="17" t="s">
        <v>131</v>
      </c>
      <c r="G84" s="17" t="s">
        <v>7</v>
      </c>
      <c r="H84" s="62"/>
      <c r="I84" s="37">
        <f>IFERROR(VLOOKUP(B84,'TB '!$A:$G,7,),0)</f>
        <v>0</v>
      </c>
      <c r="J84" s="37">
        <f>IFERROR(VLOOKUP($B84,'TB '!$4:$1048576,MATCH('List of Ledgers '!J$4,'TB '!$4:$4,0),0),0)</f>
        <v>0</v>
      </c>
      <c r="K84" s="37">
        <f>IFERROR(VLOOKUP($B84,'TB '!$4:$1048576,MATCH('List of Ledgers '!K$4,'TB '!$4:$4,0),0),0)</f>
        <v>0</v>
      </c>
      <c r="L84" s="37">
        <f>IFERROR(VLOOKUP(B84,'TB '!$A:$J,10,),0)</f>
        <v>0</v>
      </c>
      <c r="M84" s="71"/>
      <c r="N84" s="63">
        <f>IFERROR(VLOOKUP($B84,'TB YTD'!$4:$1048576,MATCH('List of Ledgers '!N$4,'TB YTD'!$4:$4,0),0),0)</f>
        <v>0</v>
      </c>
      <c r="O84" s="63">
        <f>IFERROR(VLOOKUP($B84,'TB YTD'!$4:$1048576,MATCH('List of Ledgers '!O$4,'TB YTD'!$4:$4,0),0),0)</f>
        <v>118</v>
      </c>
      <c r="P84" s="63">
        <f>IFERROR(VLOOKUP($B84,'TB YTD'!$4:$1048576,MATCH('List of Ledgers '!P$4,'TB YTD'!$4:$4,0),0),0)</f>
        <v>118</v>
      </c>
      <c r="Q84" s="63">
        <f>IFERROR(VLOOKUP($B84,'TB YTD'!$4:$1048576,MATCH('List of Ledgers '!Q$4,'TB YTD'!$4:$4,0),0),0)</f>
        <v>0</v>
      </c>
      <c r="R84" s="63"/>
    </row>
    <row r="85" spans="1:18" hidden="1" x14ac:dyDescent="0.25">
      <c r="A85" s="106">
        <v>78</v>
      </c>
      <c r="B85" s="8" t="s">
        <v>233</v>
      </c>
      <c r="C85" s="8" t="s">
        <v>234</v>
      </c>
      <c r="D85" s="17" t="s">
        <v>151</v>
      </c>
      <c r="E85" s="17" t="s">
        <v>152</v>
      </c>
      <c r="F85" s="12" t="s">
        <v>63</v>
      </c>
      <c r="G85" s="17" t="s">
        <v>2</v>
      </c>
      <c r="H85" s="62"/>
      <c r="I85" s="37">
        <f>IFERROR(VLOOKUP(B85,'TB '!$A:$G,7,),0)</f>
        <v>0</v>
      </c>
      <c r="J85" s="37">
        <f>IFERROR(VLOOKUP($B85,'TB '!$4:$1048576,MATCH('List of Ledgers '!J$4,'TB '!$4:$4,0),0),0)</f>
        <v>0</v>
      </c>
      <c r="K85" s="37">
        <f>IFERROR(VLOOKUP($B85,'TB '!$4:$1048576,MATCH('List of Ledgers '!K$4,'TB '!$4:$4,0),0),0)</f>
        <v>0</v>
      </c>
      <c r="L85" s="37">
        <f>IFERROR(VLOOKUP(B85,'TB '!$A:$J,10,),0)</f>
        <v>0</v>
      </c>
      <c r="M85" s="71"/>
      <c r="N85" s="63">
        <f>IFERROR(VLOOKUP($B85,'TB YTD'!$4:$1048576,MATCH('List of Ledgers '!N$4,'TB YTD'!$4:$4,0),0),0)</f>
        <v>0</v>
      </c>
      <c r="O85" s="63">
        <f>IFERROR(VLOOKUP($B85,'TB YTD'!$4:$1048576,MATCH('List of Ledgers '!O$4,'TB YTD'!$4:$4,0),0),0)</f>
        <v>0</v>
      </c>
      <c r="P85" s="63">
        <f>IFERROR(VLOOKUP($B85,'TB YTD'!$4:$1048576,MATCH('List of Ledgers '!P$4,'TB YTD'!$4:$4,0),0),0)</f>
        <v>0</v>
      </c>
      <c r="Q85" s="63">
        <f>IFERROR(VLOOKUP($B85,'TB YTD'!$4:$1048576,MATCH('List of Ledgers '!Q$4,'TB YTD'!$4:$4,0),0),0)</f>
        <v>0</v>
      </c>
      <c r="R85" s="63"/>
    </row>
    <row r="86" spans="1:18" hidden="1" x14ac:dyDescent="0.25">
      <c r="A86" s="106">
        <v>79</v>
      </c>
      <c r="B86" s="8" t="s">
        <v>235</v>
      </c>
      <c r="C86" s="8" t="s">
        <v>236</v>
      </c>
      <c r="D86" s="17" t="s">
        <v>151</v>
      </c>
      <c r="E86" s="17" t="s">
        <v>152</v>
      </c>
      <c r="F86" s="12" t="s">
        <v>63</v>
      </c>
      <c r="G86" s="17" t="s">
        <v>7</v>
      </c>
      <c r="H86" s="62"/>
      <c r="I86" s="37">
        <f>IFERROR(VLOOKUP(B86,'TB '!$A:$G,7,),0)</f>
        <v>0</v>
      </c>
      <c r="J86" s="37">
        <f>IFERROR(VLOOKUP($B86,'TB '!$4:$1048576,MATCH('List of Ledgers '!J$4,'TB '!$4:$4,0),0),0)</f>
        <v>14775</v>
      </c>
      <c r="K86" s="37">
        <f>IFERROR(VLOOKUP($B86,'TB '!$4:$1048576,MATCH('List of Ledgers '!K$4,'TB '!$4:$4,0),0),0)</f>
        <v>0</v>
      </c>
      <c r="L86" s="37">
        <f>IFERROR(VLOOKUP(B86,'TB '!$A:$J,10,),0)</f>
        <v>14775</v>
      </c>
      <c r="M86" s="71"/>
      <c r="N86" s="63">
        <f>IFERROR(VLOOKUP($B86,'TB YTD'!$4:$1048576,MATCH('List of Ledgers '!N$4,'TB YTD'!$4:$4,0),0),0)</f>
        <v>0</v>
      </c>
      <c r="O86" s="63">
        <f>IFERROR(VLOOKUP($B86,'TB YTD'!$4:$1048576,MATCH('List of Ledgers '!O$4,'TB YTD'!$4:$4,0),0),0)</f>
        <v>151973</v>
      </c>
      <c r="P86" s="63">
        <f>IFERROR(VLOOKUP($B86,'TB YTD'!$4:$1048576,MATCH('List of Ledgers '!P$4,'TB YTD'!$4:$4,0),0),0)</f>
        <v>0</v>
      </c>
      <c r="Q86" s="63">
        <f>IFERROR(VLOOKUP($B86,'TB YTD'!$4:$1048576,MATCH('List of Ledgers '!Q$4,'TB YTD'!$4:$4,0),0),0)</f>
        <v>151973</v>
      </c>
      <c r="R86" s="63"/>
    </row>
    <row r="87" spans="1:18" hidden="1" x14ac:dyDescent="0.25">
      <c r="A87" s="106">
        <v>80</v>
      </c>
      <c r="B87" s="8" t="s">
        <v>237</v>
      </c>
      <c r="C87" s="8" t="s">
        <v>238</v>
      </c>
      <c r="D87" s="17" t="s">
        <v>151</v>
      </c>
      <c r="E87" s="17" t="s">
        <v>152</v>
      </c>
      <c r="F87" s="12" t="s">
        <v>63</v>
      </c>
      <c r="G87" s="17" t="s">
        <v>7</v>
      </c>
      <c r="H87" s="62"/>
      <c r="I87" s="37">
        <f>IFERROR(VLOOKUP(B87,'TB '!$A:$G,7,),0)</f>
        <v>0</v>
      </c>
      <c r="J87" s="37">
        <f>IFERROR(VLOOKUP($B87,'TB '!$4:$1048576,MATCH('List of Ledgers '!J$4,'TB '!$4:$4,0),0),0)</f>
        <v>85298</v>
      </c>
      <c r="K87" s="37">
        <f>IFERROR(VLOOKUP($B87,'TB '!$4:$1048576,MATCH('List of Ledgers '!K$4,'TB '!$4:$4,0),0),0)</f>
        <v>0</v>
      </c>
      <c r="L87" s="37">
        <f>IFERROR(VLOOKUP(B87,'TB '!$A:$J,10,),0)</f>
        <v>85298</v>
      </c>
      <c r="M87" s="71"/>
      <c r="N87" s="63">
        <f>IFERROR(VLOOKUP($B87,'TB YTD'!$4:$1048576,MATCH('List of Ledgers '!N$4,'TB YTD'!$4:$4,0),0),0)</f>
        <v>0</v>
      </c>
      <c r="O87" s="63">
        <f>IFERROR(VLOOKUP($B87,'TB YTD'!$4:$1048576,MATCH('List of Ledgers '!O$4,'TB YTD'!$4:$4,0),0),0)</f>
        <v>926355</v>
      </c>
      <c r="P87" s="63">
        <f>IFERROR(VLOOKUP($B87,'TB YTD'!$4:$1048576,MATCH('List of Ledgers '!P$4,'TB YTD'!$4:$4,0),0),0)</f>
        <v>0</v>
      </c>
      <c r="Q87" s="63">
        <f>IFERROR(VLOOKUP($B87,'TB YTD'!$4:$1048576,MATCH('List of Ledgers '!Q$4,'TB YTD'!$4:$4,0),0),0)</f>
        <v>926355</v>
      </c>
      <c r="R87" s="63"/>
    </row>
    <row r="88" spans="1:18" hidden="1" x14ac:dyDescent="0.25">
      <c r="A88" s="106">
        <v>81</v>
      </c>
      <c r="B88" s="8" t="s">
        <v>239</v>
      </c>
      <c r="C88" s="8" t="s">
        <v>240</v>
      </c>
      <c r="D88" s="17" t="s">
        <v>151</v>
      </c>
      <c r="E88" s="17" t="s">
        <v>152</v>
      </c>
      <c r="F88" s="12" t="s">
        <v>63</v>
      </c>
      <c r="G88" s="17" t="s">
        <v>3</v>
      </c>
      <c r="H88" s="62"/>
      <c r="I88" s="37">
        <f>IFERROR(VLOOKUP(B88,'TB '!$A:$G,7,),0)</f>
        <v>0</v>
      </c>
      <c r="J88" s="37">
        <f>IFERROR(VLOOKUP($B88,'TB '!$4:$1048576,MATCH('List of Ledgers '!J$4,'TB '!$4:$4,0),0),0)</f>
        <v>0</v>
      </c>
      <c r="K88" s="37">
        <f>IFERROR(VLOOKUP($B88,'TB '!$4:$1048576,MATCH('List of Ledgers '!K$4,'TB '!$4:$4,0),0),0)</f>
        <v>0</v>
      </c>
      <c r="L88" s="37">
        <f>IFERROR(VLOOKUP(B88,'TB '!$A:$J,10,),0)</f>
        <v>0</v>
      </c>
      <c r="M88" s="71"/>
      <c r="N88" s="63">
        <f>IFERROR(VLOOKUP($B88,'TB YTD'!$4:$1048576,MATCH('List of Ledgers '!N$4,'TB YTD'!$4:$4,0),0),0)</f>
        <v>0</v>
      </c>
      <c r="O88" s="63">
        <f>IFERROR(VLOOKUP($B88,'TB YTD'!$4:$1048576,MATCH('List of Ledgers '!O$4,'TB YTD'!$4:$4,0),0),0)</f>
        <v>46500</v>
      </c>
      <c r="P88" s="63">
        <f>IFERROR(VLOOKUP($B88,'TB YTD'!$4:$1048576,MATCH('List of Ledgers '!P$4,'TB YTD'!$4:$4,0),0),0)</f>
        <v>0</v>
      </c>
      <c r="Q88" s="63">
        <f>IFERROR(VLOOKUP($B88,'TB YTD'!$4:$1048576,MATCH('List of Ledgers '!Q$4,'TB YTD'!$4:$4,0),0),0)</f>
        <v>46500</v>
      </c>
      <c r="R88" s="63"/>
    </row>
    <row r="89" spans="1:18" hidden="1" x14ac:dyDescent="0.25">
      <c r="A89" s="106">
        <v>82</v>
      </c>
      <c r="B89" s="8" t="s">
        <v>241</v>
      </c>
      <c r="C89" s="8" t="s">
        <v>176</v>
      </c>
      <c r="D89" s="17" t="s">
        <v>128</v>
      </c>
      <c r="E89" s="17" t="s">
        <v>131</v>
      </c>
      <c r="F89" s="153"/>
      <c r="G89" s="17" t="s">
        <v>7</v>
      </c>
      <c r="H89" s="62"/>
      <c r="I89" s="37">
        <f>IFERROR(VLOOKUP(B89,'TB '!$A:$G,7,),0)</f>
        <v>0</v>
      </c>
      <c r="J89" s="37">
        <f>IFERROR(VLOOKUP($B89,'TB '!$4:$1048576,MATCH('List of Ledgers '!J$4,'TB '!$4:$4,0),0),0)</f>
        <v>0</v>
      </c>
      <c r="K89" s="37">
        <f>IFERROR(VLOOKUP($B89,'TB '!$4:$1048576,MATCH('List of Ledgers '!K$4,'TB '!$4:$4,0),0),0)</f>
        <v>0</v>
      </c>
      <c r="L89" s="37">
        <f>IFERROR(VLOOKUP(B89,'TB '!$A:$J,10,),0)</f>
        <v>0</v>
      </c>
      <c r="M89" s="71"/>
      <c r="N89" s="63">
        <f>IFERROR(VLOOKUP($B89,'TB YTD'!$4:$1048576,MATCH('List of Ledgers '!N$4,'TB YTD'!$4:$4,0),0),0)</f>
        <v>0</v>
      </c>
      <c r="O89" s="63">
        <f>IFERROR(VLOOKUP($B89,'TB YTD'!$4:$1048576,MATCH('List of Ledgers '!O$4,'TB YTD'!$4:$4,0),0),0)</f>
        <v>0</v>
      </c>
      <c r="P89" s="63">
        <f>IFERROR(VLOOKUP($B89,'TB YTD'!$4:$1048576,MATCH('List of Ledgers '!P$4,'TB YTD'!$4:$4,0),0),0)</f>
        <v>0</v>
      </c>
      <c r="Q89" s="63">
        <f>IFERROR(VLOOKUP($B89,'TB YTD'!$4:$1048576,MATCH('List of Ledgers '!Q$4,'TB YTD'!$4:$4,0),0),0)</f>
        <v>0</v>
      </c>
      <c r="R89" s="63"/>
    </row>
    <row r="90" spans="1:18" hidden="1" x14ac:dyDescent="0.25">
      <c r="A90" s="106">
        <v>83</v>
      </c>
      <c r="B90" s="8" t="s">
        <v>242</v>
      </c>
      <c r="C90" s="8" t="s">
        <v>198</v>
      </c>
      <c r="D90" s="17" t="s">
        <v>128</v>
      </c>
      <c r="E90" s="17" t="s">
        <v>134</v>
      </c>
      <c r="F90" s="153"/>
      <c r="G90" s="17" t="s">
        <v>2</v>
      </c>
      <c r="H90" s="62"/>
      <c r="I90" s="37">
        <f>IFERROR(VLOOKUP(B90,'TB '!$A:$G,7,),0)</f>
        <v>0</v>
      </c>
      <c r="J90" s="37">
        <f>IFERROR(VLOOKUP($B90,'TB '!$4:$1048576,MATCH('List of Ledgers '!J$4,'TB '!$4:$4,0),0),0)</f>
        <v>0</v>
      </c>
      <c r="K90" s="37">
        <f>IFERROR(VLOOKUP($B90,'TB '!$4:$1048576,MATCH('List of Ledgers '!K$4,'TB '!$4:$4,0),0),0)</f>
        <v>0</v>
      </c>
      <c r="L90" s="37">
        <f>IFERROR(VLOOKUP(B90,'TB '!$A:$J,10,),0)</f>
        <v>0</v>
      </c>
      <c r="M90" s="71"/>
      <c r="N90" s="63">
        <f>IFERROR(VLOOKUP($B90,'TB YTD'!$4:$1048576,MATCH('List of Ledgers '!N$4,'TB YTD'!$4:$4,0),0),0)</f>
        <v>0</v>
      </c>
      <c r="O90" s="63">
        <f>IFERROR(VLOOKUP($B90,'TB YTD'!$4:$1048576,MATCH('List of Ledgers '!O$4,'TB YTD'!$4:$4,0),0),0)</f>
        <v>0</v>
      </c>
      <c r="P90" s="63">
        <f>IFERROR(VLOOKUP($B90,'TB YTD'!$4:$1048576,MATCH('List of Ledgers '!P$4,'TB YTD'!$4:$4,0),0),0)</f>
        <v>0</v>
      </c>
      <c r="Q90" s="63">
        <f>IFERROR(VLOOKUP($B90,'TB YTD'!$4:$1048576,MATCH('List of Ledgers '!Q$4,'TB YTD'!$4:$4,0),0),0)</f>
        <v>0</v>
      </c>
      <c r="R90" s="63"/>
    </row>
    <row r="91" spans="1:18" hidden="1" x14ac:dyDescent="0.25">
      <c r="A91" s="106">
        <v>84</v>
      </c>
      <c r="B91" s="8" t="s">
        <v>243</v>
      </c>
      <c r="C91" s="8" t="s">
        <v>244</v>
      </c>
      <c r="D91" s="106" t="s">
        <v>128</v>
      </c>
      <c r="E91" s="17" t="s">
        <v>134</v>
      </c>
      <c r="G91" s="17" t="s">
        <v>3</v>
      </c>
      <c r="H91" s="62"/>
      <c r="I91" s="37">
        <f>IFERROR(VLOOKUP(B91,'TB '!$A:$G,7,),0)</f>
        <v>0</v>
      </c>
      <c r="J91" s="37">
        <f>IFERROR(VLOOKUP($B91,'TB '!$4:$1048576,MATCH('List of Ledgers '!J$4,'TB '!$4:$4,0),0),0)</f>
        <v>0</v>
      </c>
      <c r="K91" s="37">
        <f>IFERROR(VLOOKUP($B91,'TB '!$4:$1048576,MATCH('List of Ledgers '!K$4,'TB '!$4:$4,0),0),0)</f>
        <v>0</v>
      </c>
      <c r="L91" s="37">
        <f>IFERROR(VLOOKUP(B91,'TB '!$A:$J,10,),0)</f>
        <v>0</v>
      </c>
      <c r="M91" s="71"/>
      <c r="N91" s="63">
        <f>IFERROR(VLOOKUP($B91,'TB YTD'!$4:$1048576,MATCH('List of Ledgers '!N$4,'TB YTD'!$4:$4,0),0),0)</f>
        <v>0</v>
      </c>
      <c r="O91" s="63">
        <f>IFERROR(VLOOKUP($B91,'TB YTD'!$4:$1048576,MATCH('List of Ledgers '!O$4,'TB YTD'!$4:$4,0),0),0)</f>
        <v>21902</v>
      </c>
      <c r="P91" s="63">
        <f>IFERROR(VLOOKUP($B91,'TB YTD'!$4:$1048576,MATCH('List of Ledgers '!P$4,'TB YTD'!$4:$4,0),0),0)</f>
        <v>21902</v>
      </c>
      <c r="Q91" s="63">
        <f>IFERROR(VLOOKUP($B91,'TB YTD'!$4:$1048576,MATCH('List of Ledgers '!Q$4,'TB YTD'!$4:$4,0),0),0)</f>
        <v>0</v>
      </c>
      <c r="R91" s="63"/>
    </row>
    <row r="92" spans="1:18" hidden="1" x14ac:dyDescent="0.25">
      <c r="A92" s="106">
        <v>85</v>
      </c>
      <c r="B92" s="8" t="s">
        <v>245</v>
      </c>
      <c r="C92" s="8" t="s">
        <v>246</v>
      </c>
      <c r="D92" s="17" t="s">
        <v>128</v>
      </c>
      <c r="E92" s="17" t="s">
        <v>134</v>
      </c>
      <c r="G92" s="17" t="s">
        <v>2</v>
      </c>
      <c r="H92" s="62"/>
      <c r="I92" s="37">
        <f>IFERROR(VLOOKUP(B92,'TB '!$A:$G,7,),0)</f>
        <v>0</v>
      </c>
      <c r="J92" s="37">
        <f>IFERROR(VLOOKUP($B92,'TB '!$4:$1048576,MATCH('List of Ledgers '!J$4,'TB '!$4:$4,0),0),0)</f>
        <v>0</v>
      </c>
      <c r="K92" s="37">
        <f>IFERROR(VLOOKUP($B92,'TB '!$4:$1048576,MATCH('List of Ledgers '!K$4,'TB '!$4:$4,0),0),0)</f>
        <v>0</v>
      </c>
      <c r="L92" s="37">
        <f>IFERROR(VLOOKUP(B92,'TB '!$A:$J,10,),0)</f>
        <v>0</v>
      </c>
      <c r="M92" s="71"/>
      <c r="N92" s="63">
        <f>IFERROR(VLOOKUP($B92,'TB YTD'!$4:$1048576,MATCH('List of Ledgers '!N$4,'TB YTD'!$4:$4,0),0),0)</f>
        <v>0</v>
      </c>
      <c r="O92" s="63">
        <f>IFERROR(VLOOKUP($B92,'TB YTD'!$4:$1048576,MATCH('List of Ledgers '!O$4,'TB YTD'!$4:$4,0),0),0)</f>
        <v>0</v>
      </c>
      <c r="P92" s="63">
        <f>IFERROR(VLOOKUP($B92,'TB YTD'!$4:$1048576,MATCH('List of Ledgers '!P$4,'TB YTD'!$4:$4,0),0),0)</f>
        <v>0</v>
      </c>
      <c r="Q92" s="63">
        <f>IFERROR(VLOOKUP($B92,'TB YTD'!$4:$1048576,MATCH('List of Ledgers '!Q$4,'TB YTD'!$4:$4,0),0),0)</f>
        <v>0</v>
      </c>
      <c r="R92" s="63"/>
    </row>
    <row r="93" spans="1:18" hidden="1" x14ac:dyDescent="0.25">
      <c r="A93" s="106">
        <v>86</v>
      </c>
      <c r="B93" s="8" t="s">
        <v>247</v>
      </c>
      <c r="C93" s="8" t="s">
        <v>244</v>
      </c>
      <c r="D93" s="106" t="s">
        <v>128</v>
      </c>
      <c r="E93" s="17" t="s">
        <v>134</v>
      </c>
      <c r="G93" s="17" t="s">
        <v>3</v>
      </c>
      <c r="H93" s="62"/>
      <c r="I93" s="37">
        <f>IFERROR(VLOOKUP(B93,'TB '!$A:$G,7,),0)</f>
        <v>0</v>
      </c>
      <c r="J93" s="37">
        <f>IFERROR(VLOOKUP($B93,'TB '!$4:$1048576,MATCH('List of Ledgers '!J$4,'TB '!$4:$4,0),0),0)</f>
        <v>0</v>
      </c>
      <c r="K93" s="37">
        <f>IFERROR(VLOOKUP($B93,'TB '!$4:$1048576,MATCH('List of Ledgers '!K$4,'TB '!$4:$4,0),0),0)</f>
        <v>0</v>
      </c>
      <c r="L93" s="37">
        <f>IFERROR(VLOOKUP(B93,'TB '!$A:$J,10,),0)</f>
        <v>0</v>
      </c>
      <c r="M93" s="71"/>
      <c r="N93" s="63">
        <f>IFERROR(VLOOKUP($B93,'TB YTD'!$4:$1048576,MATCH('List of Ledgers '!N$4,'TB YTD'!$4:$4,0),0),0)</f>
        <v>0</v>
      </c>
      <c r="O93" s="63">
        <f>IFERROR(VLOOKUP($B93,'TB YTD'!$4:$1048576,MATCH('List of Ledgers '!O$4,'TB YTD'!$4:$4,0),0),0)</f>
        <v>15644</v>
      </c>
      <c r="P93" s="63">
        <f>IFERROR(VLOOKUP($B93,'TB YTD'!$4:$1048576,MATCH('List of Ledgers '!P$4,'TB YTD'!$4:$4,0),0),0)</f>
        <v>15644</v>
      </c>
      <c r="Q93" s="63">
        <f>IFERROR(VLOOKUP($B93,'TB YTD'!$4:$1048576,MATCH('List of Ledgers '!Q$4,'TB YTD'!$4:$4,0),0),0)</f>
        <v>0</v>
      </c>
      <c r="R93" s="63"/>
    </row>
    <row r="94" spans="1:18" hidden="1" x14ac:dyDescent="0.25">
      <c r="A94" s="106">
        <v>87</v>
      </c>
      <c r="B94" s="8" t="s">
        <v>248</v>
      </c>
      <c r="C94" s="8" t="s">
        <v>140</v>
      </c>
      <c r="D94" s="17" t="s">
        <v>128</v>
      </c>
      <c r="E94" s="17" t="s">
        <v>131</v>
      </c>
      <c r="G94" s="17" t="s">
        <v>7</v>
      </c>
      <c r="H94" s="62"/>
      <c r="I94" s="37">
        <f>IFERROR(VLOOKUP(B94,'TB '!$A:$G,7,),0)</f>
        <v>0</v>
      </c>
      <c r="J94" s="37">
        <f>IFERROR(VLOOKUP($B94,'TB '!$4:$1048576,MATCH('List of Ledgers '!J$4,'TB '!$4:$4,0),0),0)</f>
        <v>1295.6400000000001</v>
      </c>
      <c r="K94" s="37">
        <f>IFERROR(VLOOKUP($B94,'TB '!$4:$1048576,MATCH('List of Ledgers '!K$4,'TB '!$4:$4,0),0),0)</f>
        <v>0</v>
      </c>
      <c r="L94" s="37">
        <f>IFERROR(VLOOKUP(B94,'TB '!$A:$J,10,),0)</f>
        <v>1295.6400000000001</v>
      </c>
      <c r="M94" s="71"/>
      <c r="N94" s="63">
        <f>IFERROR(VLOOKUP($B94,'TB YTD'!$4:$1048576,MATCH('List of Ledgers '!N$4,'TB YTD'!$4:$4,0),0),0)</f>
        <v>-1606.45</v>
      </c>
      <c r="O94" s="63">
        <f>IFERROR(VLOOKUP($B94,'TB YTD'!$4:$1048576,MATCH('List of Ledgers '!O$4,'TB YTD'!$4:$4,0),0),0)</f>
        <v>12948.34</v>
      </c>
      <c r="P94" s="63">
        <f>IFERROR(VLOOKUP($B94,'TB YTD'!$4:$1048576,MATCH('List of Ledgers '!P$4,'TB YTD'!$4:$4,0),0),0)</f>
        <v>10046.25</v>
      </c>
      <c r="Q94" s="63">
        <f>IFERROR(VLOOKUP($B94,'TB YTD'!$4:$1048576,MATCH('List of Ledgers '!Q$4,'TB YTD'!$4:$4,0),0),0)</f>
        <v>1295.6400000000001</v>
      </c>
      <c r="R94" s="63"/>
    </row>
    <row r="95" spans="1:18" hidden="1" x14ac:dyDescent="0.25">
      <c r="A95" s="106">
        <v>88</v>
      </c>
      <c r="B95" s="8" t="s">
        <v>249</v>
      </c>
      <c r="C95" s="8" t="s">
        <v>250</v>
      </c>
      <c r="D95" s="17" t="s">
        <v>128</v>
      </c>
      <c r="E95" s="17" t="s">
        <v>131</v>
      </c>
      <c r="G95" s="17" t="s">
        <v>7</v>
      </c>
      <c r="H95" s="62"/>
      <c r="I95" s="37">
        <f>IFERROR(VLOOKUP(B95,'TB '!$A:$G,7,),0)</f>
        <v>0</v>
      </c>
      <c r="J95" s="37">
        <f>IFERROR(VLOOKUP($B95,'TB '!$4:$1048576,MATCH('List of Ledgers '!J$4,'TB '!$4:$4,0),0),0)</f>
        <v>0</v>
      </c>
      <c r="K95" s="37">
        <f>IFERROR(VLOOKUP($B95,'TB '!$4:$1048576,MATCH('List of Ledgers '!K$4,'TB '!$4:$4,0),0),0)</f>
        <v>0</v>
      </c>
      <c r="L95" s="37">
        <f>IFERROR(VLOOKUP(B95,'TB '!$A:$J,10,),0)</f>
        <v>0</v>
      </c>
      <c r="M95" s="71"/>
      <c r="N95" s="63">
        <f>IFERROR(VLOOKUP($B95,'TB YTD'!$4:$1048576,MATCH('List of Ledgers '!N$4,'TB YTD'!$4:$4,0),0),0)</f>
        <v>0</v>
      </c>
      <c r="O95" s="63">
        <f>IFERROR(VLOOKUP($B95,'TB YTD'!$4:$1048576,MATCH('List of Ledgers '!O$4,'TB YTD'!$4:$4,0),0),0)</f>
        <v>0</v>
      </c>
      <c r="P95" s="63">
        <f>IFERROR(VLOOKUP($B95,'TB YTD'!$4:$1048576,MATCH('List of Ledgers '!P$4,'TB YTD'!$4:$4,0),0),0)</f>
        <v>0</v>
      </c>
      <c r="Q95" s="63">
        <f>IFERROR(VLOOKUP($B95,'TB YTD'!$4:$1048576,MATCH('List of Ledgers '!Q$4,'TB YTD'!$4:$4,0),0),0)</f>
        <v>0</v>
      </c>
      <c r="R95" s="63"/>
    </row>
    <row r="96" spans="1:18" hidden="1" x14ac:dyDescent="0.25">
      <c r="A96" s="106">
        <v>89</v>
      </c>
      <c r="B96" s="8" t="s">
        <v>251</v>
      </c>
      <c r="C96" s="8" t="s">
        <v>140</v>
      </c>
      <c r="D96" s="17" t="s">
        <v>128</v>
      </c>
      <c r="E96" s="17" t="s">
        <v>131</v>
      </c>
      <c r="G96" s="17" t="s">
        <v>7</v>
      </c>
      <c r="H96" s="62"/>
      <c r="I96" s="37">
        <f>IFERROR(VLOOKUP(B96,'TB '!$A:$G,7,),0)</f>
        <v>0</v>
      </c>
      <c r="J96" s="37">
        <f>IFERROR(VLOOKUP($B96,'TB '!$4:$1048576,MATCH('List of Ledgers '!J$4,'TB '!$4:$4,0),0),0)</f>
        <v>0</v>
      </c>
      <c r="K96" s="37">
        <f>IFERROR(VLOOKUP($B96,'TB '!$4:$1048576,MATCH('List of Ledgers '!K$4,'TB '!$4:$4,0),0),0)</f>
        <v>0</v>
      </c>
      <c r="L96" s="37">
        <f>IFERROR(VLOOKUP(B96,'TB '!$A:$J,10,),0)</f>
        <v>0</v>
      </c>
      <c r="M96" s="71"/>
      <c r="N96" s="63">
        <f>IFERROR(VLOOKUP($B96,'TB YTD'!$4:$1048576,MATCH('List of Ledgers '!N$4,'TB YTD'!$4:$4,0),0),0)</f>
        <v>0</v>
      </c>
      <c r="O96" s="63">
        <f>IFERROR(VLOOKUP($B96,'TB YTD'!$4:$1048576,MATCH('List of Ledgers '!O$4,'TB YTD'!$4:$4,0),0),0)</f>
        <v>0</v>
      </c>
      <c r="P96" s="63">
        <f>IFERROR(VLOOKUP($B96,'TB YTD'!$4:$1048576,MATCH('List of Ledgers '!P$4,'TB YTD'!$4:$4,0),0),0)</f>
        <v>0</v>
      </c>
      <c r="Q96" s="63">
        <f>IFERROR(VLOOKUP($B96,'TB YTD'!$4:$1048576,MATCH('List of Ledgers '!Q$4,'TB YTD'!$4:$4,0),0),0)</f>
        <v>0</v>
      </c>
      <c r="R96" s="63"/>
    </row>
    <row r="97" spans="1:20" hidden="1" x14ac:dyDescent="0.25">
      <c r="A97" s="106">
        <v>90</v>
      </c>
      <c r="B97" s="8" t="s">
        <v>252</v>
      </c>
      <c r="C97" s="8" t="s">
        <v>253</v>
      </c>
      <c r="D97" s="17"/>
      <c r="E97" s="17"/>
      <c r="G97" s="17"/>
      <c r="H97" s="62"/>
      <c r="I97" s="37">
        <f>IFERROR(VLOOKUP(B97,'TB '!$A:$G,7,),0)</f>
        <v>1349.97</v>
      </c>
      <c r="J97" s="37">
        <f>IFERROR(VLOOKUP($B97,'TB '!$4:$1048576,MATCH('List of Ledgers '!J$4,'TB '!$4:$4,0),0),0)</f>
        <v>0</v>
      </c>
      <c r="K97" s="37">
        <f>IFERROR(VLOOKUP($B97,'TB '!$4:$1048576,MATCH('List of Ledgers '!K$4,'TB '!$4:$4,0),0),0)</f>
        <v>0</v>
      </c>
      <c r="L97" s="37">
        <f>IFERROR(VLOOKUP(B97,'TB '!$A:$J,10,),0)</f>
        <v>1349.97</v>
      </c>
      <c r="M97" s="71"/>
      <c r="N97" s="63">
        <f>IFERROR(VLOOKUP($B97,'TB YTD'!$4:$1048576,MATCH('List of Ledgers '!N$4,'TB YTD'!$4:$4,0),0),0)</f>
        <v>1349.97</v>
      </c>
      <c r="O97" s="63">
        <f>IFERROR(VLOOKUP($B97,'TB YTD'!$4:$1048576,MATCH('List of Ledgers '!O$4,'TB YTD'!$4:$4,0),0),0)</f>
        <v>0</v>
      </c>
      <c r="P97" s="63">
        <f>IFERROR(VLOOKUP($B97,'TB YTD'!$4:$1048576,MATCH('List of Ledgers '!P$4,'TB YTD'!$4:$4,0),0),0)</f>
        <v>0</v>
      </c>
      <c r="Q97" s="63">
        <f>IFERROR(VLOOKUP($B97,'TB YTD'!$4:$1048576,MATCH('List of Ledgers '!Q$4,'TB YTD'!$4:$4,0),0),0)</f>
        <v>1349.97</v>
      </c>
      <c r="R97" s="63"/>
    </row>
    <row r="98" spans="1:20" hidden="1" x14ac:dyDescent="0.25">
      <c r="A98" s="106">
        <v>91</v>
      </c>
      <c r="B98" s="8" t="s">
        <v>254</v>
      </c>
      <c r="C98" s="8" t="s">
        <v>160</v>
      </c>
      <c r="D98" s="17"/>
      <c r="E98" s="17"/>
      <c r="G98" s="17"/>
      <c r="H98" s="62"/>
      <c r="I98" s="37">
        <f>IFERROR(VLOOKUP(B98,'TB '!$A:$G,7,),0)</f>
        <v>1543.7</v>
      </c>
      <c r="J98" s="37">
        <f>IFERROR(VLOOKUP($B98,'TB '!$4:$1048576,MATCH('List of Ledgers '!J$4,'TB '!$4:$4,0),0),0)</f>
        <v>0</v>
      </c>
      <c r="K98" s="37">
        <f>IFERROR(VLOOKUP($B98,'TB '!$4:$1048576,MATCH('List of Ledgers '!K$4,'TB '!$4:$4,0),0),0)</f>
        <v>0</v>
      </c>
      <c r="L98" s="37">
        <f>IFERROR(VLOOKUP(B98,'TB '!$A:$J,10,),0)</f>
        <v>1543.7</v>
      </c>
      <c r="M98" s="71"/>
      <c r="N98" s="63">
        <f>IFERROR(VLOOKUP($B98,'TB YTD'!$4:$1048576,MATCH('List of Ledgers '!N$4,'TB YTD'!$4:$4,0),0),0)</f>
        <v>1543.7</v>
      </c>
      <c r="O98" s="63">
        <f>IFERROR(VLOOKUP($B98,'TB YTD'!$4:$1048576,MATCH('List of Ledgers '!O$4,'TB YTD'!$4:$4,0),0),0)</f>
        <v>0</v>
      </c>
      <c r="P98" s="63">
        <f>IFERROR(VLOOKUP($B98,'TB YTD'!$4:$1048576,MATCH('List of Ledgers '!P$4,'TB YTD'!$4:$4,0),0),0)</f>
        <v>0</v>
      </c>
      <c r="Q98" s="63">
        <f>IFERROR(VLOOKUP($B98,'TB YTD'!$4:$1048576,MATCH('List of Ledgers '!Q$4,'TB YTD'!$4:$4,0),0),0)</f>
        <v>1543.7</v>
      </c>
      <c r="R98" s="63"/>
    </row>
    <row r="99" spans="1:20" hidden="1" x14ac:dyDescent="0.25">
      <c r="A99" s="106">
        <v>92</v>
      </c>
      <c r="B99" s="8" t="s">
        <v>255</v>
      </c>
      <c r="C99" s="8" t="s">
        <v>160</v>
      </c>
      <c r="D99" s="17"/>
      <c r="E99" s="17"/>
      <c r="G99" s="17"/>
      <c r="H99" s="62"/>
      <c r="I99" s="37">
        <f>IFERROR(VLOOKUP(B99,'TB '!$A:$G,7,),0)</f>
        <v>32161.02</v>
      </c>
      <c r="J99" s="37">
        <f>IFERROR(VLOOKUP($B99,'TB '!$4:$1048576,MATCH('List of Ledgers '!J$4,'TB '!$4:$4,0),0),0)</f>
        <v>0</v>
      </c>
      <c r="K99" s="37">
        <f>IFERROR(VLOOKUP($B99,'TB '!$4:$1048576,MATCH('List of Ledgers '!K$4,'TB '!$4:$4,0),0),0)</f>
        <v>0</v>
      </c>
      <c r="L99" s="37">
        <f>IFERROR(VLOOKUP(B99,'TB '!$A:$J,10,),0)</f>
        <v>32161.02</v>
      </c>
      <c r="M99" s="71"/>
      <c r="N99" s="63">
        <f>IFERROR(VLOOKUP($B99,'TB YTD'!$4:$1048576,MATCH('List of Ledgers '!N$4,'TB YTD'!$4:$4,0),0),0)</f>
        <v>14161.02</v>
      </c>
      <c r="O99" s="63">
        <f>IFERROR(VLOOKUP($B99,'TB YTD'!$4:$1048576,MATCH('List of Ledgers '!O$4,'TB YTD'!$4:$4,0),0),0)</f>
        <v>18000</v>
      </c>
      <c r="P99" s="63">
        <f>IFERROR(VLOOKUP($B99,'TB YTD'!$4:$1048576,MATCH('List of Ledgers '!P$4,'TB YTD'!$4:$4,0),0),0)</f>
        <v>0</v>
      </c>
      <c r="Q99" s="63">
        <f>IFERROR(VLOOKUP($B99,'TB YTD'!$4:$1048576,MATCH('List of Ledgers '!Q$4,'TB YTD'!$4:$4,0),0),0)</f>
        <v>32161.02</v>
      </c>
      <c r="R99" s="63"/>
    </row>
    <row r="100" spans="1:20" hidden="1" x14ac:dyDescent="0.25">
      <c r="A100" s="106">
        <v>93</v>
      </c>
      <c r="B100" s="8" t="s">
        <v>256</v>
      </c>
      <c r="C100" s="8" t="s">
        <v>166</v>
      </c>
      <c r="D100" s="17" t="s">
        <v>151</v>
      </c>
      <c r="E100" s="17" t="s">
        <v>1291</v>
      </c>
      <c r="F100" s="12" t="s">
        <v>71</v>
      </c>
      <c r="G100" s="17" t="s">
        <v>4</v>
      </c>
      <c r="H100" s="62"/>
      <c r="I100" s="37">
        <f>IFERROR(VLOOKUP(B100,'TB '!$A:$G,7,),0)</f>
        <v>0</v>
      </c>
      <c r="J100" s="37">
        <f>IFERROR(VLOOKUP($B100,'TB '!$4:$1048576,MATCH('List of Ledgers '!J$4,'TB '!$4:$4,0),0),0)</f>
        <v>0</v>
      </c>
      <c r="K100" s="37">
        <f>IFERROR(VLOOKUP($B100,'TB '!$4:$1048576,MATCH('List of Ledgers '!K$4,'TB '!$4:$4,0),0),0)</f>
        <v>0</v>
      </c>
      <c r="L100" s="37">
        <f>IFERROR(VLOOKUP(B100,'TB '!$A:$J,10,),0)</f>
        <v>0</v>
      </c>
      <c r="M100" s="71"/>
      <c r="N100" s="63">
        <f>IFERROR(VLOOKUP($B100,'TB YTD'!$4:$1048576,MATCH('List of Ledgers '!N$4,'TB YTD'!$4:$4,0),0),0)</f>
        <v>0</v>
      </c>
      <c r="O100" s="63">
        <f>IFERROR(VLOOKUP($B100,'TB YTD'!$4:$1048576,MATCH('List of Ledgers '!O$4,'TB YTD'!$4:$4,0),0),0)</f>
        <v>9000</v>
      </c>
      <c r="P100" s="63">
        <f>IFERROR(VLOOKUP($B100,'TB YTD'!$4:$1048576,MATCH('List of Ledgers '!P$4,'TB YTD'!$4:$4,0),0),0)</f>
        <v>0</v>
      </c>
      <c r="Q100" s="63">
        <f>IFERROR(VLOOKUP($B100,'TB YTD'!$4:$1048576,MATCH('List of Ledgers '!Q$4,'TB YTD'!$4:$4,0),0),0)</f>
        <v>9000</v>
      </c>
      <c r="R100" s="63"/>
    </row>
    <row r="101" spans="1:20" hidden="1" x14ac:dyDescent="0.25">
      <c r="A101" s="106">
        <v>94</v>
      </c>
      <c r="B101" s="8" t="s">
        <v>257</v>
      </c>
      <c r="C101" s="8" t="s">
        <v>82</v>
      </c>
      <c r="D101" s="17" t="s">
        <v>128</v>
      </c>
      <c r="E101" s="17" t="s">
        <v>134</v>
      </c>
      <c r="G101" s="17" t="s">
        <v>4</v>
      </c>
      <c r="H101" s="62"/>
      <c r="I101" s="37">
        <f>IFERROR(VLOOKUP(B101,'TB '!$A:$G,7,),0)</f>
        <v>38958814</v>
      </c>
      <c r="J101" s="37">
        <f>IFERROR(VLOOKUP($B101,'TB '!$4:$1048576,MATCH('List of Ledgers '!J$4,'TB '!$4:$4,0),0),0)</f>
        <v>0</v>
      </c>
      <c r="K101" s="37">
        <f>IFERROR(VLOOKUP($B101,'TB '!$4:$1048576,MATCH('List of Ledgers '!K$4,'TB '!$4:$4,0),0),0)</f>
        <v>33921159.170000002</v>
      </c>
      <c r="L101" s="37">
        <f>IFERROR(VLOOKUP(B101,'TB '!$A:$J,10,),0)</f>
        <v>5037654.83</v>
      </c>
      <c r="M101" s="71"/>
      <c r="N101" s="63">
        <f>IFERROR(VLOOKUP($B101,'TB YTD'!$4:$1048576,MATCH('List of Ledgers '!N$4,'TB YTD'!$4:$4,0),0),0)</f>
        <v>0</v>
      </c>
      <c r="O101" s="63">
        <f>IFERROR(VLOOKUP($B101,'TB YTD'!$4:$1048576,MATCH('List of Ledgers '!O$4,'TB YTD'!$4:$4,0),0),0)</f>
        <v>76132861.510000005</v>
      </c>
      <c r="P101" s="63">
        <f>IFERROR(VLOOKUP($B101,'TB YTD'!$4:$1048576,MATCH('List of Ledgers '!P$4,'TB YTD'!$4:$4,0),0),0)</f>
        <v>71095206.680000007</v>
      </c>
      <c r="Q101" s="63">
        <f>IFERROR(VLOOKUP($B101,'TB YTD'!$4:$1048576,MATCH('List of Ledgers '!Q$4,'TB YTD'!$4:$4,0),0),0)</f>
        <v>5037654.83</v>
      </c>
      <c r="R101" s="63"/>
    </row>
    <row r="102" spans="1:20" hidden="1" x14ac:dyDescent="0.25">
      <c r="A102" s="106">
        <v>95</v>
      </c>
      <c r="B102" s="8" t="s">
        <v>258</v>
      </c>
      <c r="C102" s="8" t="s">
        <v>259</v>
      </c>
      <c r="D102" s="17"/>
      <c r="E102" s="17"/>
      <c r="G102" s="17"/>
      <c r="H102" s="62"/>
      <c r="I102" s="37">
        <f>IFERROR(VLOOKUP(B102,'TB '!$A:$G,7,),0)</f>
        <v>0</v>
      </c>
      <c r="J102" s="37">
        <f>IFERROR(VLOOKUP($B102,'TB '!$4:$1048576,MATCH('List of Ledgers '!J$4,'TB '!$4:$4,0),0),0)</f>
        <v>0</v>
      </c>
      <c r="K102" s="37">
        <f>IFERROR(VLOOKUP($B102,'TB '!$4:$1048576,MATCH('List of Ledgers '!K$4,'TB '!$4:$4,0),0),0)</f>
        <v>0</v>
      </c>
      <c r="L102" s="37">
        <f>IFERROR(VLOOKUP(B102,'TB '!$A:$J,10,),0)</f>
        <v>0</v>
      </c>
      <c r="M102" s="71"/>
      <c r="N102" s="63">
        <f>IFERROR(VLOOKUP($B102,'TB YTD'!$4:$1048576,MATCH('List of Ledgers '!N$4,'TB YTD'!$4:$4,0),0),0)</f>
        <v>90635.25</v>
      </c>
      <c r="O102" s="63">
        <f>IFERROR(VLOOKUP($B102,'TB YTD'!$4:$1048576,MATCH('List of Ledgers '!O$4,'TB YTD'!$4:$4,0),0),0)</f>
        <v>64599</v>
      </c>
      <c r="P102" s="63">
        <f>IFERROR(VLOOKUP($B102,'TB YTD'!$4:$1048576,MATCH('List of Ledgers '!P$4,'TB YTD'!$4:$4,0),0),0)</f>
        <v>155234.25</v>
      </c>
      <c r="Q102" s="63">
        <f>IFERROR(VLOOKUP($B102,'TB YTD'!$4:$1048576,MATCH('List of Ledgers '!Q$4,'TB YTD'!$4:$4,0),0),0)</f>
        <v>0</v>
      </c>
      <c r="R102" s="63"/>
    </row>
    <row r="103" spans="1:20" hidden="1" x14ac:dyDescent="0.25">
      <c r="A103" s="106">
        <v>96</v>
      </c>
      <c r="B103" s="8" t="s">
        <v>260</v>
      </c>
      <c r="C103" s="8" t="s">
        <v>140</v>
      </c>
      <c r="D103" s="17" t="s">
        <v>128</v>
      </c>
      <c r="E103" s="17" t="s">
        <v>131</v>
      </c>
      <c r="G103" s="17" t="s">
        <v>7</v>
      </c>
      <c r="H103" s="62"/>
      <c r="I103" s="37">
        <f>IFERROR(VLOOKUP(B103,'TB '!$A:$G,7,),0)</f>
        <v>0</v>
      </c>
      <c r="J103" s="37">
        <f>IFERROR(VLOOKUP($B103,'TB '!$4:$1048576,MATCH('List of Ledgers '!J$4,'TB '!$4:$4,0),0),0)</f>
        <v>0</v>
      </c>
      <c r="K103" s="37">
        <f>IFERROR(VLOOKUP($B103,'TB '!$4:$1048576,MATCH('List of Ledgers '!K$4,'TB '!$4:$4,0),0),0)</f>
        <v>0</v>
      </c>
      <c r="L103" s="37">
        <f>IFERROR(VLOOKUP(B103,'TB '!$A:$J,10,),0)</f>
        <v>0</v>
      </c>
      <c r="M103" s="71"/>
      <c r="N103" s="63">
        <f>IFERROR(VLOOKUP($B103,'TB YTD'!$4:$1048576,MATCH('List of Ledgers '!N$4,'TB YTD'!$4:$4,0),0),0)</f>
        <v>0</v>
      </c>
      <c r="O103" s="63">
        <f>IFERROR(VLOOKUP($B103,'TB YTD'!$4:$1048576,MATCH('List of Ledgers '!O$4,'TB YTD'!$4:$4,0),0),0)</f>
        <v>525</v>
      </c>
      <c r="P103" s="63">
        <f>IFERROR(VLOOKUP($B103,'TB YTD'!$4:$1048576,MATCH('List of Ledgers '!P$4,'TB YTD'!$4:$4,0),0),0)</f>
        <v>525</v>
      </c>
      <c r="Q103" s="63">
        <f>IFERROR(VLOOKUP($B103,'TB YTD'!$4:$1048576,MATCH('List of Ledgers '!Q$4,'TB YTD'!$4:$4,0),0),0)</f>
        <v>0</v>
      </c>
      <c r="R103" s="63"/>
    </row>
    <row r="104" spans="1:20" hidden="1" x14ac:dyDescent="0.25">
      <c r="A104" s="106">
        <v>97</v>
      </c>
      <c r="B104" s="8" t="s">
        <v>261</v>
      </c>
      <c r="C104" s="8" t="s">
        <v>262</v>
      </c>
      <c r="D104" s="17" t="s">
        <v>151</v>
      </c>
      <c r="E104" s="17" t="s">
        <v>152</v>
      </c>
      <c r="F104" s="12" t="s">
        <v>43</v>
      </c>
      <c r="G104" s="17" t="s">
        <v>11</v>
      </c>
      <c r="H104" s="62"/>
      <c r="I104" s="37">
        <f>IFERROR(VLOOKUP(B104,'TB '!$A:$G,7,),0)</f>
        <v>0</v>
      </c>
      <c r="J104" s="37">
        <f>IFERROR(VLOOKUP($B104,'TB '!$4:$1048576,MATCH('List of Ledgers '!J$4,'TB '!$4:$4,0),0),0)</f>
        <v>0</v>
      </c>
      <c r="K104" s="37">
        <f>IFERROR(VLOOKUP($B104,'TB '!$4:$1048576,MATCH('List of Ledgers '!K$4,'TB '!$4:$4,0),0),0)</f>
        <v>0</v>
      </c>
      <c r="L104" s="37">
        <f>IFERROR(VLOOKUP(B104,'TB '!$A:$J,10,),0)</f>
        <v>0</v>
      </c>
      <c r="M104" s="71"/>
      <c r="N104" s="63">
        <f>IFERROR(VLOOKUP($B104,'TB YTD'!$4:$1048576,MATCH('List of Ledgers '!N$4,'TB YTD'!$4:$4,0),0),0)</f>
        <v>0</v>
      </c>
      <c r="O104" s="63">
        <f>IFERROR(VLOOKUP($B104,'TB YTD'!$4:$1048576,MATCH('List of Ledgers '!O$4,'TB YTD'!$4:$4,0),0),0)</f>
        <v>0</v>
      </c>
      <c r="P104" s="63">
        <f>IFERROR(VLOOKUP($B104,'TB YTD'!$4:$1048576,MATCH('List of Ledgers '!P$4,'TB YTD'!$4:$4,0),0),0)</f>
        <v>0</v>
      </c>
      <c r="Q104" s="63">
        <f>IFERROR(VLOOKUP($B104,'TB YTD'!$4:$1048576,MATCH('List of Ledgers '!Q$4,'TB YTD'!$4:$4,0),0),0)</f>
        <v>0</v>
      </c>
      <c r="R104" s="63"/>
    </row>
    <row r="105" spans="1:20" hidden="1" x14ac:dyDescent="0.25">
      <c r="A105" s="106">
        <v>98</v>
      </c>
      <c r="B105" s="8" t="s">
        <v>263</v>
      </c>
      <c r="C105" s="8" t="s">
        <v>189</v>
      </c>
      <c r="D105" s="17" t="s">
        <v>151</v>
      </c>
      <c r="E105" s="17" t="s">
        <v>152</v>
      </c>
      <c r="F105" s="12" t="s">
        <v>21</v>
      </c>
      <c r="G105" s="17" t="s">
        <v>7</v>
      </c>
      <c r="H105" s="62"/>
      <c r="I105" s="37">
        <f>IFERROR(VLOOKUP(B105,'TB '!$A:$G,7,),0)</f>
        <v>0</v>
      </c>
      <c r="J105" s="37">
        <f>IFERROR(VLOOKUP($B105,'TB '!$4:$1048576,MATCH('List of Ledgers '!J$4,'TB '!$4:$4,0),0),0)</f>
        <v>0</v>
      </c>
      <c r="K105" s="37">
        <f>IFERROR(VLOOKUP($B105,'TB '!$4:$1048576,MATCH('List of Ledgers '!K$4,'TB '!$4:$4,0),0),0)</f>
        <v>0</v>
      </c>
      <c r="L105" s="37">
        <f>IFERROR(VLOOKUP(B105,'TB '!$A:$J,10,),0)</f>
        <v>0</v>
      </c>
      <c r="M105" s="71"/>
      <c r="N105" s="63">
        <f>IFERROR(VLOOKUP($B105,'TB YTD'!$4:$1048576,MATCH('List of Ledgers '!N$4,'TB YTD'!$4:$4,0),0),0)</f>
        <v>0</v>
      </c>
      <c r="O105" s="63">
        <f>IFERROR(VLOOKUP($B105,'TB YTD'!$4:$1048576,MATCH('List of Ledgers '!O$4,'TB YTD'!$4:$4,0),0),0)</f>
        <v>861</v>
      </c>
      <c r="P105" s="63">
        <f>IFERROR(VLOOKUP($B105,'TB YTD'!$4:$1048576,MATCH('List of Ledgers '!P$4,'TB YTD'!$4:$4,0),0),0)</f>
        <v>0</v>
      </c>
      <c r="Q105" s="63">
        <f>IFERROR(VLOOKUP($B105,'TB YTD'!$4:$1048576,MATCH('List of Ledgers '!Q$4,'TB YTD'!$4:$4,0),0),0)</f>
        <v>861</v>
      </c>
      <c r="R105" s="63"/>
    </row>
    <row r="106" spans="1:20" hidden="1" x14ac:dyDescent="0.25">
      <c r="A106" s="106">
        <v>99</v>
      </c>
      <c r="B106" s="8" t="s">
        <v>264</v>
      </c>
      <c r="C106" s="8" t="s">
        <v>166</v>
      </c>
      <c r="D106" s="17" t="s">
        <v>151</v>
      </c>
      <c r="E106" s="17" t="s">
        <v>152</v>
      </c>
      <c r="F106" s="12" t="s">
        <v>21</v>
      </c>
      <c r="G106" s="17" t="s">
        <v>4</v>
      </c>
      <c r="H106" s="62"/>
      <c r="I106" s="37">
        <f>IFERROR(VLOOKUP(B106,'TB '!$A:$G,7,),0)</f>
        <v>0</v>
      </c>
      <c r="J106" s="37">
        <f>IFERROR(VLOOKUP($B106,'TB '!$4:$1048576,MATCH('List of Ledgers '!J$4,'TB '!$4:$4,0),0),0)</f>
        <v>0</v>
      </c>
      <c r="K106" s="37">
        <f>IFERROR(VLOOKUP($B106,'TB '!$4:$1048576,MATCH('List of Ledgers '!K$4,'TB '!$4:$4,0),0),0)</f>
        <v>0</v>
      </c>
      <c r="L106" s="37">
        <f>IFERROR(VLOOKUP(B106,'TB '!$A:$J,10,),0)</f>
        <v>0</v>
      </c>
      <c r="M106" s="71"/>
      <c r="N106" s="63">
        <f>IFERROR(VLOOKUP($B106,'TB YTD'!$4:$1048576,MATCH('List of Ledgers '!N$4,'TB YTD'!$4:$4,0),0),0)</f>
        <v>0</v>
      </c>
      <c r="O106" s="63">
        <f>IFERROR(VLOOKUP($B106,'TB YTD'!$4:$1048576,MATCH('List of Ledgers '!O$4,'TB YTD'!$4:$4,0),0),0)</f>
        <v>164200.82</v>
      </c>
      <c r="P106" s="63">
        <f>IFERROR(VLOOKUP($B106,'TB YTD'!$4:$1048576,MATCH('List of Ledgers '!P$4,'TB YTD'!$4:$4,0),0),0)</f>
        <v>0</v>
      </c>
      <c r="Q106" s="63">
        <f>IFERROR(VLOOKUP($B106,'TB YTD'!$4:$1048576,MATCH('List of Ledgers '!Q$4,'TB YTD'!$4:$4,0),0),0)</f>
        <v>164200.82</v>
      </c>
      <c r="R106" s="63"/>
    </row>
    <row r="107" spans="1:20" hidden="1" x14ac:dyDescent="0.25">
      <c r="A107" s="106">
        <v>100</v>
      </c>
      <c r="B107" s="8" t="s">
        <v>265</v>
      </c>
      <c r="C107" s="8" t="s">
        <v>140</v>
      </c>
      <c r="D107" s="17" t="s">
        <v>128</v>
      </c>
      <c r="E107" s="17" t="s">
        <v>131</v>
      </c>
      <c r="G107" s="17" t="s">
        <v>7</v>
      </c>
      <c r="H107" s="62"/>
      <c r="I107" s="37">
        <f>IFERROR(VLOOKUP(B107,'TB '!$A:$G,7,),0)</f>
        <v>0</v>
      </c>
      <c r="J107" s="37">
        <f>IFERROR(VLOOKUP($B107,'TB '!$4:$1048576,MATCH('List of Ledgers '!J$4,'TB '!$4:$4,0),0),0)</f>
        <v>0</v>
      </c>
      <c r="K107" s="37">
        <f>IFERROR(VLOOKUP($B107,'TB '!$4:$1048576,MATCH('List of Ledgers '!K$4,'TB '!$4:$4,0),0),0)</f>
        <v>0</v>
      </c>
      <c r="L107" s="37">
        <f>IFERROR(VLOOKUP(B107,'TB '!$A:$J,10,),0)</f>
        <v>0</v>
      </c>
      <c r="M107" s="71"/>
      <c r="N107" s="63">
        <f>IFERROR(VLOOKUP($B107,'TB YTD'!$4:$1048576,MATCH('List of Ledgers '!N$4,'TB YTD'!$4:$4,0),0),0)</f>
        <v>0</v>
      </c>
      <c r="O107" s="63">
        <f>IFERROR(VLOOKUP($B107,'TB YTD'!$4:$1048576,MATCH('List of Ledgers '!O$4,'TB YTD'!$4:$4,0),0),0)</f>
        <v>0</v>
      </c>
      <c r="P107" s="63">
        <f>IFERROR(VLOOKUP($B107,'TB YTD'!$4:$1048576,MATCH('List of Ledgers '!P$4,'TB YTD'!$4:$4,0),0),0)</f>
        <v>0</v>
      </c>
      <c r="Q107" s="63">
        <f>IFERROR(VLOOKUP($B107,'TB YTD'!$4:$1048576,MATCH('List of Ledgers '!Q$4,'TB YTD'!$4:$4,0),0),0)</f>
        <v>0</v>
      </c>
      <c r="R107" s="63"/>
    </row>
    <row r="108" spans="1:20" hidden="1" x14ac:dyDescent="0.25">
      <c r="A108" s="106">
        <v>101</v>
      </c>
      <c r="B108" s="8" t="s">
        <v>266</v>
      </c>
      <c r="C108" s="8" t="s">
        <v>267</v>
      </c>
      <c r="D108" s="17" t="s">
        <v>128</v>
      </c>
      <c r="E108" s="17" t="s">
        <v>134</v>
      </c>
      <c r="G108" s="17" t="s">
        <v>2</v>
      </c>
      <c r="H108" s="62"/>
      <c r="I108" s="37">
        <f>IFERROR(VLOOKUP(B108,'TB '!$A:$G,7,),0)</f>
        <v>-1768</v>
      </c>
      <c r="J108" s="37">
        <f>IFERROR(VLOOKUP($B108,'TB '!$4:$1048576,MATCH('List of Ledgers '!J$4,'TB '!$4:$4,0),0),0)</f>
        <v>0</v>
      </c>
      <c r="K108" s="37">
        <f>IFERROR(VLOOKUP($B108,'TB '!$4:$1048576,MATCH('List of Ledgers '!K$4,'TB '!$4:$4,0),0),0)</f>
        <v>0</v>
      </c>
      <c r="L108" s="37">
        <f>IFERROR(VLOOKUP(B108,'TB '!$A:$J,10,),0)</f>
        <v>-1768</v>
      </c>
      <c r="M108" s="71"/>
      <c r="N108" s="63">
        <f>IFERROR(VLOOKUP($B108,'TB YTD'!$4:$1048576,MATCH('List of Ledgers '!N$4,'TB YTD'!$4:$4,0),0),0)</f>
        <v>164376</v>
      </c>
      <c r="O108" s="63">
        <f>IFERROR(VLOOKUP($B108,'TB YTD'!$4:$1048576,MATCH('List of Ledgers '!O$4,'TB YTD'!$4:$4,0),0),0)</f>
        <v>247191</v>
      </c>
      <c r="P108" s="63">
        <f>IFERROR(VLOOKUP($B108,'TB YTD'!$4:$1048576,MATCH('List of Ledgers '!P$4,'TB YTD'!$4:$4,0),0),0)</f>
        <v>413335</v>
      </c>
      <c r="Q108" s="63">
        <f>IFERROR(VLOOKUP($B108,'TB YTD'!$4:$1048576,MATCH('List of Ledgers '!Q$4,'TB YTD'!$4:$4,0),0),0)</f>
        <v>-1768</v>
      </c>
      <c r="R108" s="63"/>
    </row>
    <row r="109" spans="1:20" hidden="1" x14ac:dyDescent="0.25">
      <c r="A109" s="106">
        <v>102</v>
      </c>
      <c r="B109" s="8" t="s">
        <v>268</v>
      </c>
      <c r="C109" s="8" t="s">
        <v>166</v>
      </c>
      <c r="D109" s="17" t="s">
        <v>151</v>
      </c>
      <c r="E109" s="17" t="s">
        <v>152</v>
      </c>
      <c r="F109" s="12" t="s">
        <v>50</v>
      </c>
      <c r="G109" s="17" t="s">
        <v>4</v>
      </c>
      <c r="H109" s="62"/>
      <c r="I109" s="37">
        <f>IFERROR(VLOOKUP(B109,'TB '!$A:$G,7,),0)</f>
        <v>0</v>
      </c>
      <c r="J109" s="37">
        <f>IFERROR(VLOOKUP($B109,'TB '!$4:$1048576,MATCH('List of Ledgers '!J$4,'TB '!$4:$4,0),0),0)</f>
        <v>0</v>
      </c>
      <c r="K109" s="37">
        <f>IFERROR(VLOOKUP($B109,'TB '!$4:$1048576,MATCH('List of Ledgers '!K$4,'TB '!$4:$4,0),0),0)</f>
        <v>0</v>
      </c>
      <c r="L109" s="37">
        <f>IFERROR(VLOOKUP(B109,'TB '!$A:$J,10,),0)</f>
        <v>0</v>
      </c>
      <c r="M109" s="71"/>
      <c r="N109" s="63">
        <f>IFERROR(VLOOKUP($B109,'TB YTD'!$4:$1048576,MATCH('List of Ledgers '!N$4,'TB YTD'!$4:$4,0),0),0)</f>
        <v>0</v>
      </c>
      <c r="O109" s="63">
        <f>IFERROR(VLOOKUP($B109,'TB YTD'!$4:$1048576,MATCH('List of Ledgers '!O$4,'TB YTD'!$4:$4,0),0),0)</f>
        <v>0</v>
      </c>
      <c r="P109" s="63">
        <f>IFERROR(VLOOKUP($B109,'TB YTD'!$4:$1048576,MATCH('List of Ledgers '!P$4,'TB YTD'!$4:$4,0),0),0)</f>
        <v>0</v>
      </c>
      <c r="Q109" s="63">
        <f>IFERROR(VLOOKUP($B109,'TB YTD'!$4:$1048576,MATCH('List of Ledgers '!Q$4,'TB YTD'!$4:$4,0),0),0)</f>
        <v>0</v>
      </c>
      <c r="R109" s="63"/>
    </row>
    <row r="110" spans="1:20" hidden="1" x14ac:dyDescent="0.25">
      <c r="A110" s="106">
        <v>103</v>
      </c>
      <c r="B110" s="8" t="s">
        <v>269</v>
      </c>
      <c r="C110" s="8" t="s">
        <v>124</v>
      </c>
      <c r="D110" s="17"/>
      <c r="E110" s="17"/>
      <c r="G110" s="17"/>
      <c r="H110" s="62"/>
      <c r="I110" s="37">
        <f>IFERROR(VLOOKUP(B110,'TB '!$A:$G,7,),0)</f>
        <v>24998.21</v>
      </c>
      <c r="J110" s="37">
        <f>IFERROR(VLOOKUP($B110,'TB '!$4:$1048576,MATCH('List of Ledgers '!J$4,'TB '!$4:$4,0),0),0)</f>
        <v>0</v>
      </c>
      <c r="K110" s="37">
        <f>IFERROR(VLOOKUP($B110,'TB '!$4:$1048576,MATCH('List of Ledgers '!K$4,'TB '!$4:$4,0),0),0)</f>
        <v>0</v>
      </c>
      <c r="L110" s="37">
        <f>IFERROR(VLOOKUP(B110,'TB '!$A:$J,10,),0)</f>
        <v>24998.21</v>
      </c>
      <c r="M110" s="71"/>
      <c r="N110" s="63">
        <f>IFERROR(VLOOKUP($B110,'TB YTD'!$4:$1048576,MATCH('List of Ledgers '!N$4,'TB YTD'!$4:$4,0),0),0)</f>
        <v>24998.21</v>
      </c>
      <c r="O110" s="63">
        <f>IFERROR(VLOOKUP($B110,'TB YTD'!$4:$1048576,MATCH('List of Ledgers '!O$4,'TB YTD'!$4:$4,0),0),0)</f>
        <v>0</v>
      </c>
      <c r="P110" s="63">
        <f>IFERROR(VLOOKUP($B110,'TB YTD'!$4:$1048576,MATCH('List of Ledgers '!P$4,'TB YTD'!$4:$4,0),0),0)</f>
        <v>0</v>
      </c>
      <c r="Q110" s="63">
        <f>IFERROR(VLOOKUP($B110,'TB YTD'!$4:$1048576,MATCH('List of Ledgers '!Q$4,'TB YTD'!$4:$4,0),0),0)</f>
        <v>24998.21</v>
      </c>
      <c r="R110" s="63"/>
    </row>
    <row r="111" spans="1:20" hidden="1" x14ac:dyDescent="0.25">
      <c r="A111" s="106">
        <v>104</v>
      </c>
      <c r="B111" s="8" t="s">
        <v>270</v>
      </c>
      <c r="C111" s="8" t="s">
        <v>271</v>
      </c>
      <c r="D111" s="17" t="s">
        <v>151</v>
      </c>
      <c r="E111" s="17" t="s">
        <v>272</v>
      </c>
      <c r="F111" s="12" t="s">
        <v>270</v>
      </c>
      <c r="G111" s="17" t="s">
        <v>11</v>
      </c>
      <c r="H111" s="62"/>
      <c r="I111" s="37">
        <f>IFERROR(VLOOKUP(B111,'TB '!$A:$G,7,),0)</f>
        <v>0</v>
      </c>
      <c r="J111" s="37">
        <f>IFERROR(VLOOKUP($B111,'TB '!$4:$1048576,MATCH('List of Ledgers '!J$4,'TB '!$4:$4,0),0),0)</f>
        <v>0</v>
      </c>
      <c r="K111" s="37">
        <f>IFERROR(VLOOKUP($B111,'TB '!$4:$1048576,MATCH('List of Ledgers '!K$4,'TB '!$4:$4,0),0),0)</f>
        <v>0</v>
      </c>
      <c r="L111" s="37">
        <f>IFERROR(VLOOKUP(B111,'TB '!$A:$J,10,),0)</f>
        <v>0</v>
      </c>
      <c r="M111" s="71"/>
      <c r="N111" s="63">
        <f>IFERROR(VLOOKUP($B111,'TB YTD'!$4:$1048576,MATCH('List of Ledgers '!N$4,'TB YTD'!$4:$4,0),0),0)</f>
        <v>0</v>
      </c>
      <c r="O111" s="63">
        <f>IFERROR(VLOOKUP($B111,'TB YTD'!$4:$1048576,MATCH('List of Ledgers '!O$4,'TB YTD'!$4:$4,0),0),0)</f>
        <v>711054.97</v>
      </c>
      <c r="P111" s="63">
        <f>IFERROR(VLOOKUP($B111,'TB YTD'!$4:$1048576,MATCH('List of Ledgers '!P$4,'TB YTD'!$4:$4,0),0),0)</f>
        <v>0</v>
      </c>
      <c r="Q111" s="175">
        <f>IFERROR(VLOOKUP($B111,'TB YTD'!$4:$1048576,MATCH('List of Ledgers '!Q$4,'TB YTD'!$4:$4,0),0),0)</f>
        <v>711054.97</v>
      </c>
      <c r="R111" s="63"/>
    </row>
    <row r="112" spans="1:20" s="72" customFormat="1" hidden="1" x14ac:dyDescent="0.25">
      <c r="A112" s="106">
        <v>105</v>
      </c>
      <c r="B112" s="8" t="s">
        <v>274</v>
      </c>
      <c r="C112" s="8" t="s">
        <v>275</v>
      </c>
      <c r="D112" s="17" t="s">
        <v>151</v>
      </c>
      <c r="E112" s="17" t="s">
        <v>152</v>
      </c>
      <c r="F112" s="12" t="s">
        <v>1412</v>
      </c>
      <c r="G112" s="17" t="s">
        <v>7</v>
      </c>
      <c r="H112" s="62"/>
      <c r="I112" s="37">
        <f>IFERROR(VLOOKUP(B112,'TB '!$A:$G,7,),0)</f>
        <v>0</v>
      </c>
      <c r="J112" s="37">
        <f>IFERROR(VLOOKUP($B112,'TB '!$4:$1048576,MATCH('List of Ledgers '!J$4,'TB '!$4:$4,0),0),0)</f>
        <v>0</v>
      </c>
      <c r="K112" s="37">
        <f>IFERROR(VLOOKUP($B112,'TB '!$4:$1048576,MATCH('List of Ledgers '!K$4,'TB '!$4:$4,0),0),0)</f>
        <v>0</v>
      </c>
      <c r="L112" s="37">
        <f>IFERROR(VLOOKUP(B112,'TB '!$A:$J,10,),0)</f>
        <v>0</v>
      </c>
      <c r="M112" s="71"/>
      <c r="N112" s="63">
        <f>IFERROR(VLOOKUP($B112,'TB YTD'!$4:$1048576,MATCH('List of Ledgers '!N$4,'TB YTD'!$4:$4,0),0),0)</f>
        <v>0</v>
      </c>
      <c r="O112" s="63">
        <f>IFERROR(VLOOKUP($B112,'TB YTD'!$4:$1048576,MATCH('List of Ledgers '!O$4,'TB YTD'!$4:$4,0),0),0)</f>
        <v>27643</v>
      </c>
      <c r="P112" s="63">
        <f>IFERROR(VLOOKUP($B112,'TB YTD'!$4:$1048576,MATCH('List of Ledgers '!P$4,'TB YTD'!$4:$4,0),0),0)</f>
        <v>0</v>
      </c>
      <c r="Q112" s="63">
        <f>IFERROR(VLOOKUP($B112,'TB YTD'!$4:$1048576,MATCH('List of Ledgers '!Q$4,'TB YTD'!$4:$4,0),0),0)</f>
        <v>27643</v>
      </c>
      <c r="R112" s="63"/>
      <c r="S112" s="2"/>
      <c r="T112" s="2"/>
    </row>
    <row r="113" spans="1:20" hidden="1" x14ac:dyDescent="0.25">
      <c r="A113" s="106">
        <v>106</v>
      </c>
      <c r="B113" s="8" t="s">
        <v>276</v>
      </c>
      <c r="C113" s="8" t="s">
        <v>166</v>
      </c>
      <c r="D113" s="17" t="s">
        <v>151</v>
      </c>
      <c r="E113" s="17" t="s">
        <v>152</v>
      </c>
      <c r="F113" s="12" t="s">
        <v>52</v>
      </c>
      <c r="G113" s="17" t="s">
        <v>7</v>
      </c>
      <c r="H113" s="62"/>
      <c r="I113" s="37">
        <f>IFERROR(VLOOKUP(B113,'TB '!$A:$G,7,),0)</f>
        <v>0</v>
      </c>
      <c r="J113" s="37">
        <f>IFERROR(VLOOKUP($B113,'TB '!$4:$1048576,MATCH('List of Ledgers '!J$4,'TB '!$4:$4,0),0),0)</f>
        <v>0</v>
      </c>
      <c r="K113" s="37">
        <f>IFERROR(VLOOKUP($B113,'TB '!$4:$1048576,MATCH('List of Ledgers '!K$4,'TB '!$4:$4,0),0),0)</f>
        <v>0</v>
      </c>
      <c r="L113" s="37">
        <f>IFERROR(VLOOKUP(B113,'TB '!$A:$J,10,),0)</f>
        <v>0</v>
      </c>
      <c r="M113" s="71"/>
      <c r="N113" s="63">
        <f>IFERROR(VLOOKUP($B113,'TB YTD'!$4:$1048576,MATCH('List of Ledgers '!N$4,'TB YTD'!$4:$4,0),0),0)</f>
        <v>0</v>
      </c>
      <c r="O113" s="63">
        <f>IFERROR(VLOOKUP($B113,'TB YTD'!$4:$1048576,MATCH('List of Ledgers '!O$4,'TB YTD'!$4:$4,0),0),0)</f>
        <v>0</v>
      </c>
      <c r="P113" s="63">
        <f>IFERROR(VLOOKUP($B113,'TB YTD'!$4:$1048576,MATCH('List of Ledgers '!P$4,'TB YTD'!$4:$4,0),0),0)</f>
        <v>0</v>
      </c>
      <c r="Q113" s="63">
        <f>IFERROR(VLOOKUP($B113,'TB YTD'!$4:$1048576,MATCH('List of Ledgers '!Q$4,'TB YTD'!$4:$4,0),0),0)</f>
        <v>0</v>
      </c>
      <c r="R113" s="63"/>
    </row>
    <row r="114" spans="1:20" hidden="1" x14ac:dyDescent="0.25">
      <c r="A114" s="106">
        <v>107</v>
      </c>
      <c r="B114" s="8" t="s">
        <v>277</v>
      </c>
      <c r="C114" s="8" t="s">
        <v>189</v>
      </c>
      <c r="D114" s="17" t="s">
        <v>151</v>
      </c>
      <c r="E114" s="17" t="s">
        <v>152</v>
      </c>
      <c r="F114" s="12" t="s">
        <v>61</v>
      </c>
      <c r="G114" s="17" t="s">
        <v>7</v>
      </c>
      <c r="H114" s="62"/>
      <c r="I114" s="37">
        <f>IFERROR(VLOOKUP(B114,'TB '!$A:$G,7,),0)</f>
        <v>0</v>
      </c>
      <c r="J114" s="37">
        <f>IFERROR(VLOOKUP($B114,'TB '!$4:$1048576,MATCH('List of Ledgers '!J$4,'TB '!$4:$4,0),0),0)</f>
        <v>0</v>
      </c>
      <c r="K114" s="37">
        <f>IFERROR(VLOOKUP($B114,'TB '!$4:$1048576,MATCH('List of Ledgers '!K$4,'TB '!$4:$4,0),0),0)</f>
        <v>0</v>
      </c>
      <c r="L114" s="37">
        <f>IFERROR(VLOOKUP(B114,'TB '!$A:$J,10,),0)</f>
        <v>0</v>
      </c>
      <c r="M114" s="71"/>
      <c r="N114" s="63">
        <f>IFERROR(VLOOKUP($B114,'TB YTD'!$4:$1048576,MATCH('List of Ledgers '!N$4,'TB YTD'!$4:$4,0),0),0)</f>
        <v>0</v>
      </c>
      <c r="O114" s="63">
        <f>IFERROR(VLOOKUP($B114,'TB YTD'!$4:$1048576,MATCH('List of Ledgers '!O$4,'TB YTD'!$4:$4,0),0),0)</f>
        <v>0</v>
      </c>
      <c r="P114" s="63">
        <f>IFERROR(VLOOKUP($B114,'TB YTD'!$4:$1048576,MATCH('List of Ledgers '!P$4,'TB YTD'!$4:$4,0),0),0)</f>
        <v>0</v>
      </c>
      <c r="Q114" s="63">
        <f>IFERROR(VLOOKUP($B114,'TB YTD'!$4:$1048576,MATCH('List of Ledgers '!Q$4,'TB YTD'!$4:$4,0),0),0)</f>
        <v>0</v>
      </c>
      <c r="R114" s="63"/>
    </row>
    <row r="115" spans="1:20" hidden="1" x14ac:dyDescent="0.25">
      <c r="A115" s="166">
        <v>108</v>
      </c>
      <c r="B115" s="167" t="s">
        <v>278</v>
      </c>
      <c r="C115" s="167" t="s">
        <v>189</v>
      </c>
      <c r="D115" s="168" t="s">
        <v>151</v>
      </c>
      <c r="E115" s="168" t="s">
        <v>152</v>
      </c>
      <c r="F115" s="73" t="s">
        <v>56</v>
      </c>
      <c r="G115" s="168" t="s">
        <v>7</v>
      </c>
      <c r="H115" s="169"/>
      <c r="I115" s="37">
        <f>IFERROR(VLOOKUP(B115,'TB '!$A:$G,7,),0)</f>
        <v>0</v>
      </c>
      <c r="J115" s="170">
        <f>IFERROR(VLOOKUP($B115,'TB '!$4:$1048576,MATCH('List of Ledgers '!J$4,'TB '!$4:$4,0),0),0)</f>
        <v>0</v>
      </c>
      <c r="K115" s="170">
        <f>IFERROR(VLOOKUP($B115,'TB '!$4:$1048576,MATCH('List of Ledgers '!K$4,'TB '!$4:$4,0),0),0)</f>
        <v>0</v>
      </c>
      <c r="L115" s="37">
        <f>IFERROR(VLOOKUP(B115,'TB '!$A:$J,10,),0)</f>
        <v>0</v>
      </c>
      <c r="M115" s="171"/>
      <c r="N115" s="172">
        <f>IFERROR(VLOOKUP($B115,'TB YTD'!$4:$1048576,MATCH('List of Ledgers '!N$4,'TB YTD'!$4:$4,0),0),0)</f>
        <v>0</v>
      </c>
      <c r="O115" s="172">
        <f>IFERROR(VLOOKUP($B115,'TB YTD'!$4:$1048576,MATCH('List of Ledgers '!O$4,'TB YTD'!$4:$4,0),0),0)</f>
        <v>22500</v>
      </c>
      <c r="P115" s="172">
        <f>IFERROR(VLOOKUP($B115,'TB YTD'!$4:$1048576,MATCH('List of Ledgers '!P$4,'TB YTD'!$4:$4,0),0),0)</f>
        <v>0</v>
      </c>
      <c r="Q115" s="172">
        <f>IFERROR(VLOOKUP($B115,'TB YTD'!$4:$1048576,MATCH('List of Ledgers '!Q$4,'TB YTD'!$4:$4,0),0),0)</f>
        <v>22500</v>
      </c>
      <c r="R115" s="172"/>
      <c r="S115" s="72"/>
      <c r="T115" s="72"/>
    </row>
    <row r="116" spans="1:20" hidden="1" x14ac:dyDescent="0.25">
      <c r="A116" s="106">
        <v>109</v>
      </c>
      <c r="B116" s="8" t="s">
        <v>279</v>
      </c>
      <c r="C116" s="8" t="s">
        <v>253</v>
      </c>
      <c r="D116" s="17"/>
      <c r="E116" s="17"/>
      <c r="G116" s="17"/>
      <c r="H116" s="62"/>
      <c r="I116" s="37">
        <f>IFERROR(VLOOKUP(B116,'TB '!$A:$G,7,),0)</f>
        <v>1335292.31</v>
      </c>
      <c r="J116" s="37">
        <f>IFERROR(VLOOKUP($B116,'TB '!$4:$1048576,MATCH('List of Ledgers '!J$4,'TB '!$4:$4,0),0),0)</f>
        <v>0</v>
      </c>
      <c r="K116" s="37">
        <f>IFERROR(VLOOKUP($B116,'TB '!$4:$1048576,MATCH('List of Ledgers '!K$4,'TB '!$4:$4,0),0),0)</f>
        <v>0</v>
      </c>
      <c r="L116" s="37">
        <f>IFERROR(VLOOKUP(B116,'TB '!$A:$J,10,),0)</f>
        <v>1335292.31</v>
      </c>
      <c r="M116" s="71"/>
      <c r="N116" s="63">
        <f>IFERROR(VLOOKUP($B116,'TB YTD'!$4:$1048576,MATCH('List of Ledgers '!N$4,'TB YTD'!$4:$4,0),0),0)</f>
        <v>1335292.31</v>
      </c>
      <c r="O116" s="63">
        <f>IFERROR(VLOOKUP($B116,'TB YTD'!$4:$1048576,MATCH('List of Ledgers '!O$4,'TB YTD'!$4:$4,0),0),0)</f>
        <v>0</v>
      </c>
      <c r="P116" s="63">
        <f>IFERROR(VLOOKUP($B116,'TB YTD'!$4:$1048576,MATCH('List of Ledgers '!P$4,'TB YTD'!$4:$4,0),0),0)</f>
        <v>0</v>
      </c>
      <c r="Q116" s="63">
        <f>IFERROR(VLOOKUP($B116,'TB YTD'!$4:$1048576,MATCH('List of Ledgers '!Q$4,'TB YTD'!$4:$4,0),0),0)</f>
        <v>1335292.31</v>
      </c>
      <c r="R116" s="63"/>
    </row>
    <row r="117" spans="1:20" hidden="1" x14ac:dyDescent="0.25">
      <c r="A117" s="106">
        <v>110</v>
      </c>
      <c r="B117" s="8" t="s">
        <v>280</v>
      </c>
      <c r="C117" s="8" t="s">
        <v>158</v>
      </c>
      <c r="D117" s="17" t="s">
        <v>128</v>
      </c>
      <c r="E117" s="17" t="s">
        <v>131</v>
      </c>
      <c r="G117" s="17" t="s">
        <v>4</v>
      </c>
      <c r="H117" s="62"/>
      <c r="I117" s="37">
        <f>IFERROR(VLOOKUP(B117,'TB '!$A:$G,7,),0)</f>
        <v>-123480</v>
      </c>
      <c r="J117" s="37">
        <f>IFERROR(VLOOKUP($B117,'TB '!$4:$1048576,MATCH('List of Ledgers '!J$4,'TB '!$4:$4,0),0),0)</f>
        <v>123480</v>
      </c>
      <c r="K117" s="37">
        <f>IFERROR(VLOOKUP($B117,'TB '!$4:$1048576,MATCH('List of Ledgers '!K$4,'TB '!$4:$4,0),0),0)</f>
        <v>0</v>
      </c>
      <c r="L117" s="37">
        <f>IFERROR(VLOOKUP(B117,'TB '!$A:$J,10,),0)</f>
        <v>0</v>
      </c>
      <c r="M117" s="71"/>
      <c r="N117" s="63">
        <f>IFERROR(VLOOKUP($B117,'TB YTD'!$4:$1048576,MATCH('List of Ledgers '!N$4,'TB YTD'!$4:$4,0),0),0)</f>
        <v>0</v>
      </c>
      <c r="O117" s="63">
        <f>IFERROR(VLOOKUP($B117,'TB YTD'!$4:$1048576,MATCH('List of Ledgers '!O$4,'TB YTD'!$4:$4,0),0),0)</f>
        <v>492002</v>
      </c>
      <c r="P117" s="63">
        <f>IFERROR(VLOOKUP($B117,'TB YTD'!$4:$1048576,MATCH('List of Ledgers '!P$4,'TB YTD'!$4:$4,0),0),0)</f>
        <v>492002</v>
      </c>
      <c r="Q117" s="63">
        <f>IFERROR(VLOOKUP($B117,'TB YTD'!$4:$1048576,MATCH('List of Ledgers '!Q$4,'TB YTD'!$4:$4,0),0),0)</f>
        <v>0</v>
      </c>
      <c r="R117" s="63"/>
    </row>
    <row r="118" spans="1:20" hidden="1" x14ac:dyDescent="0.25">
      <c r="A118" s="106">
        <v>111</v>
      </c>
      <c r="B118" s="8" t="s">
        <v>281</v>
      </c>
      <c r="C118" s="8" t="s">
        <v>189</v>
      </c>
      <c r="D118" s="17" t="s">
        <v>151</v>
      </c>
      <c r="E118" s="17" t="s">
        <v>1291</v>
      </c>
      <c r="F118" s="12" t="s">
        <v>55</v>
      </c>
      <c r="G118" s="17" t="s">
        <v>7</v>
      </c>
      <c r="H118" s="62"/>
      <c r="I118" s="37">
        <f>IFERROR(VLOOKUP(B118,'TB '!$A:$G,7,),0)</f>
        <v>0</v>
      </c>
      <c r="J118" s="37">
        <f>IFERROR(VLOOKUP($B118,'TB '!$4:$1048576,MATCH('List of Ledgers '!J$4,'TB '!$4:$4,0),0),0)</f>
        <v>0</v>
      </c>
      <c r="K118" s="37">
        <f>IFERROR(VLOOKUP($B118,'TB '!$4:$1048576,MATCH('List of Ledgers '!K$4,'TB '!$4:$4,0),0),0)</f>
        <v>0</v>
      </c>
      <c r="L118" s="37">
        <f>IFERROR(VLOOKUP(B118,'TB '!$A:$J,10,),0)</f>
        <v>0</v>
      </c>
      <c r="M118" s="71"/>
      <c r="N118" s="63">
        <f>IFERROR(VLOOKUP($B118,'TB YTD'!$4:$1048576,MATCH('List of Ledgers '!N$4,'TB YTD'!$4:$4,0),0),0)</f>
        <v>0</v>
      </c>
      <c r="O118" s="63">
        <f>IFERROR(VLOOKUP($B118,'TB YTD'!$4:$1048576,MATCH('List of Ledgers '!O$4,'TB YTD'!$4:$4,0),0),0)</f>
        <v>0</v>
      </c>
      <c r="P118" s="63">
        <f>IFERROR(VLOOKUP($B118,'TB YTD'!$4:$1048576,MATCH('List of Ledgers '!P$4,'TB YTD'!$4:$4,0),0),0)</f>
        <v>0</v>
      </c>
      <c r="Q118" s="63">
        <f>IFERROR(VLOOKUP($B118,'TB YTD'!$4:$1048576,MATCH('List of Ledgers '!Q$4,'TB YTD'!$4:$4,0),0),0)</f>
        <v>0</v>
      </c>
      <c r="R118" s="63"/>
    </row>
    <row r="119" spans="1:20" hidden="1" x14ac:dyDescent="0.25">
      <c r="A119" s="106">
        <v>112</v>
      </c>
      <c r="B119" s="176" t="s">
        <v>282</v>
      </c>
      <c r="C119" s="8" t="s">
        <v>189</v>
      </c>
      <c r="D119" s="17" t="s">
        <v>151</v>
      </c>
      <c r="E119" s="17" t="s">
        <v>1291</v>
      </c>
      <c r="F119" s="12" t="s">
        <v>55</v>
      </c>
      <c r="G119" s="17" t="s">
        <v>7</v>
      </c>
      <c r="H119" s="62"/>
      <c r="I119" s="37">
        <f>IFERROR(VLOOKUP(B119,'TB '!$A:$G,7,),0)</f>
        <v>0</v>
      </c>
      <c r="J119" s="37">
        <f>IFERROR(VLOOKUP($B119,'TB '!$4:$1048576,MATCH('List of Ledgers '!J$4,'TB '!$4:$4,0),0),0)</f>
        <v>18510</v>
      </c>
      <c r="K119" s="37">
        <f>IFERROR(VLOOKUP($B119,'TB '!$4:$1048576,MATCH('List of Ledgers '!K$4,'TB '!$4:$4,0),0),0)</f>
        <v>0</v>
      </c>
      <c r="L119" s="37">
        <f>IFERROR(VLOOKUP(B119,'TB '!$A:$J,10,),0)</f>
        <v>18510</v>
      </c>
      <c r="M119" s="71"/>
      <c r="N119" s="63">
        <f>IFERROR(VLOOKUP($B119,'TB YTD'!$4:$1048576,MATCH('List of Ledgers '!N$4,'TB YTD'!$4:$4,0),0),0)</f>
        <v>0</v>
      </c>
      <c r="O119" s="63">
        <f>IFERROR(VLOOKUP($B119,'TB YTD'!$4:$1048576,MATCH('List of Ledgers '!O$4,'TB YTD'!$4:$4,0),0),0)</f>
        <v>60190</v>
      </c>
      <c r="P119" s="63">
        <f>IFERROR(VLOOKUP($B119,'TB YTD'!$4:$1048576,MATCH('List of Ledgers '!P$4,'TB YTD'!$4:$4,0),0),0)</f>
        <v>0</v>
      </c>
      <c r="Q119" s="63">
        <f>IFERROR(VLOOKUP($B119,'TB YTD'!$4:$1048576,MATCH('List of Ledgers '!Q$4,'TB YTD'!$4:$4,0),0),0)</f>
        <v>60190</v>
      </c>
      <c r="R119" s="63"/>
    </row>
    <row r="120" spans="1:20" hidden="1" x14ac:dyDescent="0.25">
      <c r="A120" s="106">
        <v>113</v>
      </c>
      <c r="B120" s="8" t="s">
        <v>283</v>
      </c>
      <c r="C120" s="8" t="s">
        <v>284</v>
      </c>
      <c r="D120" s="17"/>
      <c r="E120" s="17"/>
      <c r="G120" s="17"/>
      <c r="H120" s="62"/>
      <c r="I120" s="37">
        <f>IFERROR(VLOOKUP(B120,'TB '!$A:$G,7,),0)</f>
        <v>0</v>
      </c>
      <c r="J120" s="37">
        <f>IFERROR(VLOOKUP($B120,'TB '!$4:$1048576,MATCH('List of Ledgers '!J$4,'TB '!$4:$4,0),0),0)</f>
        <v>0</v>
      </c>
      <c r="K120" s="37">
        <f>IFERROR(VLOOKUP($B120,'TB '!$4:$1048576,MATCH('List of Ledgers '!K$4,'TB '!$4:$4,0),0),0)</f>
        <v>0</v>
      </c>
      <c r="L120" s="37">
        <f>IFERROR(VLOOKUP(B120,'TB '!$A:$J,10,),0)</f>
        <v>0</v>
      </c>
      <c r="M120" s="71"/>
      <c r="N120" s="63">
        <f>IFERROR(VLOOKUP($B120,'TB YTD'!$4:$1048576,MATCH('List of Ledgers '!N$4,'TB YTD'!$4:$4,0),0),0)</f>
        <v>0</v>
      </c>
      <c r="O120" s="63">
        <f>IFERROR(VLOOKUP($B120,'TB YTD'!$4:$1048576,MATCH('List of Ledgers '!O$4,'TB YTD'!$4:$4,0),0),0)</f>
        <v>0</v>
      </c>
      <c r="P120" s="63">
        <f>IFERROR(VLOOKUP($B120,'TB YTD'!$4:$1048576,MATCH('List of Ledgers '!P$4,'TB YTD'!$4:$4,0),0),0)</f>
        <v>0</v>
      </c>
      <c r="Q120" s="63">
        <f>IFERROR(VLOOKUP($B120,'TB YTD'!$4:$1048576,MATCH('List of Ledgers '!Q$4,'TB YTD'!$4:$4,0),0),0)</f>
        <v>0</v>
      </c>
      <c r="R120" s="63"/>
    </row>
    <row r="121" spans="1:20" hidden="1" x14ac:dyDescent="0.25">
      <c r="A121" s="106">
        <v>114</v>
      </c>
      <c r="B121" s="8" t="s">
        <v>285</v>
      </c>
      <c r="C121" s="8" t="s">
        <v>286</v>
      </c>
      <c r="D121" s="17"/>
      <c r="E121" s="17"/>
      <c r="G121" s="17"/>
      <c r="H121" s="62"/>
      <c r="I121" s="37">
        <f>IFERROR(VLOOKUP(B121,'TB '!$A:$G,7,),0)</f>
        <v>0</v>
      </c>
      <c r="J121" s="37">
        <f>IFERROR(VLOOKUP($B121,'TB '!$4:$1048576,MATCH('List of Ledgers '!J$4,'TB '!$4:$4,0),0),0)</f>
        <v>0</v>
      </c>
      <c r="K121" s="37">
        <f>IFERROR(VLOOKUP($B121,'TB '!$4:$1048576,MATCH('List of Ledgers '!K$4,'TB '!$4:$4,0),0),0)</f>
        <v>0</v>
      </c>
      <c r="L121" s="37">
        <f>IFERROR(VLOOKUP(B121,'TB '!$A:$J,10,),0)</f>
        <v>0</v>
      </c>
      <c r="M121" s="71"/>
      <c r="N121" s="63">
        <f>IFERROR(VLOOKUP($B121,'TB YTD'!$4:$1048576,MATCH('List of Ledgers '!N$4,'TB YTD'!$4:$4,0),0),0)</f>
        <v>264564.13</v>
      </c>
      <c r="O121" s="63">
        <f>IFERROR(VLOOKUP($B121,'TB YTD'!$4:$1048576,MATCH('List of Ledgers '!O$4,'TB YTD'!$4:$4,0),0),0)</f>
        <v>250.96</v>
      </c>
      <c r="P121" s="63">
        <f>IFERROR(VLOOKUP($B121,'TB YTD'!$4:$1048576,MATCH('List of Ledgers '!P$4,'TB YTD'!$4:$4,0),0),0)</f>
        <v>264815.09000000003</v>
      </c>
      <c r="Q121" s="63">
        <f>IFERROR(VLOOKUP($B121,'TB YTD'!$4:$1048576,MATCH('List of Ledgers '!Q$4,'TB YTD'!$4:$4,0),0),0)</f>
        <v>0</v>
      </c>
      <c r="R121" s="63"/>
    </row>
    <row r="122" spans="1:20" hidden="1" x14ac:dyDescent="0.25">
      <c r="A122" s="106">
        <v>115</v>
      </c>
      <c r="B122" s="8" t="s">
        <v>287</v>
      </c>
      <c r="C122" s="8" t="s">
        <v>158</v>
      </c>
      <c r="D122" s="17" t="s">
        <v>128</v>
      </c>
      <c r="E122" s="17" t="s">
        <v>131</v>
      </c>
      <c r="G122" s="17" t="s">
        <v>4</v>
      </c>
      <c r="H122" s="62"/>
      <c r="I122" s="37">
        <f>IFERROR(VLOOKUP(B122,'TB '!$A:$G,7,),0)</f>
        <v>0</v>
      </c>
      <c r="J122" s="37">
        <f>IFERROR(VLOOKUP($B122,'TB '!$4:$1048576,MATCH('List of Ledgers '!J$4,'TB '!$4:$4,0),0),0)</f>
        <v>0</v>
      </c>
      <c r="K122" s="37">
        <f>IFERROR(VLOOKUP($B122,'TB '!$4:$1048576,MATCH('List of Ledgers '!K$4,'TB '!$4:$4,0),0),0)</f>
        <v>0</v>
      </c>
      <c r="L122" s="37">
        <f>IFERROR(VLOOKUP(B122,'TB '!$A:$J,10,),0)</f>
        <v>0</v>
      </c>
      <c r="M122" s="71"/>
      <c r="N122" s="63">
        <f>IFERROR(VLOOKUP($B122,'TB YTD'!$4:$1048576,MATCH('List of Ledgers '!N$4,'TB YTD'!$4:$4,0),0),0)</f>
        <v>0</v>
      </c>
      <c r="O122" s="63">
        <f>IFERROR(VLOOKUP($B122,'TB YTD'!$4:$1048576,MATCH('List of Ledgers '!O$4,'TB YTD'!$4:$4,0),0),0)</f>
        <v>0</v>
      </c>
      <c r="P122" s="63">
        <f>IFERROR(VLOOKUP($B122,'TB YTD'!$4:$1048576,MATCH('List of Ledgers '!P$4,'TB YTD'!$4:$4,0),0),0)</f>
        <v>0</v>
      </c>
      <c r="Q122" s="63">
        <f>IFERROR(VLOOKUP($B122,'TB YTD'!$4:$1048576,MATCH('List of Ledgers '!Q$4,'TB YTD'!$4:$4,0),0),0)</f>
        <v>0</v>
      </c>
      <c r="R122" s="63"/>
    </row>
    <row r="123" spans="1:20" hidden="1" x14ac:dyDescent="0.25">
      <c r="A123" s="106">
        <v>116</v>
      </c>
      <c r="B123" s="8" t="s">
        <v>288</v>
      </c>
      <c r="C123" s="8" t="s">
        <v>140</v>
      </c>
      <c r="D123" s="17" t="s">
        <v>128</v>
      </c>
      <c r="E123" s="17" t="s">
        <v>131</v>
      </c>
      <c r="G123" s="17" t="s">
        <v>7</v>
      </c>
      <c r="H123" s="62"/>
      <c r="I123" s="37">
        <f>IFERROR(VLOOKUP(B123,'TB '!$A:$G,7,),0)</f>
        <v>0</v>
      </c>
      <c r="J123" s="37">
        <f>IFERROR(VLOOKUP($B123,'TB '!$4:$1048576,MATCH('List of Ledgers '!J$4,'TB '!$4:$4,0),0),0)</f>
        <v>0</v>
      </c>
      <c r="K123" s="37">
        <f>IFERROR(VLOOKUP($B123,'TB '!$4:$1048576,MATCH('List of Ledgers '!K$4,'TB '!$4:$4,0),0),0)</f>
        <v>0</v>
      </c>
      <c r="L123" s="37">
        <f>IFERROR(VLOOKUP(B123,'TB '!$A:$J,10,),0)</f>
        <v>0</v>
      </c>
      <c r="M123" s="71"/>
      <c r="N123" s="63">
        <f>IFERROR(VLOOKUP($B123,'TB YTD'!$4:$1048576,MATCH('List of Ledgers '!N$4,'TB YTD'!$4:$4,0),0),0)</f>
        <v>0</v>
      </c>
      <c r="O123" s="63">
        <f>IFERROR(VLOOKUP($B123,'TB YTD'!$4:$1048576,MATCH('List of Ledgers '!O$4,'TB YTD'!$4:$4,0),0),0)</f>
        <v>796</v>
      </c>
      <c r="P123" s="63">
        <f>IFERROR(VLOOKUP($B123,'TB YTD'!$4:$1048576,MATCH('List of Ledgers '!P$4,'TB YTD'!$4:$4,0),0),0)</f>
        <v>796</v>
      </c>
      <c r="Q123" s="63">
        <f>IFERROR(VLOOKUP($B123,'TB YTD'!$4:$1048576,MATCH('List of Ledgers '!Q$4,'TB YTD'!$4:$4,0),0),0)</f>
        <v>0</v>
      </c>
      <c r="R123" s="63"/>
    </row>
    <row r="124" spans="1:20" hidden="1" x14ac:dyDescent="0.25">
      <c r="A124" s="106">
        <v>117</v>
      </c>
      <c r="B124" s="8" t="s">
        <v>289</v>
      </c>
      <c r="C124" s="8" t="s">
        <v>160</v>
      </c>
      <c r="D124" s="17"/>
      <c r="E124" s="17"/>
      <c r="G124" s="17"/>
      <c r="H124" s="62"/>
      <c r="I124" s="37">
        <f>IFERROR(VLOOKUP(B124,'TB '!$A:$G,7,),0)</f>
        <v>69226.13</v>
      </c>
      <c r="J124" s="37">
        <f>IFERROR(VLOOKUP($B124,'TB '!$4:$1048576,MATCH('List of Ledgers '!J$4,'TB '!$4:$4,0),0),0)</f>
        <v>0</v>
      </c>
      <c r="K124" s="37">
        <f>IFERROR(VLOOKUP($B124,'TB '!$4:$1048576,MATCH('List of Ledgers '!K$4,'TB '!$4:$4,0),0),0)</f>
        <v>0</v>
      </c>
      <c r="L124" s="37">
        <f>IFERROR(VLOOKUP(B124,'TB '!$A:$J,10,),0)</f>
        <v>69226.13</v>
      </c>
      <c r="M124" s="71"/>
      <c r="N124" s="63">
        <f>IFERROR(VLOOKUP($B124,'TB YTD'!$4:$1048576,MATCH('List of Ledgers '!N$4,'TB YTD'!$4:$4,0),0),0)</f>
        <v>69226.13</v>
      </c>
      <c r="O124" s="63">
        <f>IFERROR(VLOOKUP($B124,'TB YTD'!$4:$1048576,MATCH('List of Ledgers '!O$4,'TB YTD'!$4:$4,0),0),0)</f>
        <v>0</v>
      </c>
      <c r="P124" s="63">
        <f>IFERROR(VLOOKUP($B124,'TB YTD'!$4:$1048576,MATCH('List of Ledgers '!P$4,'TB YTD'!$4:$4,0),0),0)</f>
        <v>0</v>
      </c>
      <c r="Q124" s="63">
        <f>IFERROR(VLOOKUP($B124,'TB YTD'!$4:$1048576,MATCH('List of Ledgers '!Q$4,'TB YTD'!$4:$4,0),0),0)</f>
        <v>69226.13</v>
      </c>
      <c r="R124" s="63"/>
    </row>
    <row r="125" spans="1:20" hidden="1" x14ac:dyDescent="0.25">
      <c r="A125" s="106">
        <v>118</v>
      </c>
      <c r="B125" s="8" t="s">
        <v>290</v>
      </c>
      <c r="C125" s="8" t="s">
        <v>166</v>
      </c>
      <c r="D125" s="17" t="s">
        <v>151</v>
      </c>
      <c r="E125" s="17" t="s">
        <v>1291</v>
      </c>
      <c r="F125" s="12" t="s">
        <v>1290</v>
      </c>
      <c r="G125" s="17" t="s">
        <v>4</v>
      </c>
      <c r="H125" s="62"/>
      <c r="I125" s="37">
        <f>IFERROR(VLOOKUP(B125,'TB '!$A:$G,7,),0)</f>
        <v>0</v>
      </c>
      <c r="J125" s="37">
        <f>IFERROR(VLOOKUP($B125,'TB '!$4:$1048576,MATCH('List of Ledgers '!J$4,'TB '!$4:$4,0),0),0)</f>
        <v>0</v>
      </c>
      <c r="K125" s="37">
        <f>IFERROR(VLOOKUP($B125,'TB '!$4:$1048576,MATCH('List of Ledgers '!K$4,'TB '!$4:$4,0),0),0)</f>
        <v>0</v>
      </c>
      <c r="L125" s="37">
        <f>IFERROR(VLOOKUP(B125,'TB '!$A:$J,10,),0)</f>
        <v>0</v>
      </c>
      <c r="M125" s="71"/>
      <c r="N125" s="63">
        <f>IFERROR(VLOOKUP($B125,'TB YTD'!$4:$1048576,MATCH('List of Ledgers '!N$4,'TB YTD'!$4:$4,0),0),0)</f>
        <v>0</v>
      </c>
      <c r="O125" s="63">
        <f>IFERROR(VLOOKUP($B125,'TB YTD'!$4:$1048576,MATCH('List of Ledgers '!O$4,'TB YTD'!$4:$4,0),0),0)</f>
        <v>0</v>
      </c>
      <c r="P125" s="63">
        <f>IFERROR(VLOOKUP($B125,'TB YTD'!$4:$1048576,MATCH('List of Ledgers '!P$4,'TB YTD'!$4:$4,0),0),0)</f>
        <v>0</v>
      </c>
      <c r="Q125" s="63">
        <f>IFERROR(VLOOKUP($B125,'TB YTD'!$4:$1048576,MATCH('List of Ledgers '!Q$4,'TB YTD'!$4:$4,0),0),0)</f>
        <v>0</v>
      </c>
      <c r="R125" s="63"/>
    </row>
    <row r="126" spans="1:20" hidden="1" x14ac:dyDescent="0.25">
      <c r="A126" s="106">
        <v>119</v>
      </c>
      <c r="B126" s="8" t="s">
        <v>291</v>
      </c>
      <c r="C126" s="8" t="s">
        <v>166</v>
      </c>
      <c r="D126" s="17" t="s">
        <v>151</v>
      </c>
      <c r="E126" s="17" t="s">
        <v>1291</v>
      </c>
      <c r="F126" s="12" t="s">
        <v>1290</v>
      </c>
      <c r="G126" s="17" t="s">
        <v>4</v>
      </c>
      <c r="H126" s="62"/>
      <c r="I126" s="37">
        <f>IFERROR(VLOOKUP(B126,'TB '!$A:$G,7,),0)</f>
        <v>0</v>
      </c>
      <c r="J126" s="37">
        <f>IFERROR(VLOOKUP($B126,'TB '!$4:$1048576,MATCH('List of Ledgers '!J$4,'TB '!$4:$4,0),0),0)</f>
        <v>0</v>
      </c>
      <c r="K126" s="37">
        <f>IFERROR(VLOOKUP($B126,'TB '!$4:$1048576,MATCH('List of Ledgers '!K$4,'TB '!$4:$4,0),0),0)</f>
        <v>0</v>
      </c>
      <c r="L126" s="37">
        <f>IFERROR(VLOOKUP(B126,'TB '!$A:$J,10,),0)</f>
        <v>0</v>
      </c>
      <c r="M126" s="71"/>
      <c r="N126" s="63">
        <f>IFERROR(VLOOKUP($B126,'TB YTD'!$4:$1048576,MATCH('List of Ledgers '!N$4,'TB YTD'!$4:$4,0),0),0)</f>
        <v>0</v>
      </c>
      <c r="O126" s="63">
        <f>IFERROR(VLOOKUP($B126,'TB YTD'!$4:$1048576,MATCH('List of Ledgers '!O$4,'TB YTD'!$4:$4,0),0),0)</f>
        <v>0</v>
      </c>
      <c r="P126" s="63">
        <f>IFERROR(VLOOKUP($B126,'TB YTD'!$4:$1048576,MATCH('List of Ledgers '!P$4,'TB YTD'!$4:$4,0),0),0)</f>
        <v>0</v>
      </c>
      <c r="Q126" s="63">
        <f>IFERROR(VLOOKUP($B126,'TB YTD'!$4:$1048576,MATCH('List of Ledgers '!Q$4,'TB YTD'!$4:$4,0),0),0)</f>
        <v>0</v>
      </c>
      <c r="R126" s="63"/>
    </row>
    <row r="127" spans="1:20" hidden="1" x14ac:dyDescent="0.25">
      <c r="A127" s="106">
        <v>120</v>
      </c>
      <c r="B127" s="8" t="s">
        <v>292</v>
      </c>
      <c r="C127" s="8" t="s">
        <v>293</v>
      </c>
      <c r="D127" s="17"/>
      <c r="E127" s="17"/>
      <c r="G127" s="17"/>
      <c r="H127" s="62"/>
      <c r="I127" s="37">
        <f>IFERROR(VLOOKUP(B127,'TB '!$A:$G,7,),0)</f>
        <v>0</v>
      </c>
      <c r="J127" s="37">
        <f>IFERROR(VLOOKUP($B127,'TB '!$4:$1048576,MATCH('List of Ledgers '!J$4,'TB '!$4:$4,0),0),0)</f>
        <v>0</v>
      </c>
      <c r="K127" s="37">
        <f>IFERROR(VLOOKUP($B127,'TB '!$4:$1048576,MATCH('List of Ledgers '!K$4,'TB '!$4:$4,0),0),0)</f>
        <v>0</v>
      </c>
      <c r="L127" s="37">
        <f>IFERROR(VLOOKUP(B127,'TB '!$A:$J,10,),0)</f>
        <v>0</v>
      </c>
      <c r="M127" s="71"/>
      <c r="N127" s="63">
        <f>IFERROR(VLOOKUP($B127,'TB YTD'!$4:$1048576,MATCH('List of Ledgers '!N$4,'TB YTD'!$4:$4,0),0),0)</f>
        <v>0</v>
      </c>
      <c r="O127" s="63">
        <f>IFERROR(VLOOKUP($B127,'TB YTD'!$4:$1048576,MATCH('List of Ledgers '!O$4,'TB YTD'!$4:$4,0),0),0)</f>
        <v>0</v>
      </c>
      <c r="P127" s="63">
        <f>IFERROR(VLOOKUP($B127,'TB YTD'!$4:$1048576,MATCH('List of Ledgers '!P$4,'TB YTD'!$4:$4,0),0),0)</f>
        <v>0</v>
      </c>
      <c r="Q127" s="63">
        <f>IFERROR(VLOOKUP($B127,'TB YTD'!$4:$1048576,MATCH('List of Ledgers '!Q$4,'TB YTD'!$4:$4,0),0),0)</f>
        <v>0</v>
      </c>
      <c r="R127" s="63"/>
    </row>
    <row r="128" spans="1:20" hidden="1" x14ac:dyDescent="0.25">
      <c r="A128" s="106">
        <v>121</v>
      </c>
      <c r="B128" s="8" t="s">
        <v>294</v>
      </c>
      <c r="C128" s="8" t="s">
        <v>293</v>
      </c>
      <c r="D128" s="17"/>
      <c r="E128" s="17"/>
      <c r="G128" s="17"/>
      <c r="H128" s="62"/>
      <c r="I128" s="37">
        <f>IFERROR(VLOOKUP(B128,'TB '!$A:$G,7,),0)</f>
        <v>348252.15999999997</v>
      </c>
      <c r="J128" s="37">
        <f>IFERROR(VLOOKUP($B128,'TB '!$4:$1048576,MATCH('List of Ledgers '!J$4,'TB '!$4:$4,0),0),0)</f>
        <v>324787.86</v>
      </c>
      <c r="K128" s="37">
        <f>IFERROR(VLOOKUP($B128,'TB '!$4:$1048576,MATCH('List of Ledgers '!K$4,'TB '!$4:$4,0),0),0)</f>
        <v>0</v>
      </c>
      <c r="L128" s="37">
        <f>IFERROR(VLOOKUP(B128,'TB '!$A:$J,10,),0)</f>
        <v>673040.02</v>
      </c>
      <c r="M128" s="71"/>
      <c r="N128" s="63">
        <f>IFERROR(VLOOKUP($B128,'TB YTD'!$4:$1048576,MATCH('List of Ledgers '!N$4,'TB YTD'!$4:$4,0),0),0)</f>
        <v>0</v>
      </c>
      <c r="O128" s="63">
        <f>IFERROR(VLOOKUP($B128,'TB YTD'!$4:$1048576,MATCH('List of Ledgers '!O$4,'TB YTD'!$4:$4,0),0),0)</f>
        <v>673040.02</v>
      </c>
      <c r="P128" s="63">
        <f>IFERROR(VLOOKUP($B128,'TB YTD'!$4:$1048576,MATCH('List of Ledgers '!P$4,'TB YTD'!$4:$4,0),0),0)</f>
        <v>0</v>
      </c>
      <c r="Q128" s="63">
        <f>IFERROR(VLOOKUP($B128,'TB YTD'!$4:$1048576,MATCH('List of Ledgers '!Q$4,'TB YTD'!$4:$4,0),0),0)</f>
        <v>673040.02</v>
      </c>
      <c r="R128" s="63"/>
    </row>
    <row r="129" spans="1:18" hidden="1" x14ac:dyDescent="0.25">
      <c r="A129" s="106">
        <v>122</v>
      </c>
      <c r="B129" s="8" t="s">
        <v>295</v>
      </c>
      <c r="C129" s="8" t="s">
        <v>293</v>
      </c>
      <c r="D129" s="17"/>
      <c r="E129" s="17"/>
      <c r="G129" s="17"/>
      <c r="H129" s="62"/>
      <c r="I129" s="37">
        <f>IFERROR(VLOOKUP(B129,'TB '!$A:$G,7,),0)</f>
        <v>-1329.9</v>
      </c>
      <c r="J129" s="37">
        <f>IFERROR(VLOOKUP($B129,'TB '!$4:$1048576,MATCH('List of Ledgers '!J$4,'TB '!$4:$4,0),0),0)</f>
        <v>54</v>
      </c>
      <c r="K129" s="37">
        <f>IFERROR(VLOOKUP($B129,'TB '!$4:$1048576,MATCH('List of Ledgers '!K$4,'TB '!$4:$4,0),0),0)</f>
        <v>0</v>
      </c>
      <c r="L129" s="37">
        <f>IFERROR(VLOOKUP(B129,'TB '!$A:$J,10,),0)</f>
        <v>-1275.9000000000001</v>
      </c>
      <c r="M129" s="71"/>
      <c r="N129" s="63">
        <f>IFERROR(VLOOKUP($B129,'TB YTD'!$4:$1048576,MATCH('List of Ledgers '!N$4,'TB YTD'!$4:$4,0),0),0)</f>
        <v>0</v>
      </c>
      <c r="O129" s="63">
        <f>IFERROR(VLOOKUP($B129,'TB YTD'!$4:$1048576,MATCH('List of Ledgers '!O$4,'TB YTD'!$4:$4,0),0),0)</f>
        <v>3304.5</v>
      </c>
      <c r="P129" s="63">
        <f>IFERROR(VLOOKUP($B129,'TB YTD'!$4:$1048576,MATCH('List of Ledgers '!P$4,'TB YTD'!$4:$4,0),0),0)</f>
        <v>4580.3999999999996</v>
      </c>
      <c r="Q129" s="63">
        <f>IFERROR(VLOOKUP($B129,'TB YTD'!$4:$1048576,MATCH('List of Ledgers '!Q$4,'TB YTD'!$4:$4,0),0),0)</f>
        <v>-1275.9000000000001</v>
      </c>
      <c r="R129" s="63"/>
    </row>
    <row r="130" spans="1:18" hidden="1" x14ac:dyDescent="0.25">
      <c r="A130" s="106">
        <v>123</v>
      </c>
      <c r="B130" s="8" t="s">
        <v>296</v>
      </c>
      <c r="C130" s="8" t="s">
        <v>293</v>
      </c>
      <c r="D130" s="17"/>
      <c r="E130" s="17"/>
      <c r="G130" s="17"/>
      <c r="H130" s="62"/>
      <c r="I130" s="37">
        <f>IFERROR(VLOOKUP(B130,'TB '!$A:$G,7,),0)</f>
        <v>366374.3</v>
      </c>
      <c r="J130" s="37">
        <f>IFERROR(VLOOKUP($B130,'TB '!$4:$1048576,MATCH('List of Ledgers '!J$4,'TB '!$4:$4,0),0),0)</f>
        <v>400024</v>
      </c>
      <c r="K130" s="37">
        <f>IFERROR(VLOOKUP($B130,'TB '!$4:$1048576,MATCH('List of Ledgers '!K$4,'TB '!$4:$4,0),0),0)</f>
        <v>1847559.12</v>
      </c>
      <c r="L130" s="37">
        <f>IFERROR(VLOOKUP(B130,'TB '!$A:$J,10,),0)</f>
        <v>-1081160.82</v>
      </c>
      <c r="M130" s="71"/>
      <c r="N130" s="63">
        <f>IFERROR(VLOOKUP($B130,'TB YTD'!$4:$1048576,MATCH('List of Ledgers '!N$4,'TB YTD'!$4:$4,0),0),0)</f>
        <v>-291695</v>
      </c>
      <c r="O130" s="63">
        <f>IFERROR(VLOOKUP($B130,'TB YTD'!$4:$1048576,MATCH('List of Ledgers '!O$4,'TB YTD'!$4:$4,0),0),0)</f>
        <v>1373346.85</v>
      </c>
      <c r="P130" s="63">
        <f>IFERROR(VLOOKUP($B130,'TB YTD'!$4:$1048576,MATCH('List of Ledgers '!P$4,'TB YTD'!$4:$4,0),0),0)</f>
        <v>2162812.67</v>
      </c>
      <c r="Q130" s="63">
        <f>IFERROR(VLOOKUP($B130,'TB YTD'!$4:$1048576,MATCH('List of Ledgers '!Q$4,'TB YTD'!$4:$4,0),0),0)</f>
        <v>-1081160.82</v>
      </c>
      <c r="R130" s="63"/>
    </row>
    <row r="131" spans="1:18" hidden="1" x14ac:dyDescent="0.25">
      <c r="A131" s="106">
        <v>124</v>
      </c>
      <c r="B131" s="8" t="s">
        <v>297</v>
      </c>
      <c r="C131" s="8" t="s">
        <v>298</v>
      </c>
      <c r="D131" s="17"/>
      <c r="E131" s="17"/>
      <c r="G131" s="17"/>
      <c r="H131" s="62"/>
      <c r="I131" s="37">
        <f>IFERROR(VLOOKUP(B131,'TB '!$A:$G,7,),0)</f>
        <v>0</v>
      </c>
      <c r="J131" s="37">
        <f>IFERROR(VLOOKUP($B131,'TB '!$4:$1048576,MATCH('List of Ledgers '!J$4,'TB '!$4:$4,0),0),0)</f>
        <v>1500</v>
      </c>
      <c r="K131" s="37">
        <f>IFERROR(VLOOKUP($B131,'TB '!$4:$1048576,MATCH('List of Ledgers '!K$4,'TB '!$4:$4,0),0),0)</f>
        <v>0</v>
      </c>
      <c r="L131" s="37">
        <f>IFERROR(VLOOKUP(B131,'TB '!$A:$J,10,),0)</f>
        <v>1500</v>
      </c>
      <c r="M131" s="71"/>
      <c r="N131" s="63">
        <f>IFERROR(VLOOKUP($B131,'TB YTD'!$4:$1048576,MATCH('List of Ledgers '!N$4,'TB YTD'!$4:$4,0),0),0)</f>
        <v>-540</v>
      </c>
      <c r="O131" s="63">
        <f>IFERROR(VLOOKUP($B131,'TB YTD'!$4:$1048576,MATCH('List of Ledgers '!O$4,'TB YTD'!$4:$4,0),0),0)</f>
        <v>3178</v>
      </c>
      <c r="P131" s="63">
        <f>IFERROR(VLOOKUP($B131,'TB YTD'!$4:$1048576,MATCH('List of Ledgers '!P$4,'TB YTD'!$4:$4,0),0),0)</f>
        <v>1138</v>
      </c>
      <c r="Q131" s="63">
        <f>IFERROR(VLOOKUP($B131,'TB YTD'!$4:$1048576,MATCH('List of Ledgers '!Q$4,'TB YTD'!$4:$4,0),0),0)</f>
        <v>1500</v>
      </c>
      <c r="R131" s="63"/>
    </row>
    <row r="132" spans="1:18" hidden="1" x14ac:dyDescent="0.25">
      <c r="A132" s="106">
        <v>125</v>
      </c>
      <c r="B132" s="8" t="s">
        <v>299</v>
      </c>
      <c r="C132" s="8" t="s">
        <v>200</v>
      </c>
      <c r="D132" s="17"/>
      <c r="E132" s="17"/>
      <c r="G132" s="17"/>
      <c r="H132" s="62"/>
      <c r="I132" s="37">
        <f>IFERROR(VLOOKUP(B132,'TB '!$A:$G,7,),0)</f>
        <v>0</v>
      </c>
      <c r="J132" s="37">
        <f>IFERROR(VLOOKUP($B132,'TB '!$4:$1048576,MATCH('List of Ledgers '!J$4,'TB '!$4:$4,0),0),0)</f>
        <v>0</v>
      </c>
      <c r="K132" s="37">
        <f>IFERROR(VLOOKUP($B132,'TB '!$4:$1048576,MATCH('List of Ledgers '!K$4,'TB '!$4:$4,0),0),0)</f>
        <v>0</v>
      </c>
      <c r="L132" s="37">
        <f>IFERROR(VLOOKUP(B132,'TB '!$A:$J,10,),0)</f>
        <v>0</v>
      </c>
      <c r="M132" s="71"/>
      <c r="N132" s="63">
        <f>IFERROR(VLOOKUP($B132,'TB YTD'!$4:$1048576,MATCH('List of Ledgers '!N$4,'TB YTD'!$4:$4,0),0),0)</f>
        <v>0</v>
      </c>
      <c r="O132" s="63">
        <f>IFERROR(VLOOKUP($B132,'TB YTD'!$4:$1048576,MATCH('List of Ledgers '!O$4,'TB YTD'!$4:$4,0),0),0)</f>
        <v>0</v>
      </c>
      <c r="P132" s="63">
        <f>IFERROR(VLOOKUP($B132,'TB YTD'!$4:$1048576,MATCH('List of Ledgers '!P$4,'TB YTD'!$4:$4,0),0),0)</f>
        <v>0</v>
      </c>
      <c r="Q132" s="63">
        <f>IFERROR(VLOOKUP($B132,'TB YTD'!$4:$1048576,MATCH('List of Ledgers '!Q$4,'TB YTD'!$4:$4,0),0),0)</f>
        <v>0</v>
      </c>
      <c r="R132" s="63"/>
    </row>
    <row r="133" spans="1:18" hidden="1" x14ac:dyDescent="0.25">
      <c r="A133" s="106">
        <v>126</v>
      </c>
      <c r="B133" s="8" t="s">
        <v>300</v>
      </c>
      <c r="C133" s="8" t="s">
        <v>140</v>
      </c>
      <c r="D133" s="17" t="s">
        <v>128</v>
      </c>
      <c r="E133" s="17" t="s">
        <v>131</v>
      </c>
      <c r="G133" s="17" t="s">
        <v>7</v>
      </c>
      <c r="H133" s="62"/>
      <c r="I133" s="37">
        <f>IFERROR(VLOOKUP(B133,'TB '!$A:$G,7,),0)</f>
        <v>0</v>
      </c>
      <c r="J133" s="37">
        <f>IFERROR(VLOOKUP($B133,'TB '!$4:$1048576,MATCH('List of Ledgers '!J$4,'TB '!$4:$4,0),0),0)</f>
        <v>0</v>
      </c>
      <c r="K133" s="37">
        <f>IFERROR(VLOOKUP($B133,'TB '!$4:$1048576,MATCH('List of Ledgers '!K$4,'TB '!$4:$4,0),0),0)</f>
        <v>0</v>
      </c>
      <c r="L133" s="37">
        <f>IFERROR(VLOOKUP(B133,'TB '!$A:$J,10,),0)</f>
        <v>0</v>
      </c>
      <c r="M133" s="71"/>
      <c r="N133" s="63">
        <f>IFERROR(VLOOKUP($B133,'TB YTD'!$4:$1048576,MATCH('List of Ledgers '!N$4,'TB YTD'!$4:$4,0),0),0)</f>
        <v>0</v>
      </c>
      <c r="O133" s="63">
        <f>IFERROR(VLOOKUP($B133,'TB YTD'!$4:$1048576,MATCH('List of Ledgers '!O$4,'TB YTD'!$4:$4,0),0),0)</f>
        <v>0</v>
      </c>
      <c r="P133" s="63">
        <f>IFERROR(VLOOKUP($B133,'TB YTD'!$4:$1048576,MATCH('List of Ledgers '!P$4,'TB YTD'!$4:$4,0),0),0)</f>
        <v>0</v>
      </c>
      <c r="Q133" s="63">
        <f>IFERROR(VLOOKUP($B133,'TB YTD'!$4:$1048576,MATCH('List of Ledgers '!Q$4,'TB YTD'!$4:$4,0),0),0)</f>
        <v>0</v>
      </c>
      <c r="R133" s="63"/>
    </row>
    <row r="134" spans="1:18" hidden="1" x14ac:dyDescent="0.25">
      <c r="A134" s="106">
        <v>127</v>
      </c>
      <c r="B134" s="8" t="s">
        <v>301</v>
      </c>
      <c r="C134" s="8" t="s">
        <v>189</v>
      </c>
      <c r="D134" s="17" t="s">
        <v>128</v>
      </c>
      <c r="E134" s="17" t="s">
        <v>131</v>
      </c>
      <c r="G134" s="17" t="s">
        <v>7</v>
      </c>
      <c r="H134" s="62"/>
      <c r="I134" s="37">
        <f>IFERROR(VLOOKUP(B134,'TB '!$A:$G,7,),0)</f>
        <v>0</v>
      </c>
      <c r="J134" s="37">
        <f>IFERROR(VLOOKUP($B134,'TB '!$4:$1048576,MATCH('List of Ledgers '!J$4,'TB '!$4:$4,0),0),0)</f>
        <v>0</v>
      </c>
      <c r="K134" s="37">
        <f>IFERROR(VLOOKUP($B134,'TB '!$4:$1048576,MATCH('List of Ledgers '!K$4,'TB '!$4:$4,0),0),0)</f>
        <v>0</v>
      </c>
      <c r="L134" s="37">
        <f>IFERROR(VLOOKUP(B134,'TB '!$A:$J,10,),0)</f>
        <v>0</v>
      </c>
      <c r="M134" s="71"/>
      <c r="N134" s="63">
        <f>IFERROR(VLOOKUP($B134,'TB YTD'!$4:$1048576,MATCH('List of Ledgers '!N$4,'TB YTD'!$4:$4,0),0),0)</f>
        <v>0</v>
      </c>
      <c r="O134" s="63">
        <f>IFERROR(VLOOKUP($B134,'TB YTD'!$4:$1048576,MATCH('List of Ledgers '!O$4,'TB YTD'!$4:$4,0),0),0)</f>
        <v>0</v>
      </c>
      <c r="P134" s="63">
        <f>IFERROR(VLOOKUP($B134,'TB YTD'!$4:$1048576,MATCH('List of Ledgers '!P$4,'TB YTD'!$4:$4,0),0),0)</f>
        <v>0</v>
      </c>
      <c r="Q134" s="63">
        <f>IFERROR(VLOOKUP($B134,'TB YTD'!$4:$1048576,MATCH('List of Ledgers '!Q$4,'TB YTD'!$4:$4,0),0),0)</f>
        <v>0</v>
      </c>
      <c r="R134" s="63"/>
    </row>
    <row r="135" spans="1:18" hidden="1" x14ac:dyDescent="0.25">
      <c r="A135" s="106">
        <v>128</v>
      </c>
      <c r="B135" s="8" t="s">
        <v>302</v>
      </c>
      <c r="C135" s="8" t="s">
        <v>189</v>
      </c>
      <c r="D135" s="17" t="s">
        <v>128</v>
      </c>
      <c r="E135" s="17" t="s">
        <v>131</v>
      </c>
      <c r="G135" s="17" t="s">
        <v>7</v>
      </c>
      <c r="H135" s="62"/>
      <c r="I135" s="37">
        <f>IFERROR(VLOOKUP(B135,'TB '!$A:$G,7,),0)</f>
        <v>0</v>
      </c>
      <c r="J135" s="37">
        <f>IFERROR(VLOOKUP($B135,'TB '!$4:$1048576,MATCH('List of Ledgers '!J$4,'TB '!$4:$4,0),0),0)</f>
        <v>0</v>
      </c>
      <c r="K135" s="37">
        <f>IFERROR(VLOOKUP($B135,'TB '!$4:$1048576,MATCH('List of Ledgers '!K$4,'TB '!$4:$4,0),0),0)</f>
        <v>0</v>
      </c>
      <c r="L135" s="37">
        <f>IFERROR(VLOOKUP(B135,'TB '!$A:$J,10,),0)</f>
        <v>0</v>
      </c>
      <c r="M135" s="71"/>
      <c r="N135" s="63">
        <f>IFERROR(VLOOKUP($B135,'TB YTD'!$4:$1048576,MATCH('List of Ledgers '!N$4,'TB YTD'!$4:$4,0),0),0)</f>
        <v>0</v>
      </c>
      <c r="O135" s="63">
        <f>IFERROR(VLOOKUP($B135,'TB YTD'!$4:$1048576,MATCH('List of Ledgers '!O$4,'TB YTD'!$4:$4,0),0),0)</f>
        <v>0</v>
      </c>
      <c r="P135" s="63">
        <f>IFERROR(VLOOKUP($B135,'TB YTD'!$4:$1048576,MATCH('List of Ledgers '!P$4,'TB YTD'!$4:$4,0),0),0)</f>
        <v>0</v>
      </c>
      <c r="Q135" s="63">
        <f>IFERROR(VLOOKUP($B135,'TB YTD'!$4:$1048576,MATCH('List of Ledgers '!Q$4,'TB YTD'!$4:$4,0),0),0)</f>
        <v>0</v>
      </c>
      <c r="R135" s="63"/>
    </row>
    <row r="136" spans="1:18" hidden="1" x14ac:dyDescent="0.25">
      <c r="A136" s="106">
        <v>129</v>
      </c>
      <c r="B136" s="8" t="s">
        <v>303</v>
      </c>
      <c r="C136" s="8" t="s">
        <v>238</v>
      </c>
      <c r="D136" s="17" t="s">
        <v>151</v>
      </c>
      <c r="E136" s="17" t="s">
        <v>152</v>
      </c>
      <c r="F136" s="12" t="s">
        <v>63</v>
      </c>
      <c r="G136" s="17" t="s">
        <v>7</v>
      </c>
      <c r="H136" s="62"/>
      <c r="I136" s="37">
        <f>IFERROR(VLOOKUP(B136,'TB '!$A:$G,7,),0)</f>
        <v>0</v>
      </c>
      <c r="J136" s="37">
        <f>IFERROR(VLOOKUP($B136,'TB '!$4:$1048576,MATCH('List of Ledgers '!J$4,'TB '!$4:$4,0),0),0)</f>
        <v>0</v>
      </c>
      <c r="K136" s="37">
        <f>IFERROR(VLOOKUP($B136,'TB '!$4:$1048576,MATCH('List of Ledgers '!K$4,'TB '!$4:$4,0),0),0)</f>
        <v>0</v>
      </c>
      <c r="L136" s="37">
        <f>IFERROR(VLOOKUP(B136,'TB '!$A:$J,10,),0)</f>
        <v>0</v>
      </c>
      <c r="M136" s="71"/>
      <c r="N136" s="63">
        <f>IFERROR(VLOOKUP($B136,'TB YTD'!$4:$1048576,MATCH('List of Ledgers '!N$4,'TB YTD'!$4:$4,0),0),0)</f>
        <v>0</v>
      </c>
      <c r="O136" s="63">
        <f>IFERROR(VLOOKUP($B136,'TB YTD'!$4:$1048576,MATCH('List of Ledgers '!O$4,'TB YTD'!$4:$4,0),0),0)</f>
        <v>0</v>
      </c>
      <c r="P136" s="63">
        <f>IFERROR(VLOOKUP($B136,'TB YTD'!$4:$1048576,MATCH('List of Ledgers '!P$4,'TB YTD'!$4:$4,0),0),0)</f>
        <v>0</v>
      </c>
      <c r="Q136" s="63">
        <f>IFERROR(VLOOKUP($B136,'TB YTD'!$4:$1048576,MATCH('List of Ledgers '!Q$4,'TB YTD'!$4:$4,0),0),0)</f>
        <v>0</v>
      </c>
      <c r="R136" s="63"/>
    </row>
    <row r="137" spans="1:18" hidden="1" x14ac:dyDescent="0.25">
      <c r="A137" s="106">
        <v>130</v>
      </c>
      <c r="B137" s="8" t="s">
        <v>304</v>
      </c>
      <c r="C137" s="8" t="s">
        <v>180</v>
      </c>
      <c r="D137" s="17" t="s">
        <v>128</v>
      </c>
      <c r="E137" s="17" t="s">
        <v>131</v>
      </c>
      <c r="G137" s="17" t="s">
        <v>2</v>
      </c>
      <c r="H137" s="62"/>
      <c r="I137" s="37">
        <f>IFERROR(VLOOKUP(B137,'TB '!$A:$G,7,),0)</f>
        <v>0</v>
      </c>
      <c r="J137" s="37">
        <f>IFERROR(VLOOKUP($B137,'TB '!$4:$1048576,MATCH('List of Ledgers '!J$4,'TB '!$4:$4,0),0),0)</f>
        <v>0</v>
      </c>
      <c r="K137" s="37">
        <f>IFERROR(VLOOKUP($B137,'TB '!$4:$1048576,MATCH('List of Ledgers '!K$4,'TB '!$4:$4,0),0),0)</f>
        <v>0</v>
      </c>
      <c r="L137" s="37">
        <f>IFERROR(VLOOKUP(B137,'TB '!$A:$J,10,),0)</f>
        <v>0</v>
      </c>
      <c r="M137" s="71"/>
      <c r="N137" s="63">
        <f>IFERROR(VLOOKUP($B137,'TB YTD'!$4:$1048576,MATCH('List of Ledgers '!N$4,'TB YTD'!$4:$4,0),0),0)</f>
        <v>0</v>
      </c>
      <c r="O137" s="63">
        <f>IFERROR(VLOOKUP($B137,'TB YTD'!$4:$1048576,MATCH('List of Ledgers '!O$4,'TB YTD'!$4:$4,0),0),0)</f>
        <v>0</v>
      </c>
      <c r="P137" s="63">
        <f>IFERROR(VLOOKUP($B137,'TB YTD'!$4:$1048576,MATCH('List of Ledgers '!P$4,'TB YTD'!$4:$4,0),0),0)</f>
        <v>0</v>
      </c>
      <c r="Q137" s="63">
        <f>IFERROR(VLOOKUP($B137,'TB YTD'!$4:$1048576,MATCH('List of Ledgers '!Q$4,'TB YTD'!$4:$4,0),0),0)</f>
        <v>0</v>
      </c>
      <c r="R137" s="63"/>
    </row>
    <row r="138" spans="1:18" hidden="1" x14ac:dyDescent="0.25">
      <c r="A138" s="106">
        <v>131</v>
      </c>
      <c r="B138" s="8" t="s">
        <v>305</v>
      </c>
      <c r="C138" s="8" t="s">
        <v>140</v>
      </c>
      <c r="D138" s="17" t="s">
        <v>128</v>
      </c>
      <c r="E138" s="17" t="s">
        <v>131</v>
      </c>
      <c r="G138" s="17" t="s">
        <v>7</v>
      </c>
      <c r="H138" s="62"/>
      <c r="I138" s="37">
        <f>IFERROR(VLOOKUP(B138,'TB '!$A:$G,7,),0)</f>
        <v>0</v>
      </c>
      <c r="J138" s="37">
        <f>IFERROR(VLOOKUP($B138,'TB '!$4:$1048576,MATCH('List of Ledgers '!J$4,'TB '!$4:$4,0),0),0)</f>
        <v>0</v>
      </c>
      <c r="K138" s="37">
        <f>IFERROR(VLOOKUP($B138,'TB '!$4:$1048576,MATCH('List of Ledgers '!K$4,'TB '!$4:$4,0),0),0)</f>
        <v>0</v>
      </c>
      <c r="L138" s="37">
        <f>IFERROR(VLOOKUP(B138,'TB '!$A:$J,10,),0)</f>
        <v>0</v>
      </c>
      <c r="M138" s="71"/>
      <c r="N138" s="63">
        <f>IFERROR(VLOOKUP($B138,'TB YTD'!$4:$1048576,MATCH('List of Ledgers '!N$4,'TB YTD'!$4:$4,0),0),0)</f>
        <v>0</v>
      </c>
      <c r="O138" s="63">
        <f>IFERROR(VLOOKUP($B138,'TB YTD'!$4:$1048576,MATCH('List of Ledgers '!O$4,'TB YTD'!$4:$4,0),0),0)</f>
        <v>0</v>
      </c>
      <c r="P138" s="63">
        <f>IFERROR(VLOOKUP($B138,'TB YTD'!$4:$1048576,MATCH('List of Ledgers '!P$4,'TB YTD'!$4:$4,0),0),0)</f>
        <v>0</v>
      </c>
      <c r="Q138" s="63">
        <f>IFERROR(VLOOKUP($B138,'TB YTD'!$4:$1048576,MATCH('List of Ledgers '!Q$4,'TB YTD'!$4:$4,0),0),0)</f>
        <v>0</v>
      </c>
      <c r="R138" s="63"/>
    </row>
    <row r="139" spans="1:18" hidden="1" x14ac:dyDescent="0.25">
      <c r="A139" s="106">
        <v>132</v>
      </c>
      <c r="B139" s="8" t="s">
        <v>306</v>
      </c>
      <c r="C139" s="8" t="s">
        <v>140</v>
      </c>
      <c r="D139" s="17" t="s">
        <v>128</v>
      </c>
      <c r="E139" s="17" t="s">
        <v>131</v>
      </c>
      <c r="G139" s="17" t="s">
        <v>7</v>
      </c>
      <c r="H139" s="62"/>
      <c r="I139" s="37">
        <f>IFERROR(VLOOKUP(B139,'TB '!$A:$G,7,),0)</f>
        <v>0</v>
      </c>
      <c r="J139" s="37">
        <f>IFERROR(VLOOKUP($B139,'TB '!$4:$1048576,MATCH('List of Ledgers '!J$4,'TB '!$4:$4,0),0),0)</f>
        <v>0</v>
      </c>
      <c r="K139" s="37">
        <f>IFERROR(VLOOKUP($B139,'TB '!$4:$1048576,MATCH('List of Ledgers '!K$4,'TB '!$4:$4,0),0),0)</f>
        <v>0</v>
      </c>
      <c r="L139" s="37">
        <f>IFERROR(VLOOKUP(B139,'TB '!$A:$J,10,),0)</f>
        <v>0</v>
      </c>
      <c r="M139" s="71"/>
      <c r="N139" s="63">
        <f>IFERROR(VLOOKUP($B139,'TB YTD'!$4:$1048576,MATCH('List of Ledgers '!N$4,'TB YTD'!$4:$4,0),0),0)</f>
        <v>0</v>
      </c>
      <c r="O139" s="63">
        <f>IFERROR(VLOOKUP($B139,'TB YTD'!$4:$1048576,MATCH('List of Ledgers '!O$4,'TB YTD'!$4:$4,0),0),0)</f>
        <v>0</v>
      </c>
      <c r="P139" s="63">
        <f>IFERROR(VLOOKUP($B139,'TB YTD'!$4:$1048576,MATCH('List of Ledgers '!P$4,'TB YTD'!$4:$4,0),0),0)</f>
        <v>0</v>
      </c>
      <c r="Q139" s="63">
        <f>IFERROR(VLOOKUP($B139,'TB YTD'!$4:$1048576,MATCH('List of Ledgers '!Q$4,'TB YTD'!$4:$4,0),0),0)</f>
        <v>0</v>
      </c>
      <c r="R139" s="63"/>
    </row>
    <row r="140" spans="1:18" hidden="1" x14ac:dyDescent="0.25">
      <c r="A140" s="106">
        <v>133</v>
      </c>
      <c r="B140" s="8" t="s">
        <v>307</v>
      </c>
      <c r="C140" s="8" t="s">
        <v>140</v>
      </c>
      <c r="D140" s="17" t="s">
        <v>128</v>
      </c>
      <c r="E140" s="17" t="s">
        <v>131</v>
      </c>
      <c r="G140" s="17" t="s">
        <v>7</v>
      </c>
      <c r="H140" s="62"/>
      <c r="I140" s="37">
        <f>IFERROR(VLOOKUP(B140,'TB '!$A:$G,7,),0)</f>
        <v>0</v>
      </c>
      <c r="J140" s="37">
        <f>IFERROR(VLOOKUP($B140,'TB '!$4:$1048576,MATCH('List of Ledgers '!J$4,'TB '!$4:$4,0),0),0)</f>
        <v>0</v>
      </c>
      <c r="K140" s="37">
        <f>IFERROR(VLOOKUP($B140,'TB '!$4:$1048576,MATCH('List of Ledgers '!K$4,'TB '!$4:$4,0),0),0)</f>
        <v>0</v>
      </c>
      <c r="L140" s="37">
        <f>IFERROR(VLOOKUP(B140,'TB '!$A:$J,10,),0)</f>
        <v>0</v>
      </c>
      <c r="M140" s="71"/>
      <c r="N140" s="63">
        <f>IFERROR(VLOOKUP($B140,'TB YTD'!$4:$1048576,MATCH('List of Ledgers '!N$4,'TB YTD'!$4:$4,0),0),0)</f>
        <v>-8528</v>
      </c>
      <c r="O140" s="63">
        <f>IFERROR(VLOOKUP($B140,'TB YTD'!$4:$1048576,MATCH('List of Ledgers '!O$4,'TB YTD'!$4:$4,0),0),0)</f>
        <v>8528</v>
      </c>
      <c r="P140" s="63">
        <f>IFERROR(VLOOKUP($B140,'TB YTD'!$4:$1048576,MATCH('List of Ledgers '!P$4,'TB YTD'!$4:$4,0),0),0)</f>
        <v>0</v>
      </c>
      <c r="Q140" s="63">
        <f>IFERROR(VLOOKUP($B140,'TB YTD'!$4:$1048576,MATCH('List of Ledgers '!Q$4,'TB YTD'!$4:$4,0),0),0)</f>
        <v>0</v>
      </c>
      <c r="R140" s="63"/>
    </row>
    <row r="141" spans="1:18" hidden="1" x14ac:dyDescent="0.25">
      <c r="A141" s="106">
        <v>134</v>
      </c>
      <c r="B141" s="8" t="s">
        <v>308</v>
      </c>
      <c r="C141" s="8" t="s">
        <v>140</v>
      </c>
      <c r="D141" s="17" t="s">
        <v>128</v>
      </c>
      <c r="E141" s="17" t="s">
        <v>131</v>
      </c>
      <c r="G141" s="17" t="s">
        <v>7</v>
      </c>
      <c r="H141" s="62"/>
      <c r="I141" s="37">
        <f>IFERROR(VLOOKUP(B141,'TB '!$A:$G,7,),0)</f>
        <v>0</v>
      </c>
      <c r="J141" s="37">
        <f>IFERROR(VLOOKUP($B141,'TB '!$4:$1048576,MATCH('List of Ledgers '!J$4,'TB '!$4:$4,0),0),0)</f>
        <v>0</v>
      </c>
      <c r="K141" s="37">
        <f>IFERROR(VLOOKUP($B141,'TB '!$4:$1048576,MATCH('List of Ledgers '!K$4,'TB '!$4:$4,0),0),0)</f>
        <v>0</v>
      </c>
      <c r="L141" s="37">
        <f>IFERROR(VLOOKUP(B141,'TB '!$A:$J,10,),0)</f>
        <v>0</v>
      </c>
      <c r="M141" s="71"/>
      <c r="N141" s="63">
        <f>IFERROR(VLOOKUP($B141,'TB YTD'!$4:$1048576,MATCH('List of Ledgers '!N$4,'TB YTD'!$4:$4,0),0),0)</f>
        <v>0</v>
      </c>
      <c r="O141" s="63">
        <f>IFERROR(VLOOKUP($B141,'TB YTD'!$4:$1048576,MATCH('List of Ledgers '!O$4,'TB YTD'!$4:$4,0),0),0)</f>
        <v>0</v>
      </c>
      <c r="P141" s="63">
        <f>IFERROR(VLOOKUP($B141,'TB YTD'!$4:$1048576,MATCH('List of Ledgers '!P$4,'TB YTD'!$4:$4,0),0),0)</f>
        <v>0</v>
      </c>
      <c r="Q141" s="63">
        <f>IFERROR(VLOOKUP($B141,'TB YTD'!$4:$1048576,MATCH('List of Ledgers '!Q$4,'TB YTD'!$4:$4,0),0),0)</f>
        <v>0</v>
      </c>
      <c r="R141" s="63"/>
    </row>
    <row r="142" spans="1:18" hidden="1" x14ac:dyDescent="0.25">
      <c r="A142" s="106">
        <v>135</v>
      </c>
      <c r="B142" s="8" t="s">
        <v>309</v>
      </c>
      <c r="C142" s="8" t="s">
        <v>310</v>
      </c>
      <c r="D142" s="17" t="s">
        <v>151</v>
      </c>
      <c r="E142" s="17" t="s">
        <v>272</v>
      </c>
      <c r="F142" s="12" t="s">
        <v>309</v>
      </c>
      <c r="G142" s="17" t="s">
        <v>4</v>
      </c>
      <c r="H142" s="62"/>
      <c r="I142" s="37">
        <f>IFERROR(VLOOKUP(B142,'TB '!$A:$G,7,),0)</f>
        <v>0</v>
      </c>
      <c r="J142" s="37">
        <f>IFERROR(VLOOKUP($B142,'TB '!$4:$1048576,MATCH('List of Ledgers '!J$4,'TB '!$4:$4,0),0),0)</f>
        <v>0</v>
      </c>
      <c r="K142" s="37">
        <f>IFERROR(VLOOKUP($B142,'TB '!$4:$1048576,MATCH('List of Ledgers '!K$4,'TB '!$4:$4,0),0),0)</f>
        <v>17000000</v>
      </c>
      <c r="L142" s="37">
        <f>IFERROR(VLOOKUP(B142,'TB '!$A:$J,10,),0)</f>
        <v>-17000000</v>
      </c>
      <c r="M142" s="71"/>
      <c r="N142" s="63">
        <f>IFERROR(VLOOKUP($B142,'TB YTD'!$4:$1048576,MATCH('List of Ledgers '!N$4,'TB YTD'!$4:$4,0),0),0)</f>
        <v>0</v>
      </c>
      <c r="O142" s="63">
        <f>IFERROR(VLOOKUP($B142,'TB YTD'!$4:$1048576,MATCH('List of Ledgers '!O$4,'TB YTD'!$4:$4,0),0),0)</f>
        <v>6380</v>
      </c>
      <c r="P142" s="63">
        <f>IFERROR(VLOOKUP($B142,'TB YTD'!$4:$1048576,MATCH('List of Ledgers '!P$4,'TB YTD'!$4:$4,0),0),0)</f>
        <v>17555124.239999998</v>
      </c>
      <c r="Q142" s="175">
        <f>IFERROR(VLOOKUP($B142,'TB YTD'!$4:$1048576,MATCH('List of Ledgers '!Q$4,'TB YTD'!$4:$4,0),0),0)</f>
        <v>-17548744.239999998</v>
      </c>
      <c r="R142" s="63"/>
    </row>
    <row r="143" spans="1:18" hidden="1" x14ac:dyDescent="0.25">
      <c r="A143" s="106">
        <v>136</v>
      </c>
      <c r="B143" s="8" t="s">
        <v>311</v>
      </c>
      <c r="C143" s="8" t="s">
        <v>124</v>
      </c>
      <c r="D143" s="17"/>
      <c r="E143" s="17"/>
      <c r="G143" s="17"/>
      <c r="H143" s="62"/>
      <c r="I143" s="37">
        <f>IFERROR(VLOOKUP(B143,'TB '!$A:$G,7,),0)</f>
        <v>7666.78</v>
      </c>
      <c r="J143" s="37">
        <f>IFERROR(VLOOKUP($B143,'TB '!$4:$1048576,MATCH('List of Ledgers '!J$4,'TB '!$4:$4,0),0),0)</f>
        <v>0</v>
      </c>
      <c r="K143" s="37">
        <f>IFERROR(VLOOKUP($B143,'TB '!$4:$1048576,MATCH('List of Ledgers '!K$4,'TB '!$4:$4,0),0),0)</f>
        <v>0</v>
      </c>
      <c r="L143" s="37">
        <f>IFERROR(VLOOKUP(B143,'TB '!$A:$J,10,),0)</f>
        <v>7666.78</v>
      </c>
      <c r="M143" s="71"/>
      <c r="N143" s="63">
        <f>IFERROR(VLOOKUP($B143,'TB YTD'!$4:$1048576,MATCH('List of Ledgers '!N$4,'TB YTD'!$4:$4,0),0),0)</f>
        <v>7666.78</v>
      </c>
      <c r="O143" s="63">
        <f>IFERROR(VLOOKUP($B143,'TB YTD'!$4:$1048576,MATCH('List of Ledgers '!O$4,'TB YTD'!$4:$4,0),0),0)</f>
        <v>0</v>
      </c>
      <c r="P143" s="63">
        <f>IFERROR(VLOOKUP($B143,'TB YTD'!$4:$1048576,MATCH('List of Ledgers '!P$4,'TB YTD'!$4:$4,0),0),0)</f>
        <v>0</v>
      </c>
      <c r="Q143" s="63">
        <f>IFERROR(VLOOKUP($B143,'TB YTD'!$4:$1048576,MATCH('List of Ledgers '!Q$4,'TB YTD'!$4:$4,0),0),0)</f>
        <v>7666.78</v>
      </c>
      <c r="R143" s="63"/>
    </row>
    <row r="144" spans="1:18" hidden="1" x14ac:dyDescent="0.25">
      <c r="A144" s="106">
        <v>137</v>
      </c>
      <c r="B144" s="8" t="s">
        <v>312</v>
      </c>
      <c r="C144" s="8" t="s">
        <v>267</v>
      </c>
      <c r="D144" s="17" t="s">
        <v>128</v>
      </c>
      <c r="E144" s="17" t="s">
        <v>134</v>
      </c>
      <c r="G144" s="17" t="s">
        <v>2</v>
      </c>
      <c r="H144" s="62"/>
      <c r="I144" s="37">
        <f>IFERROR(VLOOKUP(B144,'TB '!$A:$G,7,),0)</f>
        <v>26597</v>
      </c>
      <c r="J144" s="37">
        <f>IFERROR(VLOOKUP($B144,'TB '!$4:$1048576,MATCH('List of Ledgers '!J$4,'TB '!$4:$4,0),0),0)</f>
        <v>0</v>
      </c>
      <c r="K144" s="37">
        <f>IFERROR(VLOOKUP($B144,'TB '!$4:$1048576,MATCH('List of Ledgers '!K$4,'TB '!$4:$4,0),0),0)</f>
        <v>0</v>
      </c>
      <c r="L144" s="37">
        <f>IFERROR(VLOOKUP(B144,'TB '!$A:$J,10,),0)</f>
        <v>26597</v>
      </c>
      <c r="M144" s="71"/>
      <c r="N144" s="63">
        <f>IFERROR(VLOOKUP($B144,'TB YTD'!$4:$1048576,MATCH('List of Ledgers '!N$4,'TB YTD'!$4:$4,0),0),0)</f>
        <v>26597</v>
      </c>
      <c r="O144" s="63">
        <f>IFERROR(VLOOKUP($B144,'TB YTD'!$4:$1048576,MATCH('List of Ledgers '!O$4,'TB YTD'!$4:$4,0),0),0)</f>
        <v>26597</v>
      </c>
      <c r="P144" s="63">
        <f>IFERROR(VLOOKUP($B144,'TB YTD'!$4:$1048576,MATCH('List of Ledgers '!P$4,'TB YTD'!$4:$4,0),0),0)</f>
        <v>26597</v>
      </c>
      <c r="Q144" s="63">
        <f>IFERROR(VLOOKUP($B144,'TB YTD'!$4:$1048576,MATCH('List of Ledgers '!Q$4,'TB YTD'!$4:$4,0),0),0)</f>
        <v>26597</v>
      </c>
      <c r="R144" s="63"/>
    </row>
    <row r="145" spans="1:18" hidden="1" x14ac:dyDescent="0.25">
      <c r="A145" s="106">
        <v>138</v>
      </c>
      <c r="B145" s="8" t="s">
        <v>313</v>
      </c>
      <c r="C145" s="8" t="s">
        <v>314</v>
      </c>
      <c r="D145" s="106"/>
      <c r="E145" s="17"/>
      <c r="G145" s="17"/>
      <c r="H145" s="62"/>
      <c r="I145" s="37">
        <f>IFERROR(VLOOKUP(B145,'TB '!$A:$G,7,),0)</f>
        <v>42546.02</v>
      </c>
      <c r="J145" s="37">
        <f>IFERROR(VLOOKUP($B145,'TB '!$4:$1048576,MATCH('List of Ledgers '!J$4,'TB '!$4:$4,0),0),0)</f>
        <v>0</v>
      </c>
      <c r="K145" s="37">
        <f>IFERROR(VLOOKUP($B145,'TB '!$4:$1048576,MATCH('List of Ledgers '!K$4,'TB '!$4:$4,0),0),0)</f>
        <v>0</v>
      </c>
      <c r="L145" s="37">
        <f>IFERROR(VLOOKUP(B145,'TB '!$A:$J,10,),0)</f>
        <v>42546.02</v>
      </c>
      <c r="M145" s="71"/>
      <c r="N145" s="63">
        <f>IFERROR(VLOOKUP($B145,'TB YTD'!$4:$1048576,MATCH('List of Ledgers '!N$4,'TB YTD'!$4:$4,0),0),0)</f>
        <v>3646.87</v>
      </c>
      <c r="O145" s="63">
        <f>IFERROR(VLOOKUP($B145,'TB YTD'!$4:$1048576,MATCH('List of Ledgers '!O$4,'TB YTD'!$4:$4,0),0),0)</f>
        <v>38899.15</v>
      </c>
      <c r="P145" s="63">
        <f>IFERROR(VLOOKUP($B145,'TB YTD'!$4:$1048576,MATCH('List of Ledgers '!P$4,'TB YTD'!$4:$4,0),0),0)</f>
        <v>0</v>
      </c>
      <c r="Q145" s="63">
        <f>IFERROR(VLOOKUP($B145,'TB YTD'!$4:$1048576,MATCH('List of Ledgers '!Q$4,'TB YTD'!$4:$4,0),0),0)</f>
        <v>42546.02</v>
      </c>
      <c r="R145" s="63"/>
    </row>
    <row r="146" spans="1:18" hidden="1" x14ac:dyDescent="0.25">
      <c r="A146" s="106">
        <v>139</v>
      </c>
      <c r="B146" s="2" t="s">
        <v>315</v>
      </c>
      <c r="C146" s="8" t="s">
        <v>82</v>
      </c>
      <c r="D146" s="17" t="s">
        <v>128</v>
      </c>
      <c r="E146" s="17" t="s">
        <v>134</v>
      </c>
      <c r="G146" s="17" t="s">
        <v>4</v>
      </c>
      <c r="I146" s="37">
        <f>IFERROR(VLOOKUP(B146,'TB '!$A:$G,7,),0)</f>
        <v>0</v>
      </c>
      <c r="J146" s="37">
        <f>IFERROR(VLOOKUP($B146,'TB '!$4:$1048576,MATCH('List of Ledgers '!J$4,'TB '!$4:$4,0),0),0)</f>
        <v>0</v>
      </c>
      <c r="K146" s="37">
        <f>IFERROR(VLOOKUP($B146,'TB '!$4:$1048576,MATCH('List of Ledgers '!K$4,'TB '!$4:$4,0),0),0)</f>
        <v>0</v>
      </c>
      <c r="L146" s="37">
        <f>IFERROR(VLOOKUP(B146,'TB '!$A:$J,10,),0)</f>
        <v>0</v>
      </c>
      <c r="M146" s="71"/>
      <c r="N146" s="63">
        <f>IFERROR(VLOOKUP($B146,'TB YTD'!$4:$1048576,MATCH('List of Ledgers '!N$4,'TB YTD'!$4:$4,0),0),0)</f>
        <v>0</v>
      </c>
      <c r="O146" s="63">
        <f>IFERROR(VLOOKUP($B146,'TB YTD'!$4:$1048576,MATCH('List of Ledgers '!O$4,'TB YTD'!$4:$4,0),0),0)</f>
        <v>35385851.270000003</v>
      </c>
      <c r="P146" s="63">
        <f>IFERROR(VLOOKUP($B146,'TB YTD'!$4:$1048576,MATCH('List of Ledgers '!P$4,'TB YTD'!$4:$4,0),0),0)</f>
        <v>35385851.270000003</v>
      </c>
      <c r="Q146" s="63">
        <f>IFERROR(VLOOKUP($B146,'TB YTD'!$4:$1048576,MATCH('List of Ledgers '!Q$4,'TB YTD'!$4:$4,0),0),0)</f>
        <v>0</v>
      </c>
    </row>
    <row r="147" spans="1:18" hidden="1" x14ac:dyDescent="0.25">
      <c r="A147" s="106">
        <v>140</v>
      </c>
      <c r="B147" s="8" t="s">
        <v>316</v>
      </c>
      <c r="C147" s="8" t="s">
        <v>136</v>
      </c>
      <c r="D147" s="12" t="s">
        <v>128</v>
      </c>
      <c r="E147" s="12" t="s">
        <v>134</v>
      </c>
      <c r="G147" s="12" t="s">
        <v>2</v>
      </c>
      <c r="H147" s="62"/>
      <c r="I147" s="37">
        <f>IFERROR(VLOOKUP(B147,'TB '!$A:$G,7,),0)</f>
        <v>0</v>
      </c>
      <c r="J147" s="37">
        <f>IFERROR(VLOOKUP($B147,'TB '!$4:$1048576,MATCH('List of Ledgers '!J$4,'TB '!$4:$4,0),0),0)</f>
        <v>0</v>
      </c>
      <c r="K147" s="37">
        <f>IFERROR(VLOOKUP($B147,'TB '!$4:$1048576,MATCH('List of Ledgers '!K$4,'TB '!$4:$4,0),0),0)</f>
        <v>0</v>
      </c>
      <c r="L147" s="37">
        <f>IFERROR(VLOOKUP(B147,'TB '!$A:$J,10,),0)</f>
        <v>0</v>
      </c>
      <c r="M147" s="71"/>
      <c r="N147" s="63">
        <f>IFERROR(VLOOKUP($B147,'TB YTD'!$4:$1048576,MATCH('List of Ledgers '!N$4,'TB YTD'!$4:$4,0),0),0)</f>
        <v>0</v>
      </c>
      <c r="O147" s="63">
        <f>IFERROR(VLOOKUP($B147,'TB YTD'!$4:$1048576,MATCH('List of Ledgers '!O$4,'TB YTD'!$4:$4,0),0),0)</f>
        <v>0</v>
      </c>
      <c r="P147" s="63">
        <f>IFERROR(VLOOKUP($B147,'TB YTD'!$4:$1048576,MATCH('List of Ledgers '!P$4,'TB YTD'!$4:$4,0),0),0)</f>
        <v>0</v>
      </c>
      <c r="Q147" s="63">
        <f>IFERROR(VLOOKUP($B147,'TB YTD'!$4:$1048576,MATCH('List of Ledgers '!Q$4,'TB YTD'!$4:$4,0),0),0)</f>
        <v>0</v>
      </c>
      <c r="R147" s="63"/>
    </row>
    <row r="148" spans="1:18" hidden="1" x14ac:dyDescent="0.25">
      <c r="A148" s="106">
        <v>141</v>
      </c>
      <c r="B148" s="8" t="s">
        <v>317</v>
      </c>
      <c r="C148" s="8" t="s">
        <v>140</v>
      </c>
      <c r="D148" s="17" t="s">
        <v>128</v>
      </c>
      <c r="E148" s="17" t="s">
        <v>131</v>
      </c>
      <c r="G148" s="17" t="s">
        <v>7</v>
      </c>
      <c r="H148" s="62"/>
      <c r="I148" s="37">
        <f>IFERROR(VLOOKUP(B148,'TB '!$A:$G,7,),0)</f>
        <v>0</v>
      </c>
      <c r="J148" s="37">
        <f>IFERROR(VLOOKUP($B148,'TB '!$4:$1048576,MATCH('List of Ledgers '!J$4,'TB '!$4:$4,0),0),0)</f>
        <v>0</v>
      </c>
      <c r="K148" s="37">
        <f>IFERROR(VLOOKUP($B148,'TB '!$4:$1048576,MATCH('List of Ledgers '!K$4,'TB '!$4:$4,0),0),0)</f>
        <v>0</v>
      </c>
      <c r="L148" s="37">
        <f>IFERROR(VLOOKUP(B148,'TB '!$A:$J,10,),0)</f>
        <v>0</v>
      </c>
      <c r="M148" s="71"/>
      <c r="N148" s="63">
        <f>IFERROR(VLOOKUP($B148,'TB YTD'!$4:$1048576,MATCH('List of Ledgers '!N$4,'TB YTD'!$4:$4,0),0),0)</f>
        <v>0</v>
      </c>
      <c r="O148" s="63">
        <f>IFERROR(VLOOKUP($B148,'TB YTD'!$4:$1048576,MATCH('List of Ledgers '!O$4,'TB YTD'!$4:$4,0),0),0)</f>
        <v>0</v>
      </c>
      <c r="P148" s="63">
        <f>IFERROR(VLOOKUP($B148,'TB YTD'!$4:$1048576,MATCH('List of Ledgers '!P$4,'TB YTD'!$4:$4,0),0),0)</f>
        <v>0</v>
      </c>
      <c r="Q148" s="63">
        <f>IFERROR(VLOOKUP($B148,'TB YTD'!$4:$1048576,MATCH('List of Ledgers '!Q$4,'TB YTD'!$4:$4,0),0),0)</f>
        <v>0</v>
      </c>
      <c r="R148" s="63"/>
    </row>
    <row r="149" spans="1:18" hidden="1" x14ac:dyDescent="0.25">
      <c r="A149" s="106">
        <v>142</v>
      </c>
      <c r="B149" s="8" t="s">
        <v>318</v>
      </c>
      <c r="C149" s="8" t="s">
        <v>275</v>
      </c>
      <c r="D149" s="17" t="s">
        <v>151</v>
      </c>
      <c r="E149" s="17" t="s">
        <v>152</v>
      </c>
      <c r="F149" s="12" t="s">
        <v>59</v>
      </c>
      <c r="G149" s="17" t="s">
        <v>7</v>
      </c>
      <c r="H149" s="62"/>
      <c r="I149" s="37">
        <f>IFERROR(VLOOKUP(B149,'TB '!$A:$G,7,),0)</f>
        <v>0</v>
      </c>
      <c r="J149" s="37">
        <f>IFERROR(VLOOKUP($B149,'TB '!$4:$1048576,MATCH('List of Ledgers '!J$4,'TB '!$4:$4,0),0),0)</f>
        <v>2000</v>
      </c>
      <c r="K149" s="37">
        <f>IFERROR(VLOOKUP($B149,'TB '!$4:$1048576,MATCH('List of Ledgers '!K$4,'TB '!$4:$4,0),0),0)</f>
        <v>0</v>
      </c>
      <c r="L149" s="37">
        <f>IFERROR(VLOOKUP(B149,'TB '!$A:$J,10,),0)</f>
        <v>2000</v>
      </c>
      <c r="M149" s="71"/>
      <c r="N149" s="63">
        <f>IFERROR(VLOOKUP($B149,'TB YTD'!$4:$1048576,MATCH('List of Ledgers '!N$4,'TB YTD'!$4:$4,0),0),0)</f>
        <v>0</v>
      </c>
      <c r="O149" s="63">
        <f>IFERROR(VLOOKUP($B149,'TB YTD'!$4:$1048576,MATCH('List of Ledgers '!O$4,'TB YTD'!$4:$4,0),0),0)</f>
        <v>12000</v>
      </c>
      <c r="P149" s="63">
        <f>IFERROR(VLOOKUP($B149,'TB YTD'!$4:$1048576,MATCH('List of Ledgers '!P$4,'TB YTD'!$4:$4,0),0),0)</f>
        <v>0</v>
      </c>
      <c r="Q149" s="63">
        <f>IFERROR(VLOOKUP($B149,'TB YTD'!$4:$1048576,MATCH('List of Ledgers '!Q$4,'TB YTD'!$4:$4,0),0),0)</f>
        <v>12000</v>
      </c>
      <c r="R149" s="63"/>
    </row>
    <row r="150" spans="1:18" hidden="1" x14ac:dyDescent="0.25">
      <c r="A150" s="106">
        <v>143</v>
      </c>
      <c r="B150" s="8" t="s">
        <v>319</v>
      </c>
      <c r="C150" s="8" t="s">
        <v>140</v>
      </c>
      <c r="D150" s="17" t="s">
        <v>128</v>
      </c>
      <c r="E150" s="17" t="s">
        <v>131</v>
      </c>
      <c r="G150" s="17" t="s">
        <v>7</v>
      </c>
      <c r="H150" s="62"/>
      <c r="I150" s="37">
        <f>IFERROR(VLOOKUP(B150,'TB '!$A:$G,7,),0)</f>
        <v>0</v>
      </c>
      <c r="J150" s="37">
        <f>IFERROR(VLOOKUP($B150,'TB '!$4:$1048576,MATCH('List of Ledgers '!J$4,'TB '!$4:$4,0),0),0)</f>
        <v>0</v>
      </c>
      <c r="K150" s="37">
        <f>IFERROR(VLOOKUP($B150,'TB '!$4:$1048576,MATCH('List of Ledgers '!K$4,'TB '!$4:$4,0),0),0)</f>
        <v>0</v>
      </c>
      <c r="L150" s="37">
        <f>IFERROR(VLOOKUP(B150,'TB '!$A:$J,10,),0)</f>
        <v>0</v>
      </c>
      <c r="M150" s="71"/>
      <c r="N150" s="63">
        <f>IFERROR(VLOOKUP($B150,'TB YTD'!$4:$1048576,MATCH('List of Ledgers '!N$4,'TB YTD'!$4:$4,0),0),0)</f>
        <v>0</v>
      </c>
      <c r="O150" s="63">
        <f>IFERROR(VLOOKUP($B150,'TB YTD'!$4:$1048576,MATCH('List of Ledgers '!O$4,'TB YTD'!$4:$4,0),0),0)</f>
        <v>7038.02</v>
      </c>
      <c r="P150" s="63">
        <f>IFERROR(VLOOKUP($B150,'TB YTD'!$4:$1048576,MATCH('List of Ledgers '!P$4,'TB YTD'!$4:$4,0),0),0)</f>
        <v>7038.02</v>
      </c>
      <c r="Q150" s="63">
        <f>IFERROR(VLOOKUP($B150,'TB YTD'!$4:$1048576,MATCH('List of Ledgers '!Q$4,'TB YTD'!$4:$4,0),0),0)</f>
        <v>0</v>
      </c>
      <c r="R150" s="63"/>
    </row>
    <row r="151" spans="1:18" hidden="1" x14ac:dyDescent="0.25">
      <c r="A151" s="106">
        <v>144</v>
      </c>
      <c r="B151" s="8" t="s">
        <v>320</v>
      </c>
      <c r="C151" s="8" t="s">
        <v>124</v>
      </c>
      <c r="D151" s="17"/>
      <c r="E151" s="17"/>
      <c r="G151" s="17"/>
      <c r="H151" s="62"/>
      <c r="I151" s="37">
        <f>IFERROR(VLOOKUP(B151,'TB '!$A:$G,7,),0)</f>
        <v>36972.86</v>
      </c>
      <c r="J151" s="37">
        <f>IFERROR(VLOOKUP($B151,'TB '!$4:$1048576,MATCH('List of Ledgers '!J$4,'TB '!$4:$4,0),0),0)</f>
        <v>0</v>
      </c>
      <c r="K151" s="37">
        <f>IFERROR(VLOOKUP($B151,'TB '!$4:$1048576,MATCH('List of Ledgers '!K$4,'TB '!$4:$4,0),0),0)</f>
        <v>0</v>
      </c>
      <c r="L151" s="37">
        <f>IFERROR(VLOOKUP(B151,'TB '!$A:$J,10,),0)</f>
        <v>36972.86</v>
      </c>
      <c r="M151" s="71"/>
      <c r="N151" s="63">
        <f>IFERROR(VLOOKUP($B151,'TB YTD'!$4:$1048576,MATCH('List of Ledgers '!N$4,'TB YTD'!$4:$4,0),0),0)</f>
        <v>36972.86</v>
      </c>
      <c r="O151" s="63">
        <f>IFERROR(VLOOKUP($B151,'TB YTD'!$4:$1048576,MATCH('List of Ledgers '!O$4,'TB YTD'!$4:$4,0),0),0)</f>
        <v>0</v>
      </c>
      <c r="P151" s="63">
        <f>IFERROR(VLOOKUP($B151,'TB YTD'!$4:$1048576,MATCH('List of Ledgers '!P$4,'TB YTD'!$4:$4,0),0),0)</f>
        <v>0</v>
      </c>
      <c r="Q151" s="63">
        <f>IFERROR(VLOOKUP($B151,'TB YTD'!$4:$1048576,MATCH('List of Ledgers '!Q$4,'TB YTD'!$4:$4,0),0),0)</f>
        <v>36972.86</v>
      </c>
      <c r="R151" s="63"/>
    </row>
    <row r="152" spans="1:18" hidden="1" x14ac:dyDescent="0.25">
      <c r="A152" s="106">
        <v>145</v>
      </c>
      <c r="B152" s="8" t="s">
        <v>321</v>
      </c>
      <c r="C152" s="8" t="s">
        <v>322</v>
      </c>
      <c r="D152" s="17" t="s">
        <v>151</v>
      </c>
      <c r="E152" s="17" t="s">
        <v>152</v>
      </c>
      <c r="F152" s="12" t="s">
        <v>44</v>
      </c>
      <c r="G152" s="17" t="s">
        <v>7</v>
      </c>
      <c r="H152" s="62"/>
      <c r="I152" s="37">
        <f>IFERROR(VLOOKUP(B152,'TB '!$A:$G,7,),0)</f>
        <v>0</v>
      </c>
      <c r="J152" s="37">
        <f>IFERROR(VLOOKUP($B152,'TB '!$4:$1048576,MATCH('List of Ledgers '!J$4,'TB '!$4:$4,0),0),0)</f>
        <v>0</v>
      </c>
      <c r="K152" s="37">
        <f>IFERROR(VLOOKUP($B152,'TB '!$4:$1048576,MATCH('List of Ledgers '!K$4,'TB '!$4:$4,0),0),0)</f>
        <v>0</v>
      </c>
      <c r="L152" s="37">
        <f>IFERROR(VLOOKUP(B152,'TB '!$A:$J,10,),0)</f>
        <v>0</v>
      </c>
      <c r="M152" s="71"/>
      <c r="N152" s="63">
        <f>IFERROR(VLOOKUP($B152,'TB YTD'!$4:$1048576,MATCH('List of Ledgers '!N$4,'TB YTD'!$4:$4,0),0),0)</f>
        <v>0</v>
      </c>
      <c r="O152" s="63">
        <f>IFERROR(VLOOKUP($B152,'TB YTD'!$4:$1048576,MATCH('List of Ledgers '!O$4,'TB YTD'!$4:$4,0),0),0)</f>
        <v>4724</v>
      </c>
      <c r="P152" s="63">
        <f>IFERROR(VLOOKUP($B152,'TB YTD'!$4:$1048576,MATCH('List of Ledgers '!P$4,'TB YTD'!$4:$4,0),0),0)</f>
        <v>0</v>
      </c>
      <c r="Q152" s="63">
        <f>IFERROR(VLOOKUP($B152,'TB YTD'!$4:$1048576,MATCH('List of Ledgers '!Q$4,'TB YTD'!$4:$4,0),0),0)</f>
        <v>4724</v>
      </c>
      <c r="R152" s="63"/>
    </row>
    <row r="153" spans="1:18" hidden="1" x14ac:dyDescent="0.25">
      <c r="A153" s="106">
        <v>146</v>
      </c>
      <c r="B153" s="8" t="s">
        <v>323</v>
      </c>
      <c r="C153" s="8" t="s">
        <v>275</v>
      </c>
      <c r="D153" s="17" t="s">
        <v>151</v>
      </c>
      <c r="E153" s="17" t="s">
        <v>152</v>
      </c>
      <c r="F153" s="12" t="s">
        <v>44</v>
      </c>
      <c r="G153" s="17" t="s">
        <v>7</v>
      </c>
      <c r="H153" s="62"/>
      <c r="I153" s="37">
        <f>IFERROR(VLOOKUP(B153,'TB '!$A:$G,7,),0)</f>
        <v>0</v>
      </c>
      <c r="J153" s="37">
        <f>IFERROR(VLOOKUP($B153,'TB '!$4:$1048576,MATCH('List of Ledgers '!J$4,'TB '!$4:$4,0),0),0)</f>
        <v>1324</v>
      </c>
      <c r="K153" s="37">
        <f>IFERROR(VLOOKUP($B153,'TB '!$4:$1048576,MATCH('List of Ledgers '!K$4,'TB '!$4:$4,0),0),0)</f>
        <v>0</v>
      </c>
      <c r="L153" s="37">
        <f>IFERROR(VLOOKUP(B153,'TB '!$A:$J,10,),0)</f>
        <v>1324</v>
      </c>
      <c r="M153" s="71"/>
      <c r="N153" s="63">
        <f>IFERROR(VLOOKUP($B153,'TB YTD'!$4:$1048576,MATCH('List of Ledgers '!N$4,'TB YTD'!$4:$4,0),0),0)</f>
        <v>0</v>
      </c>
      <c r="O153" s="63">
        <f>IFERROR(VLOOKUP($B153,'TB YTD'!$4:$1048576,MATCH('List of Ledgers '!O$4,'TB YTD'!$4:$4,0),0),0)</f>
        <v>292294</v>
      </c>
      <c r="P153" s="63">
        <f>IFERROR(VLOOKUP($B153,'TB YTD'!$4:$1048576,MATCH('List of Ledgers '!P$4,'TB YTD'!$4:$4,0),0),0)</f>
        <v>0</v>
      </c>
      <c r="Q153" s="63">
        <f>IFERROR(VLOOKUP($B153,'TB YTD'!$4:$1048576,MATCH('List of Ledgers '!Q$4,'TB YTD'!$4:$4,0),0),0)</f>
        <v>292294</v>
      </c>
      <c r="R153" s="63"/>
    </row>
    <row r="154" spans="1:18" hidden="1" x14ac:dyDescent="0.25">
      <c r="A154" s="106">
        <v>147</v>
      </c>
      <c r="B154" s="8" t="s">
        <v>324</v>
      </c>
      <c r="C154" s="8" t="s">
        <v>322</v>
      </c>
      <c r="D154" s="17" t="s">
        <v>151</v>
      </c>
      <c r="E154" s="17" t="s">
        <v>152</v>
      </c>
      <c r="F154" s="12" t="s">
        <v>45</v>
      </c>
      <c r="G154" s="17" t="s">
        <v>7</v>
      </c>
      <c r="H154" s="62"/>
      <c r="I154" s="37">
        <f>IFERROR(VLOOKUP(B154,'TB '!$A:$G,7,),0)</f>
        <v>0</v>
      </c>
      <c r="J154" s="37">
        <f>IFERROR(VLOOKUP($B154,'TB '!$4:$1048576,MATCH('List of Ledgers '!J$4,'TB '!$4:$4,0),0),0)</f>
        <v>0</v>
      </c>
      <c r="K154" s="37">
        <f>IFERROR(VLOOKUP($B154,'TB '!$4:$1048576,MATCH('List of Ledgers '!K$4,'TB '!$4:$4,0),0),0)</f>
        <v>0</v>
      </c>
      <c r="L154" s="37">
        <f>IFERROR(VLOOKUP(B154,'TB '!$A:$J,10,),0)</f>
        <v>0</v>
      </c>
      <c r="M154" s="71"/>
      <c r="N154" s="63">
        <f>IFERROR(VLOOKUP($B154,'TB YTD'!$4:$1048576,MATCH('List of Ledgers '!N$4,'TB YTD'!$4:$4,0),0),0)</f>
        <v>0</v>
      </c>
      <c r="O154" s="63">
        <f>IFERROR(VLOOKUP($B154,'TB YTD'!$4:$1048576,MATCH('List of Ledgers '!O$4,'TB YTD'!$4:$4,0),0),0)</f>
        <v>4541</v>
      </c>
      <c r="P154" s="63">
        <f>IFERROR(VLOOKUP($B154,'TB YTD'!$4:$1048576,MATCH('List of Ledgers '!P$4,'TB YTD'!$4:$4,0),0),0)</f>
        <v>0</v>
      </c>
      <c r="Q154" s="63">
        <f>IFERROR(VLOOKUP($B154,'TB YTD'!$4:$1048576,MATCH('List of Ledgers '!Q$4,'TB YTD'!$4:$4,0),0),0)</f>
        <v>4541</v>
      </c>
      <c r="R154" s="63"/>
    </row>
    <row r="155" spans="1:18" hidden="1" x14ac:dyDescent="0.25">
      <c r="A155" s="106">
        <v>148</v>
      </c>
      <c r="B155" s="8" t="s">
        <v>325</v>
      </c>
      <c r="C155" s="8" t="s">
        <v>275</v>
      </c>
      <c r="D155" s="17" t="s">
        <v>151</v>
      </c>
      <c r="E155" s="17" t="s">
        <v>152</v>
      </c>
      <c r="F155" s="12" t="s">
        <v>45</v>
      </c>
      <c r="G155" s="17" t="s">
        <v>7</v>
      </c>
      <c r="H155" s="62"/>
      <c r="I155" s="37">
        <f>IFERROR(VLOOKUP(B155,'TB '!$A:$G,7,),0)</f>
        <v>0</v>
      </c>
      <c r="J155" s="37">
        <f>IFERROR(VLOOKUP($B155,'TB '!$4:$1048576,MATCH('List of Ledgers '!J$4,'TB '!$4:$4,0),0),0)</f>
        <v>21030.560000000001</v>
      </c>
      <c r="K155" s="37">
        <f>IFERROR(VLOOKUP($B155,'TB '!$4:$1048576,MATCH('List of Ledgers '!K$4,'TB '!$4:$4,0),0),0)</f>
        <v>0</v>
      </c>
      <c r="L155" s="37">
        <f>IFERROR(VLOOKUP(B155,'TB '!$A:$J,10,),0)</f>
        <v>21030.560000000001</v>
      </c>
      <c r="M155" s="71"/>
      <c r="N155" s="63">
        <f>IFERROR(VLOOKUP($B155,'TB YTD'!$4:$1048576,MATCH('List of Ledgers '!N$4,'TB YTD'!$4:$4,0),0),0)</f>
        <v>0</v>
      </c>
      <c r="O155" s="63">
        <f>IFERROR(VLOOKUP($B155,'TB YTD'!$4:$1048576,MATCH('List of Ledgers '!O$4,'TB YTD'!$4:$4,0),0),0)</f>
        <v>96815.56</v>
      </c>
      <c r="P155" s="63">
        <f>IFERROR(VLOOKUP($B155,'TB YTD'!$4:$1048576,MATCH('List of Ledgers '!P$4,'TB YTD'!$4:$4,0),0),0)</f>
        <v>0</v>
      </c>
      <c r="Q155" s="63">
        <f>IFERROR(VLOOKUP($B155,'TB YTD'!$4:$1048576,MATCH('List of Ledgers '!Q$4,'TB YTD'!$4:$4,0),0),0)</f>
        <v>96815.56</v>
      </c>
      <c r="R155" s="63"/>
    </row>
    <row r="156" spans="1:18" hidden="1" x14ac:dyDescent="0.25">
      <c r="A156" s="106">
        <v>149</v>
      </c>
      <c r="B156" s="8" t="s">
        <v>326</v>
      </c>
      <c r="C156" s="8" t="s">
        <v>189</v>
      </c>
      <c r="D156" s="17" t="s">
        <v>151</v>
      </c>
      <c r="E156" s="17" t="s">
        <v>152</v>
      </c>
      <c r="F156" s="153" t="s">
        <v>45</v>
      </c>
      <c r="G156" s="17" t="s">
        <v>7</v>
      </c>
      <c r="H156" s="62"/>
      <c r="I156" s="37">
        <f>IFERROR(VLOOKUP(B156,'TB '!$A:$G,7,),0)</f>
        <v>0</v>
      </c>
      <c r="J156" s="37">
        <f>IFERROR(VLOOKUP($B156,'TB '!$4:$1048576,MATCH('List of Ledgers '!J$4,'TB '!$4:$4,0),0),0)</f>
        <v>14235</v>
      </c>
      <c r="K156" s="37">
        <f>IFERROR(VLOOKUP($B156,'TB '!$4:$1048576,MATCH('List of Ledgers '!K$4,'TB '!$4:$4,0),0),0)</f>
        <v>0</v>
      </c>
      <c r="L156" s="37">
        <f>IFERROR(VLOOKUP(B156,'TB '!$A:$J,10,),0)</f>
        <v>14235</v>
      </c>
      <c r="M156" s="71"/>
      <c r="N156" s="63">
        <f>IFERROR(VLOOKUP($B156,'TB YTD'!$4:$1048576,MATCH('List of Ledgers '!N$4,'TB YTD'!$4:$4,0),0),0)</f>
        <v>0</v>
      </c>
      <c r="O156" s="63">
        <f>IFERROR(VLOOKUP($B156,'TB YTD'!$4:$1048576,MATCH('List of Ledgers '!O$4,'TB YTD'!$4:$4,0),0),0)</f>
        <v>61098.26</v>
      </c>
      <c r="P156" s="63">
        <f>IFERROR(VLOOKUP($B156,'TB YTD'!$4:$1048576,MATCH('List of Ledgers '!P$4,'TB YTD'!$4:$4,0),0),0)</f>
        <v>0</v>
      </c>
      <c r="Q156" s="63">
        <f>IFERROR(VLOOKUP($B156,'TB YTD'!$4:$1048576,MATCH('List of Ledgers '!Q$4,'TB YTD'!$4:$4,0),0),0)</f>
        <v>61098.26</v>
      </c>
      <c r="R156" s="63"/>
    </row>
    <row r="157" spans="1:18" hidden="1" x14ac:dyDescent="0.25">
      <c r="A157" s="106">
        <v>150</v>
      </c>
      <c r="B157" s="8" t="s">
        <v>327</v>
      </c>
      <c r="C157" s="8" t="s">
        <v>328</v>
      </c>
      <c r="D157" s="17"/>
      <c r="E157" s="17"/>
      <c r="G157" s="17"/>
      <c r="H157" s="62"/>
      <c r="I157" s="37">
        <f>IFERROR(VLOOKUP(B157,'TB '!$A:$G,7,),0)</f>
        <v>4652.6400000000003</v>
      </c>
      <c r="J157" s="37">
        <f>IFERROR(VLOOKUP($B157,'TB '!$4:$1048576,MATCH('List of Ledgers '!J$4,'TB '!$4:$4,0),0),0)</f>
        <v>0</v>
      </c>
      <c r="K157" s="37">
        <f>IFERROR(VLOOKUP($B157,'TB '!$4:$1048576,MATCH('List of Ledgers '!K$4,'TB '!$4:$4,0),0),0)</f>
        <v>0</v>
      </c>
      <c r="L157" s="37">
        <f>IFERROR(VLOOKUP(B157,'TB '!$A:$J,10,),0)</f>
        <v>4652.6400000000003</v>
      </c>
      <c r="M157" s="71"/>
      <c r="N157" s="63">
        <f>IFERROR(VLOOKUP($B157,'TB YTD'!$4:$1048576,MATCH('List of Ledgers '!N$4,'TB YTD'!$4:$4,0),0),0)</f>
        <v>4652.6400000000003</v>
      </c>
      <c r="O157" s="63">
        <f>IFERROR(VLOOKUP($B157,'TB YTD'!$4:$1048576,MATCH('List of Ledgers '!O$4,'TB YTD'!$4:$4,0),0),0)</f>
        <v>0</v>
      </c>
      <c r="P157" s="63">
        <f>IFERROR(VLOOKUP($B157,'TB YTD'!$4:$1048576,MATCH('List of Ledgers '!P$4,'TB YTD'!$4:$4,0),0),0)</f>
        <v>0</v>
      </c>
      <c r="Q157" s="63">
        <f>IFERROR(VLOOKUP($B157,'TB YTD'!$4:$1048576,MATCH('List of Ledgers '!Q$4,'TB YTD'!$4:$4,0),0),0)</f>
        <v>4652.6400000000003</v>
      </c>
      <c r="R157" s="63"/>
    </row>
    <row r="158" spans="1:18" s="193" customFormat="1" hidden="1" x14ac:dyDescent="0.25">
      <c r="A158" s="199">
        <v>151</v>
      </c>
      <c r="B158" s="200" t="s">
        <v>329</v>
      </c>
      <c r="C158" s="200" t="s">
        <v>166</v>
      </c>
      <c r="D158" s="194" t="s">
        <v>151</v>
      </c>
      <c r="E158" s="194" t="s">
        <v>152</v>
      </c>
      <c r="F158" s="195" t="s">
        <v>69</v>
      </c>
      <c r="G158" s="194" t="s">
        <v>4</v>
      </c>
      <c r="H158" s="201"/>
      <c r="I158" s="197">
        <f>IFERROR(VLOOKUP(B158,'TB '!$A:$G,7,),0)</f>
        <v>0</v>
      </c>
      <c r="J158" s="197">
        <f>IFERROR(VLOOKUP($B158,'TB '!$4:$1048576,MATCH('List of Ledgers '!J$4,'TB '!$4:$4,0),0),0)</f>
        <v>0</v>
      </c>
      <c r="K158" s="197">
        <f>IFERROR(VLOOKUP($B158,'TB '!$4:$1048576,MATCH('List of Ledgers '!K$4,'TB '!$4:$4,0),0),0)</f>
        <v>0</v>
      </c>
      <c r="L158" s="197">
        <f>IFERROR(VLOOKUP(B158,'TB '!$A:$J,10,),0)</f>
        <v>0</v>
      </c>
      <c r="M158" s="198"/>
      <c r="N158" s="196">
        <f>IFERROR(VLOOKUP($B158,'TB YTD'!$4:$1048576,MATCH('List of Ledgers '!N$4,'TB YTD'!$4:$4,0),0),0)</f>
        <v>0</v>
      </c>
      <c r="O158" s="196">
        <f>IFERROR(VLOOKUP($B158,'TB YTD'!$4:$1048576,MATCH('List of Ledgers '!O$4,'TB YTD'!$4:$4,0),0),0)</f>
        <v>1091557.46</v>
      </c>
      <c r="P158" s="196">
        <f>IFERROR(VLOOKUP($B158,'TB YTD'!$4:$1048576,MATCH('List of Ledgers '!P$4,'TB YTD'!$4:$4,0),0),0)</f>
        <v>0</v>
      </c>
      <c r="Q158" s="196">
        <f>IFERROR(VLOOKUP($B158,'TB YTD'!$4:$1048576,MATCH('List of Ledgers '!Q$4,'TB YTD'!$4:$4,0),0),0)</f>
        <v>1091557.46</v>
      </c>
      <c r="R158" s="196"/>
    </row>
    <row r="159" spans="1:18" hidden="1" x14ac:dyDescent="0.25">
      <c r="A159" s="106">
        <v>152</v>
      </c>
      <c r="B159" s="8" t="s">
        <v>330</v>
      </c>
      <c r="C159" s="8" t="s">
        <v>275</v>
      </c>
      <c r="D159" s="17" t="s">
        <v>151</v>
      </c>
      <c r="E159" s="17" t="s">
        <v>152</v>
      </c>
      <c r="F159" s="12" t="s">
        <v>69</v>
      </c>
      <c r="G159" s="17" t="s">
        <v>7</v>
      </c>
      <c r="H159" s="62"/>
      <c r="I159" s="37">
        <f>IFERROR(VLOOKUP(B159,'TB '!$A:$G,7,),0)</f>
        <v>0</v>
      </c>
      <c r="J159" s="37">
        <f>IFERROR(VLOOKUP($B159,'TB '!$4:$1048576,MATCH('List of Ledgers '!J$4,'TB '!$4:$4,0),0),0)</f>
        <v>0</v>
      </c>
      <c r="K159" s="37">
        <f>IFERROR(VLOOKUP($B159,'TB '!$4:$1048576,MATCH('List of Ledgers '!K$4,'TB '!$4:$4,0),0),0)</f>
        <v>0</v>
      </c>
      <c r="L159" s="37">
        <f>IFERROR(VLOOKUP(B159,'TB '!$A:$J,10,),0)</f>
        <v>0</v>
      </c>
      <c r="M159" s="71"/>
      <c r="N159" s="63">
        <f>IFERROR(VLOOKUP($B159,'TB YTD'!$4:$1048576,MATCH('List of Ledgers '!N$4,'TB YTD'!$4:$4,0),0),0)</f>
        <v>0</v>
      </c>
      <c r="O159" s="63">
        <f>IFERROR(VLOOKUP($B159,'TB YTD'!$4:$1048576,MATCH('List of Ledgers '!O$4,'TB YTD'!$4:$4,0),0),0)</f>
        <v>0</v>
      </c>
      <c r="P159" s="63">
        <f>IFERROR(VLOOKUP($B159,'TB YTD'!$4:$1048576,MATCH('List of Ledgers '!P$4,'TB YTD'!$4:$4,0),0),0)</f>
        <v>0</v>
      </c>
      <c r="Q159" s="63">
        <f>IFERROR(VLOOKUP($B159,'TB YTD'!$4:$1048576,MATCH('List of Ledgers '!Q$4,'TB YTD'!$4:$4,0),0),0)</f>
        <v>0</v>
      </c>
      <c r="R159" s="63"/>
    </row>
    <row r="160" spans="1:18" hidden="1" x14ac:dyDescent="0.25">
      <c r="A160" s="106">
        <v>153</v>
      </c>
      <c r="B160" s="8" t="s">
        <v>331</v>
      </c>
      <c r="C160" s="8" t="s">
        <v>166</v>
      </c>
      <c r="D160" s="17" t="s">
        <v>151</v>
      </c>
      <c r="E160" s="17" t="s">
        <v>1291</v>
      </c>
      <c r="F160" s="12" t="s">
        <v>50</v>
      </c>
      <c r="G160" s="17" t="s">
        <v>4</v>
      </c>
      <c r="H160" s="62"/>
      <c r="I160" s="37">
        <f>IFERROR(VLOOKUP(B160,'TB '!$A:$G,7,),0)</f>
        <v>0</v>
      </c>
      <c r="J160" s="37">
        <f>IFERROR(VLOOKUP($B160,'TB '!$4:$1048576,MATCH('List of Ledgers '!J$4,'TB '!$4:$4,0),0),0)</f>
        <v>0</v>
      </c>
      <c r="K160" s="37">
        <f>IFERROR(VLOOKUP($B160,'TB '!$4:$1048576,MATCH('List of Ledgers '!K$4,'TB '!$4:$4,0),0),0)</f>
        <v>16833</v>
      </c>
      <c r="L160" s="37">
        <f>IFERROR(VLOOKUP(B160,'TB '!$A:$J,10,),0)</f>
        <v>-16833</v>
      </c>
      <c r="M160" s="71"/>
      <c r="N160" s="63">
        <f>IFERROR(VLOOKUP($B160,'TB YTD'!$4:$1048576,MATCH('List of Ledgers '!N$4,'TB YTD'!$4:$4,0),0),0)</f>
        <v>0</v>
      </c>
      <c r="O160" s="63">
        <f>IFERROR(VLOOKUP($B160,'TB YTD'!$4:$1048576,MATCH('List of Ledgers '!O$4,'TB YTD'!$4:$4,0),0),0)</f>
        <v>37500</v>
      </c>
      <c r="P160" s="63">
        <f>IFERROR(VLOOKUP($B160,'TB YTD'!$4:$1048576,MATCH('List of Ledgers '!P$4,'TB YTD'!$4:$4,0),0),0)</f>
        <v>35925</v>
      </c>
      <c r="Q160" s="63">
        <f>IFERROR(VLOOKUP($B160,'TB YTD'!$4:$1048576,MATCH('List of Ledgers '!Q$4,'TB YTD'!$4:$4,0),0),0)</f>
        <v>1575</v>
      </c>
      <c r="R160" s="63"/>
    </row>
    <row r="161" spans="1:20" hidden="1" x14ac:dyDescent="0.25">
      <c r="A161" s="106">
        <v>154</v>
      </c>
      <c r="B161" s="8" t="s">
        <v>332</v>
      </c>
      <c r="C161" s="8" t="s">
        <v>158</v>
      </c>
      <c r="D161" s="17" t="s">
        <v>128</v>
      </c>
      <c r="E161" s="17" t="s">
        <v>131</v>
      </c>
      <c r="G161" s="17" t="s">
        <v>4</v>
      </c>
      <c r="H161" s="62"/>
      <c r="I161" s="37">
        <f>IFERROR(VLOOKUP(B161,'TB '!$A:$G,7,),0)</f>
        <v>0</v>
      </c>
      <c r="J161" s="37">
        <f>IFERROR(VLOOKUP($B161,'TB '!$4:$1048576,MATCH('List of Ledgers '!J$4,'TB '!$4:$4,0),0),0)</f>
        <v>0</v>
      </c>
      <c r="K161" s="37">
        <f>IFERROR(VLOOKUP($B161,'TB '!$4:$1048576,MATCH('List of Ledgers '!K$4,'TB '!$4:$4,0),0),0)</f>
        <v>0</v>
      </c>
      <c r="L161" s="37">
        <f>IFERROR(VLOOKUP(B161,'TB '!$A:$J,10,),0)</f>
        <v>0</v>
      </c>
      <c r="M161" s="71"/>
      <c r="N161" s="63">
        <f>IFERROR(VLOOKUP($B161,'TB YTD'!$4:$1048576,MATCH('List of Ledgers '!N$4,'TB YTD'!$4:$4,0),0),0)</f>
        <v>0</v>
      </c>
      <c r="O161" s="63">
        <f>IFERROR(VLOOKUP($B161,'TB YTD'!$4:$1048576,MATCH('List of Ledgers '!O$4,'TB YTD'!$4:$4,0),0),0)</f>
        <v>0</v>
      </c>
      <c r="P161" s="63">
        <f>IFERROR(VLOOKUP($B161,'TB YTD'!$4:$1048576,MATCH('List of Ledgers '!P$4,'TB YTD'!$4:$4,0),0),0)</f>
        <v>0</v>
      </c>
      <c r="Q161" s="63">
        <f>IFERROR(VLOOKUP($B161,'TB YTD'!$4:$1048576,MATCH('List of Ledgers '!Q$4,'TB YTD'!$4:$4,0),0),0)</f>
        <v>0</v>
      </c>
      <c r="R161" s="63"/>
    </row>
    <row r="162" spans="1:20" hidden="1" x14ac:dyDescent="0.25">
      <c r="A162" s="106">
        <v>155</v>
      </c>
      <c r="B162" s="8" t="s">
        <v>333</v>
      </c>
      <c r="C162" s="8" t="s">
        <v>136</v>
      </c>
      <c r="D162" s="12" t="s">
        <v>128</v>
      </c>
      <c r="E162" s="12" t="s">
        <v>134</v>
      </c>
      <c r="G162" s="12" t="s">
        <v>2</v>
      </c>
      <c r="H162" s="62"/>
      <c r="I162" s="37">
        <f>IFERROR(VLOOKUP(B162,'TB '!$A:$G,7,),0)</f>
        <v>0</v>
      </c>
      <c r="J162" s="37">
        <f>IFERROR(VLOOKUP($B162,'TB '!$4:$1048576,MATCH('List of Ledgers '!J$4,'TB '!$4:$4,0),0),0)</f>
        <v>0</v>
      </c>
      <c r="K162" s="37">
        <f>IFERROR(VLOOKUP($B162,'TB '!$4:$1048576,MATCH('List of Ledgers '!K$4,'TB '!$4:$4,0),0),0)</f>
        <v>0</v>
      </c>
      <c r="L162" s="37">
        <f>IFERROR(VLOOKUP(B162,'TB '!$A:$J,10,),0)</f>
        <v>0</v>
      </c>
      <c r="M162" s="71"/>
      <c r="N162" s="63">
        <f>IFERROR(VLOOKUP($B162,'TB YTD'!$4:$1048576,MATCH('List of Ledgers '!N$4,'TB YTD'!$4:$4,0),0),0)</f>
        <v>57909</v>
      </c>
      <c r="O162" s="63">
        <f>IFERROR(VLOOKUP($B162,'TB YTD'!$4:$1048576,MATCH('List of Ledgers '!O$4,'TB YTD'!$4:$4,0),0),0)</f>
        <v>0</v>
      </c>
      <c r="P162" s="63">
        <f>IFERROR(VLOOKUP($B162,'TB YTD'!$4:$1048576,MATCH('List of Ledgers '!P$4,'TB YTD'!$4:$4,0),0),0)</f>
        <v>57909</v>
      </c>
      <c r="Q162" s="63">
        <f>IFERROR(VLOOKUP($B162,'TB YTD'!$4:$1048576,MATCH('List of Ledgers '!Q$4,'TB YTD'!$4:$4,0),0),0)</f>
        <v>0</v>
      </c>
      <c r="R162" s="63"/>
    </row>
    <row r="163" spans="1:20" hidden="1" x14ac:dyDescent="0.25">
      <c r="A163" s="106">
        <v>156</v>
      </c>
      <c r="B163" s="8" t="s">
        <v>334</v>
      </c>
      <c r="C163" s="8" t="s">
        <v>133</v>
      </c>
      <c r="D163" s="17" t="s">
        <v>128</v>
      </c>
      <c r="E163" s="17" t="s">
        <v>134</v>
      </c>
      <c r="G163" s="17" t="s">
        <v>2</v>
      </c>
      <c r="H163" s="62"/>
      <c r="I163" s="37">
        <f>IFERROR(VLOOKUP(B163,'TB '!$A:$G,7,),0)</f>
        <v>0</v>
      </c>
      <c r="J163" s="37">
        <f>IFERROR(VLOOKUP($B163,'TB '!$4:$1048576,MATCH('List of Ledgers '!J$4,'TB '!$4:$4,0),0),0)</f>
        <v>0</v>
      </c>
      <c r="K163" s="37">
        <f>IFERROR(VLOOKUP($B163,'TB '!$4:$1048576,MATCH('List of Ledgers '!K$4,'TB '!$4:$4,0),0),0)</f>
        <v>0</v>
      </c>
      <c r="L163" s="37">
        <f>IFERROR(VLOOKUP(B163,'TB '!$A:$J,10,),0)</f>
        <v>0</v>
      </c>
      <c r="M163" s="71"/>
      <c r="N163" s="63">
        <f>IFERROR(VLOOKUP($B163,'TB YTD'!$4:$1048576,MATCH('List of Ledgers '!N$4,'TB YTD'!$4:$4,0),0),0)</f>
        <v>0</v>
      </c>
      <c r="O163" s="63">
        <f>IFERROR(VLOOKUP($B163,'TB YTD'!$4:$1048576,MATCH('List of Ledgers '!O$4,'TB YTD'!$4:$4,0),0),0)</f>
        <v>0</v>
      </c>
      <c r="P163" s="63">
        <f>IFERROR(VLOOKUP($B163,'TB YTD'!$4:$1048576,MATCH('List of Ledgers '!P$4,'TB YTD'!$4:$4,0),0),0)</f>
        <v>0</v>
      </c>
      <c r="Q163" s="63">
        <f>IFERROR(VLOOKUP($B163,'TB YTD'!$4:$1048576,MATCH('List of Ledgers '!Q$4,'TB YTD'!$4:$4,0),0),0)</f>
        <v>0</v>
      </c>
      <c r="R163" s="63"/>
    </row>
    <row r="164" spans="1:20" s="126" customFormat="1" hidden="1" x14ac:dyDescent="0.25">
      <c r="A164" s="106">
        <v>157</v>
      </c>
      <c r="B164" s="8" t="s">
        <v>335</v>
      </c>
      <c r="C164" s="8" t="s">
        <v>124</v>
      </c>
      <c r="D164" s="17"/>
      <c r="E164" s="17"/>
      <c r="F164" s="12"/>
      <c r="G164" s="17"/>
      <c r="H164" s="62"/>
      <c r="I164" s="37">
        <f>IFERROR(VLOOKUP(B164,'TB '!$A:$G,7,),0)</f>
        <v>4735.38</v>
      </c>
      <c r="J164" s="37">
        <f>IFERROR(VLOOKUP($B164,'TB '!$4:$1048576,MATCH('List of Ledgers '!J$4,'TB '!$4:$4,0),0),0)</f>
        <v>0</v>
      </c>
      <c r="K164" s="37">
        <f>IFERROR(VLOOKUP($B164,'TB '!$4:$1048576,MATCH('List of Ledgers '!K$4,'TB '!$4:$4,0),0),0)</f>
        <v>0</v>
      </c>
      <c r="L164" s="37">
        <f>IFERROR(VLOOKUP(B164,'TB '!$A:$J,10,),0)</f>
        <v>4735.38</v>
      </c>
      <c r="M164" s="71"/>
      <c r="N164" s="63">
        <f>IFERROR(VLOOKUP($B164,'TB YTD'!$4:$1048576,MATCH('List of Ledgers '!N$4,'TB YTD'!$4:$4,0),0),0)</f>
        <v>4735.38</v>
      </c>
      <c r="O164" s="63">
        <f>IFERROR(VLOOKUP($B164,'TB YTD'!$4:$1048576,MATCH('List of Ledgers '!O$4,'TB YTD'!$4:$4,0),0),0)</f>
        <v>0</v>
      </c>
      <c r="P164" s="63">
        <f>IFERROR(VLOOKUP($B164,'TB YTD'!$4:$1048576,MATCH('List of Ledgers '!P$4,'TB YTD'!$4:$4,0),0),0)</f>
        <v>0</v>
      </c>
      <c r="Q164" s="63">
        <f>IFERROR(VLOOKUP($B164,'TB YTD'!$4:$1048576,MATCH('List of Ledgers '!Q$4,'TB YTD'!$4:$4,0),0),0)</f>
        <v>4735.38</v>
      </c>
      <c r="R164" s="63"/>
      <c r="S164" s="2"/>
      <c r="T164" s="2"/>
    </row>
    <row r="165" spans="1:20" hidden="1" x14ac:dyDescent="0.25">
      <c r="A165" s="106">
        <v>158</v>
      </c>
      <c r="B165" s="8" t="s">
        <v>336</v>
      </c>
      <c r="C165" s="8" t="s">
        <v>262</v>
      </c>
      <c r="D165" s="17" t="s">
        <v>151</v>
      </c>
      <c r="E165" s="17" t="s">
        <v>152</v>
      </c>
      <c r="F165" s="12" t="s">
        <v>64</v>
      </c>
      <c r="G165" s="17" t="s">
        <v>11</v>
      </c>
      <c r="H165" s="62"/>
      <c r="I165" s="37">
        <f>IFERROR(VLOOKUP(B165,'TB '!$A:$G,7,),0)</f>
        <v>0</v>
      </c>
      <c r="J165" s="37">
        <f>IFERROR(VLOOKUP($B165,'TB '!$4:$1048576,MATCH('List of Ledgers '!J$4,'TB '!$4:$4,0),0),0)</f>
        <v>0</v>
      </c>
      <c r="K165" s="37">
        <f>IFERROR(VLOOKUP($B165,'TB '!$4:$1048576,MATCH('List of Ledgers '!K$4,'TB '!$4:$4,0),0),0)</f>
        <v>0</v>
      </c>
      <c r="L165" s="37">
        <f>IFERROR(VLOOKUP(B165,'TB '!$A:$J,10,),0)</f>
        <v>0</v>
      </c>
      <c r="M165" s="71"/>
      <c r="N165" s="63">
        <f>IFERROR(VLOOKUP($B165,'TB YTD'!$4:$1048576,MATCH('List of Ledgers '!N$4,'TB YTD'!$4:$4,0),0),0)</f>
        <v>0</v>
      </c>
      <c r="O165" s="63">
        <f>IFERROR(VLOOKUP($B165,'TB YTD'!$4:$1048576,MATCH('List of Ledgers '!O$4,'TB YTD'!$4:$4,0),0),0)</f>
        <v>460.59</v>
      </c>
      <c r="P165" s="63">
        <f>IFERROR(VLOOKUP($B165,'TB YTD'!$4:$1048576,MATCH('List of Ledgers '!P$4,'TB YTD'!$4:$4,0),0),0)</f>
        <v>0</v>
      </c>
      <c r="Q165" s="63">
        <f>IFERROR(VLOOKUP($B165,'TB YTD'!$4:$1048576,MATCH('List of Ledgers '!Q$4,'TB YTD'!$4:$4,0),0),0)</f>
        <v>460.59</v>
      </c>
      <c r="R165" s="63"/>
    </row>
    <row r="166" spans="1:20" hidden="1" x14ac:dyDescent="0.25">
      <c r="A166" s="106">
        <v>159</v>
      </c>
      <c r="B166" s="8" t="s">
        <v>337</v>
      </c>
      <c r="C166" s="8" t="s">
        <v>338</v>
      </c>
      <c r="D166" s="17" t="s">
        <v>128</v>
      </c>
      <c r="E166" s="17" t="s">
        <v>134</v>
      </c>
      <c r="G166" s="17" t="s">
        <v>2</v>
      </c>
      <c r="H166" s="62"/>
      <c r="I166" s="37">
        <f>IFERROR(VLOOKUP(B166,'TB '!$A:$G,7,),0)</f>
        <v>0</v>
      </c>
      <c r="J166" s="37">
        <f>IFERROR(VLOOKUP($B166,'TB '!$4:$1048576,MATCH('List of Ledgers '!J$4,'TB '!$4:$4,0),0),0)</f>
        <v>0</v>
      </c>
      <c r="K166" s="37">
        <f>IFERROR(VLOOKUP($B166,'TB '!$4:$1048576,MATCH('List of Ledgers '!K$4,'TB '!$4:$4,0),0),0)</f>
        <v>0</v>
      </c>
      <c r="L166" s="37">
        <f>IFERROR(VLOOKUP(B166,'TB '!$A:$J,10,),0)</f>
        <v>0</v>
      </c>
      <c r="M166" s="71"/>
      <c r="N166" s="63">
        <f>IFERROR(VLOOKUP($B166,'TB YTD'!$4:$1048576,MATCH('List of Ledgers '!N$4,'TB YTD'!$4:$4,0),0),0)</f>
        <v>29198</v>
      </c>
      <c r="O166" s="63">
        <f>IFERROR(VLOOKUP($B166,'TB YTD'!$4:$1048576,MATCH('List of Ledgers '!O$4,'TB YTD'!$4:$4,0),0),0)</f>
        <v>0</v>
      </c>
      <c r="P166" s="63">
        <f>IFERROR(VLOOKUP($B166,'TB YTD'!$4:$1048576,MATCH('List of Ledgers '!P$4,'TB YTD'!$4:$4,0),0),0)</f>
        <v>29198</v>
      </c>
      <c r="Q166" s="63">
        <f>IFERROR(VLOOKUP($B166,'TB YTD'!$4:$1048576,MATCH('List of Ledgers '!Q$4,'TB YTD'!$4:$4,0),0),0)</f>
        <v>0</v>
      </c>
      <c r="R166" s="63"/>
    </row>
    <row r="167" spans="1:20" hidden="1" x14ac:dyDescent="0.25">
      <c r="A167" s="106">
        <v>160</v>
      </c>
      <c r="B167" s="8" t="s">
        <v>339</v>
      </c>
      <c r="C167" s="8" t="s">
        <v>158</v>
      </c>
      <c r="D167" s="17" t="s">
        <v>128</v>
      </c>
      <c r="E167" s="17" t="s">
        <v>131</v>
      </c>
      <c r="G167" s="17" t="s">
        <v>4</v>
      </c>
      <c r="H167" s="62"/>
      <c r="I167" s="37">
        <f>IFERROR(VLOOKUP(B167,'TB '!$A:$G,7,),0)</f>
        <v>0</v>
      </c>
      <c r="J167" s="37">
        <f>IFERROR(VLOOKUP($B167,'TB '!$4:$1048576,MATCH('List of Ledgers '!J$4,'TB '!$4:$4,0),0),0)</f>
        <v>0</v>
      </c>
      <c r="K167" s="37">
        <f>IFERROR(VLOOKUP($B167,'TB '!$4:$1048576,MATCH('List of Ledgers '!K$4,'TB '!$4:$4,0),0),0)</f>
        <v>0</v>
      </c>
      <c r="L167" s="37">
        <f>IFERROR(VLOOKUP(B167,'TB '!$A:$J,10,),0)</f>
        <v>0</v>
      </c>
      <c r="M167" s="71"/>
      <c r="N167" s="63">
        <f>IFERROR(VLOOKUP($B167,'TB YTD'!$4:$1048576,MATCH('List of Ledgers '!N$4,'TB YTD'!$4:$4,0),0),0)</f>
        <v>0</v>
      </c>
      <c r="O167" s="63">
        <f>IFERROR(VLOOKUP($B167,'TB YTD'!$4:$1048576,MATCH('List of Ledgers '!O$4,'TB YTD'!$4:$4,0),0),0)</f>
        <v>0</v>
      </c>
      <c r="P167" s="63">
        <f>IFERROR(VLOOKUP($B167,'TB YTD'!$4:$1048576,MATCH('List of Ledgers '!P$4,'TB YTD'!$4:$4,0),0),0)</f>
        <v>0</v>
      </c>
      <c r="Q167" s="63">
        <f>IFERROR(VLOOKUP($B167,'TB YTD'!$4:$1048576,MATCH('List of Ledgers '!Q$4,'TB YTD'!$4:$4,0),0),0)</f>
        <v>0</v>
      </c>
      <c r="R167" s="63"/>
    </row>
    <row r="168" spans="1:20" hidden="1" x14ac:dyDescent="0.25">
      <c r="A168" s="106">
        <v>161</v>
      </c>
      <c r="B168" s="8" t="s">
        <v>340</v>
      </c>
      <c r="C168" s="8" t="s">
        <v>140</v>
      </c>
      <c r="D168" s="17" t="s">
        <v>128</v>
      </c>
      <c r="E168" s="17" t="s">
        <v>131</v>
      </c>
      <c r="G168" s="17" t="s">
        <v>7</v>
      </c>
      <c r="H168" s="62"/>
      <c r="I168" s="37">
        <f>IFERROR(VLOOKUP(B168,'TB '!$A:$G,7,),0)</f>
        <v>0</v>
      </c>
      <c r="J168" s="37">
        <f>IFERROR(VLOOKUP($B168,'TB '!$4:$1048576,MATCH('List of Ledgers '!J$4,'TB '!$4:$4,0),0),0)</f>
        <v>0</v>
      </c>
      <c r="K168" s="37">
        <f>IFERROR(VLOOKUP($B168,'TB '!$4:$1048576,MATCH('List of Ledgers '!K$4,'TB '!$4:$4,0),0),0)</f>
        <v>0</v>
      </c>
      <c r="L168" s="37">
        <f>IFERROR(VLOOKUP(B168,'TB '!$A:$J,10,),0)</f>
        <v>0</v>
      </c>
      <c r="M168" s="71"/>
      <c r="N168" s="63">
        <f>IFERROR(VLOOKUP($B168,'TB YTD'!$4:$1048576,MATCH('List of Ledgers '!N$4,'TB YTD'!$4:$4,0),0),0)</f>
        <v>0</v>
      </c>
      <c r="O168" s="63">
        <f>IFERROR(VLOOKUP($B168,'TB YTD'!$4:$1048576,MATCH('List of Ledgers '!O$4,'TB YTD'!$4:$4,0),0),0)</f>
        <v>0</v>
      </c>
      <c r="P168" s="63">
        <f>IFERROR(VLOOKUP($B168,'TB YTD'!$4:$1048576,MATCH('List of Ledgers '!P$4,'TB YTD'!$4:$4,0),0),0)</f>
        <v>0</v>
      </c>
      <c r="Q168" s="63">
        <f>IFERROR(VLOOKUP($B168,'TB YTD'!$4:$1048576,MATCH('List of Ledgers '!Q$4,'TB YTD'!$4:$4,0),0),0)</f>
        <v>0</v>
      </c>
      <c r="R168" s="63"/>
    </row>
    <row r="169" spans="1:20" hidden="1" x14ac:dyDescent="0.25">
      <c r="A169" s="106">
        <v>162</v>
      </c>
      <c r="B169" s="8" t="s">
        <v>341</v>
      </c>
      <c r="C169" s="8" t="s">
        <v>133</v>
      </c>
      <c r="D169" s="17" t="s">
        <v>128</v>
      </c>
      <c r="E169" s="17" t="s">
        <v>134</v>
      </c>
      <c r="G169" s="17" t="s">
        <v>2</v>
      </c>
      <c r="H169" s="62"/>
      <c r="I169" s="37">
        <f>IFERROR(VLOOKUP(B169,'TB '!$A:$G,7,),0)</f>
        <v>0</v>
      </c>
      <c r="J169" s="37">
        <f>IFERROR(VLOOKUP($B169,'TB '!$4:$1048576,MATCH('List of Ledgers '!J$4,'TB '!$4:$4,0),0),0)</f>
        <v>0</v>
      </c>
      <c r="K169" s="37">
        <f>IFERROR(VLOOKUP($B169,'TB '!$4:$1048576,MATCH('List of Ledgers '!K$4,'TB '!$4:$4,0),0),0)</f>
        <v>0</v>
      </c>
      <c r="L169" s="37">
        <f>IFERROR(VLOOKUP(B169,'TB '!$A:$J,10,),0)</f>
        <v>0</v>
      </c>
      <c r="M169" s="71"/>
      <c r="N169" s="63">
        <f>IFERROR(VLOOKUP($B169,'TB YTD'!$4:$1048576,MATCH('List of Ledgers '!N$4,'TB YTD'!$4:$4,0),0),0)</f>
        <v>0</v>
      </c>
      <c r="O169" s="63">
        <f>IFERROR(VLOOKUP($B169,'TB YTD'!$4:$1048576,MATCH('List of Ledgers '!O$4,'TB YTD'!$4:$4,0),0),0)</f>
        <v>78720</v>
      </c>
      <c r="P169" s="63">
        <f>IFERROR(VLOOKUP($B169,'TB YTD'!$4:$1048576,MATCH('List of Ledgers '!P$4,'TB YTD'!$4:$4,0),0),0)</f>
        <v>78720</v>
      </c>
      <c r="Q169" s="63">
        <f>IFERROR(VLOOKUP($B169,'TB YTD'!$4:$1048576,MATCH('List of Ledgers '!Q$4,'TB YTD'!$4:$4,0),0),0)</f>
        <v>0</v>
      </c>
      <c r="R169" s="63"/>
    </row>
    <row r="170" spans="1:20" hidden="1" x14ac:dyDescent="0.25">
      <c r="A170" s="106">
        <v>163</v>
      </c>
      <c r="B170" s="8" t="s">
        <v>342</v>
      </c>
      <c r="C170" s="8" t="s">
        <v>124</v>
      </c>
      <c r="D170" s="17"/>
      <c r="E170" s="17"/>
      <c r="G170" s="17"/>
      <c r="H170" s="62"/>
      <c r="I170" s="37">
        <f>IFERROR(VLOOKUP(B170,'TB '!$A:$G,7,),0)</f>
        <v>13273.49</v>
      </c>
      <c r="J170" s="37">
        <f>IFERROR(VLOOKUP($B170,'TB '!$4:$1048576,MATCH('List of Ledgers '!J$4,'TB '!$4:$4,0),0),0)</f>
        <v>0</v>
      </c>
      <c r="K170" s="37">
        <f>IFERROR(VLOOKUP($B170,'TB '!$4:$1048576,MATCH('List of Ledgers '!K$4,'TB '!$4:$4,0),0),0)</f>
        <v>0</v>
      </c>
      <c r="L170" s="37">
        <f>IFERROR(VLOOKUP(B170,'TB '!$A:$J,10,),0)</f>
        <v>13273.49</v>
      </c>
      <c r="M170" s="71"/>
      <c r="N170" s="63">
        <f>IFERROR(VLOOKUP($B170,'TB YTD'!$4:$1048576,MATCH('List of Ledgers '!N$4,'TB YTD'!$4:$4,0),0),0)</f>
        <v>13273.49</v>
      </c>
      <c r="O170" s="63">
        <f>IFERROR(VLOOKUP($B170,'TB YTD'!$4:$1048576,MATCH('List of Ledgers '!O$4,'TB YTD'!$4:$4,0),0),0)</f>
        <v>0</v>
      </c>
      <c r="P170" s="63">
        <f>IFERROR(VLOOKUP($B170,'TB YTD'!$4:$1048576,MATCH('List of Ledgers '!P$4,'TB YTD'!$4:$4,0),0),0)</f>
        <v>0</v>
      </c>
      <c r="Q170" s="63">
        <f>IFERROR(VLOOKUP($B170,'TB YTD'!$4:$1048576,MATCH('List of Ledgers '!Q$4,'TB YTD'!$4:$4,0),0),0)</f>
        <v>13273.49</v>
      </c>
      <c r="R170" s="63"/>
    </row>
    <row r="171" spans="1:20" hidden="1" x14ac:dyDescent="0.25">
      <c r="A171" s="106">
        <v>164</v>
      </c>
      <c r="B171" s="8" t="s">
        <v>343</v>
      </c>
      <c r="C171" s="8" t="s">
        <v>275</v>
      </c>
      <c r="D171" s="17" t="s">
        <v>151</v>
      </c>
      <c r="E171" s="17" t="s">
        <v>152</v>
      </c>
      <c r="F171" s="12" t="s">
        <v>64</v>
      </c>
      <c r="G171" s="17" t="s">
        <v>7</v>
      </c>
      <c r="H171" s="62"/>
      <c r="I171" s="37">
        <f>IFERROR(VLOOKUP(B171,'TB '!$A:$G,7,),0)</f>
        <v>0</v>
      </c>
      <c r="J171" s="37">
        <f>IFERROR(VLOOKUP($B171,'TB '!$4:$1048576,MATCH('List of Ledgers '!J$4,'TB '!$4:$4,0),0),0)</f>
        <v>0</v>
      </c>
      <c r="K171" s="37">
        <f>IFERROR(VLOOKUP($B171,'TB '!$4:$1048576,MATCH('List of Ledgers '!K$4,'TB '!$4:$4,0),0),0)</f>
        <v>0</v>
      </c>
      <c r="L171" s="37">
        <f>IFERROR(VLOOKUP(B171,'TB '!$A:$J,10,),0)</f>
        <v>0</v>
      </c>
      <c r="M171" s="71"/>
      <c r="N171" s="63">
        <f>IFERROR(VLOOKUP($B171,'TB YTD'!$4:$1048576,MATCH('List of Ledgers '!N$4,'TB YTD'!$4:$4,0),0),0)</f>
        <v>0</v>
      </c>
      <c r="O171" s="63">
        <f>IFERROR(VLOOKUP($B171,'TB YTD'!$4:$1048576,MATCH('List of Ledgers '!O$4,'TB YTD'!$4:$4,0),0),0)</f>
        <v>8282.84</v>
      </c>
      <c r="P171" s="63">
        <f>IFERROR(VLOOKUP($B171,'TB YTD'!$4:$1048576,MATCH('List of Ledgers '!P$4,'TB YTD'!$4:$4,0),0),0)</f>
        <v>0</v>
      </c>
      <c r="Q171" s="63">
        <f>IFERROR(VLOOKUP($B171,'TB YTD'!$4:$1048576,MATCH('List of Ledgers '!Q$4,'TB YTD'!$4:$4,0),0),0)</f>
        <v>8282.84</v>
      </c>
      <c r="R171" s="63"/>
    </row>
    <row r="172" spans="1:20" hidden="1" x14ac:dyDescent="0.25">
      <c r="A172" s="106">
        <v>165</v>
      </c>
      <c r="B172" s="8" t="s">
        <v>344</v>
      </c>
      <c r="C172" s="8" t="s">
        <v>189</v>
      </c>
      <c r="D172" s="17" t="s">
        <v>151</v>
      </c>
      <c r="E172" s="17" t="s">
        <v>152</v>
      </c>
      <c r="F172" s="12" t="s">
        <v>48</v>
      </c>
      <c r="G172" s="17" t="s">
        <v>7</v>
      </c>
      <c r="H172" s="62"/>
      <c r="I172" s="37">
        <f>IFERROR(VLOOKUP(B172,'TB '!$A:$G,7,),0)</f>
        <v>0</v>
      </c>
      <c r="J172" s="37">
        <f>IFERROR(VLOOKUP($B172,'TB '!$4:$1048576,MATCH('List of Ledgers '!J$4,'TB '!$4:$4,0),0),0)</f>
        <v>0</v>
      </c>
      <c r="K172" s="37">
        <f>IFERROR(VLOOKUP($B172,'TB '!$4:$1048576,MATCH('List of Ledgers '!K$4,'TB '!$4:$4,0),0),0)</f>
        <v>0</v>
      </c>
      <c r="L172" s="37">
        <f>IFERROR(VLOOKUP(B172,'TB '!$A:$J,10,),0)</f>
        <v>0</v>
      </c>
      <c r="M172" s="71"/>
      <c r="N172" s="63">
        <f>IFERROR(VLOOKUP($B172,'TB YTD'!$4:$1048576,MATCH('List of Ledgers '!N$4,'TB YTD'!$4:$4,0),0),0)</f>
        <v>0</v>
      </c>
      <c r="O172" s="63">
        <f>IFERROR(VLOOKUP($B172,'TB YTD'!$4:$1048576,MATCH('List of Ledgers '!O$4,'TB YTD'!$4:$4,0),0),0)</f>
        <v>0</v>
      </c>
      <c r="P172" s="63">
        <f>IFERROR(VLOOKUP($B172,'TB YTD'!$4:$1048576,MATCH('List of Ledgers '!P$4,'TB YTD'!$4:$4,0),0),0)</f>
        <v>0</v>
      </c>
      <c r="Q172" s="63">
        <f>IFERROR(VLOOKUP($B172,'TB YTD'!$4:$1048576,MATCH('List of Ledgers '!Q$4,'TB YTD'!$4:$4,0),0),0)</f>
        <v>0</v>
      </c>
      <c r="R172" s="63"/>
    </row>
    <row r="173" spans="1:20" hidden="1" x14ac:dyDescent="0.25">
      <c r="A173" s="106">
        <v>166</v>
      </c>
      <c r="B173" s="8" t="s">
        <v>345</v>
      </c>
      <c r="C173" s="8" t="s">
        <v>267</v>
      </c>
      <c r="D173" s="17" t="s">
        <v>128</v>
      </c>
      <c r="E173" s="17" t="s">
        <v>134</v>
      </c>
      <c r="G173" s="17" t="s">
        <v>2</v>
      </c>
      <c r="H173" s="62"/>
      <c r="I173" s="37">
        <f>IFERROR(VLOOKUP(B173,'TB '!$A:$G,7,),0)</f>
        <v>0</v>
      </c>
      <c r="J173" s="37">
        <f>IFERROR(VLOOKUP($B173,'TB '!$4:$1048576,MATCH('List of Ledgers '!J$4,'TB '!$4:$4,0),0),0)</f>
        <v>0</v>
      </c>
      <c r="K173" s="37">
        <f>IFERROR(VLOOKUP($B173,'TB '!$4:$1048576,MATCH('List of Ledgers '!K$4,'TB '!$4:$4,0),0),0)</f>
        <v>0</v>
      </c>
      <c r="L173" s="37">
        <f>IFERROR(VLOOKUP(B173,'TB '!$A:$J,10,),0)</f>
        <v>0</v>
      </c>
      <c r="M173" s="71"/>
      <c r="N173" s="63">
        <f>IFERROR(VLOOKUP($B173,'TB YTD'!$4:$1048576,MATCH('List of Ledgers '!N$4,'TB YTD'!$4:$4,0),0),0)</f>
        <v>0</v>
      </c>
      <c r="O173" s="63">
        <f>IFERROR(VLOOKUP($B173,'TB YTD'!$4:$1048576,MATCH('List of Ledgers '!O$4,'TB YTD'!$4:$4,0),0),0)</f>
        <v>0</v>
      </c>
      <c r="P173" s="63">
        <f>IFERROR(VLOOKUP($B173,'TB YTD'!$4:$1048576,MATCH('List of Ledgers '!P$4,'TB YTD'!$4:$4,0),0),0)</f>
        <v>0</v>
      </c>
      <c r="Q173" s="63">
        <f>IFERROR(VLOOKUP($B173,'TB YTD'!$4:$1048576,MATCH('List of Ledgers '!Q$4,'TB YTD'!$4:$4,0),0),0)</f>
        <v>0</v>
      </c>
      <c r="R173" s="63"/>
    </row>
    <row r="174" spans="1:20" hidden="1" x14ac:dyDescent="0.25">
      <c r="A174" s="106">
        <v>167</v>
      </c>
      <c r="B174" s="8" t="s">
        <v>346</v>
      </c>
      <c r="C174" s="8" t="s">
        <v>124</v>
      </c>
      <c r="D174" s="17"/>
      <c r="E174" s="17"/>
      <c r="G174" s="17"/>
      <c r="H174" s="62"/>
      <c r="I174" s="37">
        <f>IFERROR(VLOOKUP(B174,'TB '!$A:$G,7,),0)</f>
        <v>261129.93</v>
      </c>
      <c r="J174" s="37">
        <f>IFERROR(VLOOKUP($B174,'TB '!$4:$1048576,MATCH('List of Ledgers '!J$4,'TB '!$4:$4,0),0),0)</f>
        <v>0</v>
      </c>
      <c r="K174" s="37">
        <f>IFERROR(VLOOKUP($B174,'TB '!$4:$1048576,MATCH('List of Ledgers '!K$4,'TB '!$4:$4,0),0),0)</f>
        <v>0</v>
      </c>
      <c r="L174" s="37">
        <f>IFERROR(VLOOKUP(B174,'TB '!$A:$J,10,),0)</f>
        <v>261129.93</v>
      </c>
      <c r="M174" s="71"/>
      <c r="N174" s="63">
        <f>IFERROR(VLOOKUP($B174,'TB YTD'!$4:$1048576,MATCH('List of Ledgers '!N$4,'TB YTD'!$4:$4,0),0),0)</f>
        <v>261129.93</v>
      </c>
      <c r="O174" s="63">
        <f>IFERROR(VLOOKUP($B174,'TB YTD'!$4:$1048576,MATCH('List of Ledgers '!O$4,'TB YTD'!$4:$4,0),0),0)</f>
        <v>0</v>
      </c>
      <c r="P174" s="63">
        <f>IFERROR(VLOOKUP($B174,'TB YTD'!$4:$1048576,MATCH('List of Ledgers '!P$4,'TB YTD'!$4:$4,0),0),0)</f>
        <v>0</v>
      </c>
      <c r="Q174" s="63">
        <f>IFERROR(VLOOKUP($B174,'TB YTD'!$4:$1048576,MATCH('List of Ledgers '!Q$4,'TB YTD'!$4:$4,0),0),0)</f>
        <v>261129.93</v>
      </c>
      <c r="R174" s="63"/>
    </row>
    <row r="175" spans="1:20" hidden="1" x14ac:dyDescent="0.25">
      <c r="A175" s="106">
        <v>168</v>
      </c>
      <c r="B175" s="8" t="s">
        <v>347</v>
      </c>
      <c r="C175" s="8" t="s">
        <v>185</v>
      </c>
      <c r="D175" s="106" t="s">
        <v>128</v>
      </c>
      <c r="E175" s="17" t="s">
        <v>134</v>
      </c>
      <c r="G175" s="17" t="s">
        <v>3</v>
      </c>
      <c r="H175" s="62"/>
      <c r="I175" s="37">
        <f>IFERROR(VLOOKUP(B175,'TB '!$A:$G,7,),0)</f>
        <v>0</v>
      </c>
      <c r="J175" s="37">
        <f>IFERROR(VLOOKUP($B175,'TB '!$4:$1048576,MATCH('List of Ledgers '!J$4,'TB '!$4:$4,0),0),0)</f>
        <v>0</v>
      </c>
      <c r="K175" s="37">
        <f>IFERROR(VLOOKUP($B175,'TB '!$4:$1048576,MATCH('List of Ledgers '!K$4,'TB '!$4:$4,0),0),0)</f>
        <v>0</v>
      </c>
      <c r="L175" s="37">
        <f>IFERROR(VLOOKUP(B175,'TB '!$A:$J,10,),0)</f>
        <v>0</v>
      </c>
      <c r="M175" s="71"/>
      <c r="N175" s="63">
        <f>IFERROR(VLOOKUP($B175,'TB YTD'!$4:$1048576,MATCH('List of Ledgers '!N$4,'TB YTD'!$4:$4,0),0),0)</f>
        <v>0</v>
      </c>
      <c r="O175" s="63">
        <f>IFERROR(VLOOKUP($B175,'TB YTD'!$4:$1048576,MATCH('List of Ledgers '!O$4,'TB YTD'!$4:$4,0),0),0)</f>
        <v>0</v>
      </c>
      <c r="P175" s="63">
        <f>IFERROR(VLOOKUP($B175,'TB YTD'!$4:$1048576,MATCH('List of Ledgers '!P$4,'TB YTD'!$4:$4,0),0),0)</f>
        <v>0</v>
      </c>
      <c r="Q175" s="63">
        <f>IFERROR(VLOOKUP($B175,'TB YTD'!$4:$1048576,MATCH('List of Ledgers '!Q$4,'TB YTD'!$4:$4,0),0),0)</f>
        <v>0</v>
      </c>
      <c r="R175" s="63"/>
    </row>
    <row r="176" spans="1:20" hidden="1" x14ac:dyDescent="0.25">
      <c r="A176" s="106">
        <v>169</v>
      </c>
      <c r="B176" s="8" t="s">
        <v>348</v>
      </c>
      <c r="C176" s="8" t="s">
        <v>124</v>
      </c>
      <c r="D176" s="17"/>
      <c r="E176" s="17"/>
      <c r="G176" s="17"/>
      <c r="H176" s="62"/>
      <c r="I176" s="37">
        <f>IFERROR(VLOOKUP(B176,'TB '!$A:$G,7,),0)</f>
        <v>442000</v>
      </c>
      <c r="J176" s="37">
        <f>IFERROR(VLOOKUP($B176,'TB '!$4:$1048576,MATCH('List of Ledgers '!J$4,'TB '!$4:$4,0),0),0)</f>
        <v>0</v>
      </c>
      <c r="K176" s="37">
        <f>IFERROR(VLOOKUP($B176,'TB '!$4:$1048576,MATCH('List of Ledgers '!K$4,'TB '!$4:$4,0),0),0)</f>
        <v>0</v>
      </c>
      <c r="L176" s="37">
        <f>IFERROR(VLOOKUP(B176,'TB '!$A:$J,10,),0)</f>
        <v>442000</v>
      </c>
      <c r="M176" s="71"/>
      <c r="N176" s="63">
        <f>IFERROR(VLOOKUP($B176,'TB YTD'!$4:$1048576,MATCH('List of Ledgers '!N$4,'TB YTD'!$4:$4,0),0),0)</f>
        <v>442000</v>
      </c>
      <c r="O176" s="63">
        <f>IFERROR(VLOOKUP($B176,'TB YTD'!$4:$1048576,MATCH('List of Ledgers '!O$4,'TB YTD'!$4:$4,0),0),0)</f>
        <v>0</v>
      </c>
      <c r="P176" s="63">
        <f>IFERROR(VLOOKUP($B176,'TB YTD'!$4:$1048576,MATCH('List of Ledgers '!P$4,'TB YTD'!$4:$4,0),0),0)</f>
        <v>0</v>
      </c>
      <c r="Q176" s="63">
        <f>IFERROR(VLOOKUP($B176,'TB YTD'!$4:$1048576,MATCH('List of Ledgers '!Q$4,'TB YTD'!$4:$4,0),0),0)</f>
        <v>442000</v>
      </c>
      <c r="R176" s="63"/>
    </row>
    <row r="177" spans="1:18" hidden="1" x14ac:dyDescent="0.25">
      <c r="A177" s="106">
        <v>170</v>
      </c>
      <c r="B177" s="8" t="s">
        <v>349</v>
      </c>
      <c r="C177" s="8" t="s">
        <v>350</v>
      </c>
      <c r="D177" s="17" t="s">
        <v>151</v>
      </c>
      <c r="E177" s="17" t="s">
        <v>351</v>
      </c>
      <c r="F177" s="12" t="s">
        <v>27</v>
      </c>
      <c r="G177" s="17" t="s">
        <v>2</v>
      </c>
      <c r="H177" s="62"/>
      <c r="I177" s="37">
        <f>IFERROR(VLOOKUP(B177,'TB '!$A:$G,7,),0)</f>
        <v>0</v>
      </c>
      <c r="J177" s="37">
        <f>IFERROR(VLOOKUP($B177,'TB '!$4:$1048576,MATCH('List of Ledgers '!J$4,'TB '!$4:$4,0),0),0)</f>
        <v>0</v>
      </c>
      <c r="K177" s="37">
        <f>IFERROR(VLOOKUP($B177,'TB '!$4:$1048576,MATCH('List of Ledgers '!K$4,'TB '!$4:$4,0),0),0)</f>
        <v>0</v>
      </c>
      <c r="L177" s="37">
        <f>IFERROR(VLOOKUP(B177,'TB '!$A:$J,10,),0)</f>
        <v>0</v>
      </c>
      <c r="M177" s="71"/>
      <c r="N177" s="63">
        <f>IFERROR(VLOOKUP($B177,'TB YTD'!$4:$1048576,MATCH('List of Ledgers '!N$4,'TB YTD'!$4:$4,0),0),0)</f>
        <v>0</v>
      </c>
      <c r="O177" s="63">
        <f>IFERROR(VLOOKUP($B177,'TB YTD'!$4:$1048576,MATCH('List of Ledgers '!O$4,'TB YTD'!$4:$4,0),0),0)</f>
        <v>0</v>
      </c>
      <c r="P177" s="63">
        <f>IFERROR(VLOOKUP($B177,'TB YTD'!$4:$1048576,MATCH('List of Ledgers '!P$4,'TB YTD'!$4:$4,0),0),0)</f>
        <v>0</v>
      </c>
      <c r="Q177" s="63">
        <f>IFERROR(VLOOKUP($B177,'TB YTD'!$4:$1048576,MATCH('List of Ledgers '!Q$4,'TB YTD'!$4:$4,0),0),0)</f>
        <v>0</v>
      </c>
      <c r="R177" s="63"/>
    </row>
    <row r="178" spans="1:18" hidden="1" x14ac:dyDescent="0.25">
      <c r="A178" s="106">
        <v>171</v>
      </c>
      <c r="B178" s="2" t="s">
        <v>352</v>
      </c>
      <c r="C178" s="2" t="s">
        <v>158</v>
      </c>
      <c r="D178" s="17" t="s">
        <v>128</v>
      </c>
      <c r="E178" s="17" t="s">
        <v>131</v>
      </c>
      <c r="G178" s="17" t="s">
        <v>4</v>
      </c>
      <c r="I178" s="37">
        <f>IFERROR(VLOOKUP(B178,'TB '!$A:$G,7,),0)</f>
        <v>282</v>
      </c>
      <c r="J178" s="37">
        <f>IFERROR(VLOOKUP($B178,'TB '!$4:$1048576,MATCH('List of Ledgers '!J$4,'TB '!$4:$4,0),0),0)</f>
        <v>0</v>
      </c>
      <c r="K178" s="37">
        <f>IFERROR(VLOOKUP($B178,'TB '!$4:$1048576,MATCH('List of Ledgers '!K$4,'TB '!$4:$4,0),0),0)</f>
        <v>0</v>
      </c>
      <c r="L178" s="37">
        <f>IFERROR(VLOOKUP(B178,'TB '!$A:$J,10,),0)</f>
        <v>282</v>
      </c>
      <c r="M178" s="71"/>
      <c r="N178" s="63">
        <f>IFERROR(VLOOKUP($B178,'TB YTD'!$4:$1048576,MATCH('List of Ledgers '!N$4,'TB YTD'!$4:$4,0),0),0)</f>
        <v>0</v>
      </c>
      <c r="O178" s="63">
        <f>IFERROR(VLOOKUP($B178,'TB YTD'!$4:$1048576,MATCH('List of Ledgers '!O$4,'TB YTD'!$4:$4,0),0),0)</f>
        <v>6232783</v>
      </c>
      <c r="P178" s="63">
        <f>IFERROR(VLOOKUP($B178,'TB YTD'!$4:$1048576,MATCH('List of Ledgers '!P$4,'TB YTD'!$4:$4,0),0),0)</f>
        <v>6232501</v>
      </c>
      <c r="Q178" s="63">
        <f>IFERROR(VLOOKUP($B178,'TB YTD'!$4:$1048576,MATCH('List of Ledgers '!Q$4,'TB YTD'!$4:$4,0),0),0)</f>
        <v>282</v>
      </c>
    </row>
    <row r="179" spans="1:18" hidden="1" x14ac:dyDescent="0.25">
      <c r="A179" s="106">
        <v>172</v>
      </c>
      <c r="B179" s="8" t="s">
        <v>353</v>
      </c>
      <c r="C179" s="8" t="s">
        <v>187</v>
      </c>
      <c r="D179" s="17" t="s">
        <v>128</v>
      </c>
      <c r="E179" s="17" t="s">
        <v>134</v>
      </c>
      <c r="G179" s="17" t="s">
        <v>2</v>
      </c>
      <c r="H179" s="62"/>
      <c r="I179" s="37">
        <f>IFERROR(VLOOKUP(B179,'TB '!$A:$G,7,),0)</f>
        <v>0</v>
      </c>
      <c r="J179" s="37">
        <f>IFERROR(VLOOKUP($B179,'TB '!$4:$1048576,MATCH('List of Ledgers '!J$4,'TB '!$4:$4,0),0),0)</f>
        <v>0</v>
      </c>
      <c r="K179" s="37">
        <f>IFERROR(VLOOKUP($B179,'TB '!$4:$1048576,MATCH('List of Ledgers '!K$4,'TB '!$4:$4,0),0),0)</f>
        <v>0</v>
      </c>
      <c r="L179" s="37">
        <f>IFERROR(VLOOKUP(B179,'TB '!$A:$J,10,),0)</f>
        <v>0</v>
      </c>
      <c r="M179" s="71"/>
      <c r="N179" s="63">
        <f>IFERROR(VLOOKUP($B179,'TB YTD'!$4:$1048576,MATCH('List of Ledgers '!N$4,'TB YTD'!$4:$4,0),0),0)</f>
        <v>0</v>
      </c>
      <c r="O179" s="63">
        <f>IFERROR(VLOOKUP($B179,'TB YTD'!$4:$1048576,MATCH('List of Ledgers '!O$4,'TB YTD'!$4:$4,0),0),0)</f>
        <v>0</v>
      </c>
      <c r="P179" s="63">
        <f>IFERROR(VLOOKUP($B179,'TB YTD'!$4:$1048576,MATCH('List of Ledgers '!P$4,'TB YTD'!$4:$4,0),0),0)</f>
        <v>0</v>
      </c>
      <c r="Q179" s="63">
        <f>IFERROR(VLOOKUP($B179,'TB YTD'!$4:$1048576,MATCH('List of Ledgers '!Q$4,'TB YTD'!$4:$4,0),0),0)</f>
        <v>0</v>
      </c>
      <c r="R179" s="63"/>
    </row>
    <row r="180" spans="1:18" hidden="1" x14ac:dyDescent="0.25">
      <c r="A180" s="106">
        <v>173</v>
      </c>
      <c r="B180" s="8" t="s">
        <v>354</v>
      </c>
      <c r="C180" s="8" t="s">
        <v>185</v>
      </c>
      <c r="D180" s="106" t="s">
        <v>128</v>
      </c>
      <c r="E180" s="17" t="s">
        <v>134</v>
      </c>
      <c r="G180" s="17" t="s">
        <v>3</v>
      </c>
      <c r="H180" s="62"/>
      <c r="I180" s="37">
        <f>IFERROR(VLOOKUP(B180,'TB '!$A:$G,7,),0)</f>
        <v>0</v>
      </c>
      <c r="J180" s="37">
        <f>IFERROR(VLOOKUP($B180,'TB '!$4:$1048576,MATCH('List of Ledgers '!J$4,'TB '!$4:$4,0),0),0)</f>
        <v>0</v>
      </c>
      <c r="K180" s="37">
        <f>IFERROR(VLOOKUP($B180,'TB '!$4:$1048576,MATCH('List of Ledgers '!K$4,'TB '!$4:$4,0),0),0)</f>
        <v>0</v>
      </c>
      <c r="L180" s="37">
        <f>IFERROR(VLOOKUP(B180,'TB '!$A:$J,10,),0)</f>
        <v>0</v>
      </c>
      <c r="M180" s="71"/>
      <c r="N180" s="63">
        <f>IFERROR(VLOOKUP($B180,'TB YTD'!$4:$1048576,MATCH('List of Ledgers '!N$4,'TB YTD'!$4:$4,0),0),0)</f>
        <v>0</v>
      </c>
      <c r="O180" s="63">
        <f>IFERROR(VLOOKUP($B180,'TB YTD'!$4:$1048576,MATCH('List of Ledgers '!O$4,'TB YTD'!$4:$4,0),0),0)</f>
        <v>109511</v>
      </c>
      <c r="P180" s="63">
        <f>IFERROR(VLOOKUP($B180,'TB YTD'!$4:$1048576,MATCH('List of Ledgers '!P$4,'TB YTD'!$4:$4,0),0),0)</f>
        <v>109511</v>
      </c>
      <c r="Q180" s="63">
        <f>IFERROR(VLOOKUP($B180,'TB YTD'!$4:$1048576,MATCH('List of Ledgers '!Q$4,'TB YTD'!$4:$4,0),0),0)</f>
        <v>0</v>
      </c>
      <c r="R180" s="63"/>
    </row>
    <row r="181" spans="1:18" hidden="1" x14ac:dyDescent="0.25">
      <c r="A181" s="106">
        <v>174</v>
      </c>
      <c r="B181" s="8" t="s">
        <v>355</v>
      </c>
      <c r="C181" s="8" t="s">
        <v>356</v>
      </c>
      <c r="D181" s="17" t="s">
        <v>128</v>
      </c>
      <c r="E181" s="17" t="s">
        <v>131</v>
      </c>
      <c r="G181" s="17" t="s">
        <v>7</v>
      </c>
      <c r="H181" s="62"/>
      <c r="I181" s="37">
        <f>IFERROR(VLOOKUP(B181,'TB '!$A:$G,7,),0)</f>
        <v>0</v>
      </c>
      <c r="J181" s="37">
        <f>IFERROR(VLOOKUP($B181,'TB '!$4:$1048576,MATCH('List of Ledgers '!J$4,'TB '!$4:$4,0),0),0)</f>
        <v>0</v>
      </c>
      <c r="K181" s="37">
        <f>IFERROR(VLOOKUP($B181,'TB '!$4:$1048576,MATCH('List of Ledgers '!K$4,'TB '!$4:$4,0),0),0)</f>
        <v>0</v>
      </c>
      <c r="L181" s="37">
        <f>IFERROR(VLOOKUP(B181,'TB '!$A:$J,10,),0)</f>
        <v>0</v>
      </c>
      <c r="M181" s="71"/>
      <c r="N181" s="63">
        <f>IFERROR(VLOOKUP($B181,'TB YTD'!$4:$1048576,MATCH('List of Ledgers '!N$4,'TB YTD'!$4:$4,0),0),0)</f>
        <v>0</v>
      </c>
      <c r="O181" s="63">
        <f>IFERROR(VLOOKUP($B181,'TB YTD'!$4:$1048576,MATCH('List of Ledgers '!O$4,'TB YTD'!$4:$4,0),0),0)</f>
        <v>0</v>
      </c>
      <c r="P181" s="63">
        <f>IFERROR(VLOOKUP($B181,'TB YTD'!$4:$1048576,MATCH('List of Ledgers '!P$4,'TB YTD'!$4:$4,0),0),0)</f>
        <v>0</v>
      </c>
      <c r="Q181" s="63">
        <f>IFERROR(VLOOKUP($B181,'TB YTD'!$4:$1048576,MATCH('List of Ledgers '!Q$4,'TB YTD'!$4:$4,0),0),0)</f>
        <v>0</v>
      </c>
      <c r="R181" s="63"/>
    </row>
    <row r="182" spans="1:18" hidden="1" x14ac:dyDescent="0.25">
      <c r="A182" s="106">
        <v>175</v>
      </c>
      <c r="B182" s="8" t="s">
        <v>357</v>
      </c>
      <c r="C182" s="8" t="s">
        <v>358</v>
      </c>
      <c r="D182" s="17"/>
      <c r="E182" s="17"/>
      <c r="G182" s="17"/>
      <c r="H182" s="62"/>
      <c r="I182" s="37">
        <f>IFERROR(VLOOKUP(B182,'TB '!$A:$G,7,),0)</f>
        <v>40000</v>
      </c>
      <c r="J182" s="37">
        <f>IFERROR(VLOOKUP($B182,'TB '!$4:$1048576,MATCH('List of Ledgers '!J$4,'TB '!$4:$4,0),0),0)</f>
        <v>0</v>
      </c>
      <c r="K182" s="37">
        <f>IFERROR(VLOOKUP($B182,'TB '!$4:$1048576,MATCH('List of Ledgers '!K$4,'TB '!$4:$4,0),0),0)</f>
        <v>0</v>
      </c>
      <c r="L182" s="37">
        <f>IFERROR(VLOOKUP(B182,'TB '!$A:$J,10,),0)</f>
        <v>40000</v>
      </c>
      <c r="M182" s="71"/>
      <c r="N182" s="63">
        <f>IFERROR(VLOOKUP($B182,'TB YTD'!$4:$1048576,MATCH('List of Ledgers '!N$4,'TB YTD'!$4:$4,0),0),0)</f>
        <v>45000</v>
      </c>
      <c r="O182" s="63">
        <f>IFERROR(VLOOKUP($B182,'TB YTD'!$4:$1048576,MATCH('List of Ledgers '!O$4,'TB YTD'!$4:$4,0),0),0)</f>
        <v>0</v>
      </c>
      <c r="P182" s="63">
        <f>IFERROR(VLOOKUP($B182,'TB YTD'!$4:$1048576,MATCH('List of Ledgers '!P$4,'TB YTD'!$4:$4,0),0),0)</f>
        <v>5000</v>
      </c>
      <c r="Q182" s="63">
        <f>IFERROR(VLOOKUP($B182,'TB YTD'!$4:$1048576,MATCH('List of Ledgers '!Q$4,'TB YTD'!$4:$4,0),0),0)</f>
        <v>40000</v>
      </c>
      <c r="R182" s="63"/>
    </row>
    <row r="183" spans="1:18" hidden="1" x14ac:dyDescent="0.25">
      <c r="A183" s="106">
        <v>176</v>
      </c>
      <c r="B183" s="8" t="s">
        <v>359</v>
      </c>
      <c r="C183" s="8" t="s">
        <v>244</v>
      </c>
      <c r="D183" s="106" t="s">
        <v>128</v>
      </c>
      <c r="E183" s="17" t="s">
        <v>134</v>
      </c>
      <c r="G183" s="17" t="s">
        <v>3</v>
      </c>
      <c r="H183" s="62"/>
      <c r="I183" s="37">
        <f>IFERROR(VLOOKUP(B183,'TB '!$A:$G,7,),0)</f>
        <v>0</v>
      </c>
      <c r="J183" s="37">
        <f>IFERROR(VLOOKUP($B183,'TB '!$4:$1048576,MATCH('List of Ledgers '!J$4,'TB '!$4:$4,0),0),0)</f>
        <v>0</v>
      </c>
      <c r="K183" s="37">
        <f>IFERROR(VLOOKUP($B183,'TB '!$4:$1048576,MATCH('List of Ledgers '!K$4,'TB '!$4:$4,0),0),0)</f>
        <v>0</v>
      </c>
      <c r="L183" s="37">
        <f>IFERROR(VLOOKUP(B183,'TB '!$A:$J,10,),0)</f>
        <v>0</v>
      </c>
      <c r="M183" s="71"/>
      <c r="N183" s="63">
        <f>IFERROR(VLOOKUP($B183,'TB YTD'!$4:$1048576,MATCH('List of Ledgers '!N$4,'TB YTD'!$4:$4,0),0),0)</f>
        <v>0</v>
      </c>
      <c r="O183" s="63">
        <f>IFERROR(VLOOKUP($B183,'TB YTD'!$4:$1048576,MATCH('List of Ledgers '!O$4,'TB YTD'!$4:$4,0),0),0)</f>
        <v>12516</v>
      </c>
      <c r="P183" s="63">
        <f>IFERROR(VLOOKUP($B183,'TB YTD'!$4:$1048576,MATCH('List of Ledgers '!P$4,'TB YTD'!$4:$4,0),0),0)</f>
        <v>12516</v>
      </c>
      <c r="Q183" s="63">
        <f>IFERROR(VLOOKUP($B183,'TB YTD'!$4:$1048576,MATCH('List of Ledgers '!Q$4,'TB YTD'!$4:$4,0),0),0)</f>
        <v>0</v>
      </c>
      <c r="R183" s="63"/>
    </row>
    <row r="184" spans="1:18" hidden="1" x14ac:dyDescent="0.25">
      <c r="A184" s="106">
        <v>177</v>
      </c>
      <c r="B184" s="8" t="s">
        <v>360</v>
      </c>
      <c r="C184" s="8" t="s">
        <v>361</v>
      </c>
      <c r="D184" s="17" t="s">
        <v>151</v>
      </c>
      <c r="E184" s="17" t="s">
        <v>362</v>
      </c>
      <c r="F184" s="12" t="s">
        <v>93</v>
      </c>
      <c r="G184" s="17" t="s">
        <v>3</v>
      </c>
      <c r="H184" s="62"/>
      <c r="I184" s="37">
        <f>IFERROR(VLOOKUP(B184,'TB '!$A:$G,7,),0)</f>
        <v>0</v>
      </c>
      <c r="J184" s="37">
        <f>IFERROR(VLOOKUP($B184,'TB '!$4:$1048576,MATCH('List of Ledgers '!J$4,'TB '!$4:$4,0),0),0)</f>
        <v>0</v>
      </c>
      <c r="K184" s="37">
        <f>IFERROR(VLOOKUP($B184,'TB '!$4:$1048576,MATCH('List of Ledgers '!K$4,'TB '!$4:$4,0),0),0)</f>
        <v>0</v>
      </c>
      <c r="L184" s="37">
        <f>IFERROR(VLOOKUP(B184,'TB '!$A:$J,10,),0)</f>
        <v>0</v>
      </c>
      <c r="M184" s="71"/>
      <c r="N184" s="63">
        <f>IFERROR(VLOOKUP($B184,'TB YTD'!$4:$1048576,MATCH('List of Ledgers '!N$4,'TB YTD'!$4:$4,0),0),0)</f>
        <v>0</v>
      </c>
      <c r="O184" s="63">
        <f>IFERROR(VLOOKUP($B184,'TB YTD'!$4:$1048576,MATCH('List of Ledgers '!O$4,'TB YTD'!$4:$4,0),0),0)</f>
        <v>0</v>
      </c>
      <c r="P184" s="63">
        <f>IFERROR(VLOOKUP($B184,'TB YTD'!$4:$1048576,MATCH('List of Ledgers '!P$4,'TB YTD'!$4:$4,0),0),0)</f>
        <v>0</v>
      </c>
      <c r="Q184" s="63">
        <f>IFERROR(VLOOKUP($B184,'TB YTD'!$4:$1048576,MATCH('List of Ledgers '!Q$4,'TB YTD'!$4:$4,0),0),0)</f>
        <v>0</v>
      </c>
      <c r="R184" s="63"/>
    </row>
    <row r="185" spans="1:18" hidden="1" x14ac:dyDescent="0.25">
      <c r="A185" s="106">
        <v>178</v>
      </c>
      <c r="B185" s="8" t="s">
        <v>363</v>
      </c>
      <c r="C185" s="8" t="s">
        <v>150</v>
      </c>
      <c r="D185" s="17" t="s">
        <v>151</v>
      </c>
      <c r="E185" s="17" t="s">
        <v>351</v>
      </c>
      <c r="F185" s="12" t="s">
        <v>27</v>
      </c>
      <c r="G185" s="17" t="s">
        <v>2</v>
      </c>
      <c r="H185" s="62"/>
      <c r="I185" s="37">
        <f>IFERROR(VLOOKUP(B185,'TB '!$A:$G,7,),0)</f>
        <v>0</v>
      </c>
      <c r="J185" s="37">
        <f>IFERROR(VLOOKUP($B185,'TB '!$4:$1048576,MATCH('List of Ledgers '!J$4,'TB '!$4:$4,0),0),0)</f>
        <v>0</v>
      </c>
      <c r="K185" s="37">
        <f>IFERROR(VLOOKUP($B185,'TB '!$4:$1048576,MATCH('List of Ledgers '!K$4,'TB '!$4:$4,0),0),0)</f>
        <v>0</v>
      </c>
      <c r="L185" s="37">
        <f>IFERROR(VLOOKUP(B185,'TB '!$A:$J,10,),0)</f>
        <v>0</v>
      </c>
      <c r="M185" s="71"/>
      <c r="N185" s="63">
        <f>IFERROR(VLOOKUP($B185,'TB YTD'!$4:$1048576,MATCH('List of Ledgers '!N$4,'TB YTD'!$4:$4,0),0),0)</f>
        <v>0</v>
      </c>
      <c r="O185" s="63">
        <f>IFERROR(VLOOKUP($B185,'TB YTD'!$4:$1048576,MATCH('List of Ledgers '!O$4,'TB YTD'!$4:$4,0),0),0)</f>
        <v>0</v>
      </c>
      <c r="P185" s="63">
        <f>IFERROR(VLOOKUP($B185,'TB YTD'!$4:$1048576,MATCH('List of Ledgers '!P$4,'TB YTD'!$4:$4,0),0),0)</f>
        <v>0</v>
      </c>
      <c r="Q185" s="63">
        <f>IFERROR(VLOOKUP($B185,'TB YTD'!$4:$1048576,MATCH('List of Ledgers '!Q$4,'TB YTD'!$4:$4,0),0),0)</f>
        <v>0</v>
      </c>
      <c r="R185" s="63"/>
    </row>
    <row r="186" spans="1:18" hidden="1" x14ac:dyDescent="0.25">
      <c r="A186" s="106">
        <v>179</v>
      </c>
      <c r="B186" s="8" t="s">
        <v>364</v>
      </c>
      <c r="C186" s="8" t="s">
        <v>365</v>
      </c>
      <c r="D186" s="17" t="s">
        <v>151</v>
      </c>
      <c r="E186" s="17" t="s">
        <v>351</v>
      </c>
      <c r="F186" s="12" t="s">
        <v>27</v>
      </c>
      <c r="G186" s="17" t="s">
        <v>3</v>
      </c>
      <c r="H186" s="62"/>
      <c r="I186" s="37">
        <f>IFERROR(VLOOKUP(B186,'TB '!$A:$G,7,),0)</f>
        <v>0</v>
      </c>
      <c r="J186" s="37">
        <f>IFERROR(VLOOKUP($B186,'TB '!$4:$1048576,MATCH('List of Ledgers '!J$4,'TB '!$4:$4,0),0),0)</f>
        <v>0</v>
      </c>
      <c r="K186" s="37">
        <f>IFERROR(VLOOKUP($B186,'TB '!$4:$1048576,MATCH('List of Ledgers '!K$4,'TB '!$4:$4,0),0),0)</f>
        <v>0</v>
      </c>
      <c r="L186" s="37">
        <f>IFERROR(VLOOKUP(B186,'TB '!$A:$J,10,),0)</f>
        <v>0</v>
      </c>
      <c r="M186" s="71"/>
      <c r="N186" s="63">
        <f>IFERROR(VLOOKUP($B186,'TB YTD'!$4:$1048576,MATCH('List of Ledgers '!N$4,'TB YTD'!$4:$4,0),0),0)</f>
        <v>0</v>
      </c>
      <c r="O186" s="63">
        <f>IFERROR(VLOOKUP($B186,'TB YTD'!$4:$1048576,MATCH('List of Ledgers '!O$4,'TB YTD'!$4:$4,0),0),0)</f>
        <v>49606.03</v>
      </c>
      <c r="P186" s="63">
        <f>IFERROR(VLOOKUP($B186,'TB YTD'!$4:$1048576,MATCH('List of Ledgers '!P$4,'TB YTD'!$4:$4,0),0),0)</f>
        <v>0</v>
      </c>
      <c r="Q186" s="63">
        <f>IFERROR(VLOOKUP($B186,'TB YTD'!$4:$1048576,MATCH('List of Ledgers '!Q$4,'TB YTD'!$4:$4,0),0),0)</f>
        <v>49606.03</v>
      </c>
      <c r="R186" s="63"/>
    </row>
    <row r="187" spans="1:18" hidden="1" x14ac:dyDescent="0.25">
      <c r="A187" s="106">
        <v>180</v>
      </c>
      <c r="B187" s="151" t="s">
        <v>366</v>
      </c>
      <c r="C187" s="151" t="s">
        <v>367</v>
      </c>
      <c r="D187" s="12" t="s">
        <v>151</v>
      </c>
      <c r="E187" s="12" t="s">
        <v>351</v>
      </c>
      <c r="F187" s="12" t="s">
        <v>27</v>
      </c>
      <c r="G187" s="17" t="s">
        <v>4</v>
      </c>
      <c r="I187" s="37">
        <f>IFERROR(VLOOKUP(B187,'TB '!$A:$G,7,),0)</f>
        <v>0</v>
      </c>
      <c r="J187" s="37">
        <f>IFERROR(VLOOKUP($B187,'TB '!$4:$1048576,MATCH('List of Ledgers '!J$4,'TB '!$4:$4,0),0),0)</f>
        <v>0</v>
      </c>
      <c r="K187" s="37">
        <f>IFERROR(VLOOKUP($B187,'TB '!$4:$1048576,MATCH('List of Ledgers '!K$4,'TB '!$4:$4,0),0),0)</f>
        <v>0</v>
      </c>
      <c r="L187" s="37">
        <f>IFERROR(VLOOKUP(B187,'TB '!$A:$J,10,),0)</f>
        <v>0</v>
      </c>
      <c r="M187" s="71"/>
      <c r="N187" s="63">
        <f>IFERROR(VLOOKUP($B187,'TB YTD'!$4:$1048576,MATCH('List of Ledgers '!N$4,'TB YTD'!$4:$4,0),0),0)</f>
        <v>0</v>
      </c>
      <c r="O187" s="63">
        <f>IFERROR(VLOOKUP($B187,'TB YTD'!$4:$1048576,MATCH('List of Ledgers '!O$4,'TB YTD'!$4:$4,0),0),0)</f>
        <v>0</v>
      </c>
      <c r="P187" s="63">
        <f>IFERROR(VLOOKUP($B187,'TB YTD'!$4:$1048576,MATCH('List of Ledgers '!P$4,'TB YTD'!$4:$4,0),0),0)</f>
        <v>0</v>
      </c>
      <c r="Q187" s="63">
        <f>IFERROR(VLOOKUP($B187,'TB YTD'!$4:$1048576,MATCH('List of Ledgers '!Q$4,'TB YTD'!$4:$4,0),0),0)</f>
        <v>0</v>
      </c>
    </row>
    <row r="188" spans="1:18" hidden="1" x14ac:dyDescent="0.25">
      <c r="A188" s="106">
        <v>181</v>
      </c>
      <c r="B188" s="2" t="s">
        <v>368</v>
      </c>
      <c r="C188" s="2" t="s">
        <v>369</v>
      </c>
      <c r="D188" s="12" t="s">
        <v>151</v>
      </c>
      <c r="E188" s="12" t="s">
        <v>351</v>
      </c>
      <c r="F188" s="12" t="s">
        <v>27</v>
      </c>
      <c r="G188" s="17" t="s">
        <v>4</v>
      </c>
      <c r="I188" s="37">
        <f>IFERROR(VLOOKUP(B188,'TB '!$A:$G,7,),0)</f>
        <v>0</v>
      </c>
      <c r="J188" s="37">
        <f>IFERROR(VLOOKUP($B188,'TB '!$4:$1048576,MATCH('List of Ledgers '!J$4,'TB '!$4:$4,0),0),0)</f>
        <v>0</v>
      </c>
      <c r="K188" s="37">
        <f>IFERROR(VLOOKUP($B188,'TB '!$4:$1048576,MATCH('List of Ledgers '!K$4,'TB '!$4:$4,0),0),0)</f>
        <v>0</v>
      </c>
      <c r="L188" s="37">
        <f>IFERROR(VLOOKUP(B188,'TB '!$A:$J,10,),0)</f>
        <v>0</v>
      </c>
      <c r="M188" s="71"/>
      <c r="N188" s="63">
        <f>IFERROR(VLOOKUP($B188,'TB YTD'!$4:$1048576,MATCH('List of Ledgers '!N$4,'TB YTD'!$4:$4,0),0),0)</f>
        <v>0</v>
      </c>
      <c r="O188" s="63">
        <f>IFERROR(VLOOKUP($B188,'TB YTD'!$4:$1048576,MATCH('List of Ledgers '!O$4,'TB YTD'!$4:$4,0),0),0)</f>
        <v>176300</v>
      </c>
      <c r="P188" s="63">
        <f>IFERROR(VLOOKUP($B188,'TB YTD'!$4:$1048576,MATCH('List of Ledgers '!P$4,'TB YTD'!$4:$4,0),0),0)</f>
        <v>0</v>
      </c>
      <c r="Q188" s="63">
        <f>IFERROR(VLOOKUP($B188,'TB YTD'!$4:$1048576,MATCH('List of Ledgers '!Q$4,'TB YTD'!$4:$4,0),0),0)</f>
        <v>176300</v>
      </c>
    </row>
    <row r="189" spans="1:18" hidden="1" x14ac:dyDescent="0.25">
      <c r="A189" s="106">
        <v>182</v>
      </c>
      <c r="B189" s="8" t="s">
        <v>370</v>
      </c>
      <c r="C189" s="8" t="s">
        <v>160</v>
      </c>
      <c r="D189" s="17"/>
      <c r="E189" s="17"/>
      <c r="G189" s="17"/>
      <c r="H189" s="62"/>
      <c r="I189" s="37">
        <f>IFERROR(VLOOKUP(B189,'TB '!$A:$G,7,),0)</f>
        <v>32990</v>
      </c>
      <c r="J189" s="37">
        <f>IFERROR(VLOOKUP($B189,'TB '!$4:$1048576,MATCH('List of Ledgers '!J$4,'TB '!$4:$4,0),0),0)</f>
        <v>0</v>
      </c>
      <c r="K189" s="37">
        <f>IFERROR(VLOOKUP($B189,'TB '!$4:$1048576,MATCH('List of Ledgers '!K$4,'TB '!$4:$4,0),0),0)</f>
        <v>0</v>
      </c>
      <c r="L189" s="37">
        <f>IFERROR(VLOOKUP(B189,'TB '!$A:$J,10,),0)</f>
        <v>32990</v>
      </c>
      <c r="M189" s="71"/>
      <c r="N189" s="63">
        <f>IFERROR(VLOOKUP($B189,'TB YTD'!$4:$1048576,MATCH('List of Ledgers '!N$4,'TB YTD'!$4:$4,0),0),0)</f>
        <v>32990</v>
      </c>
      <c r="O189" s="63">
        <f>IFERROR(VLOOKUP($B189,'TB YTD'!$4:$1048576,MATCH('List of Ledgers '!O$4,'TB YTD'!$4:$4,0),0),0)</f>
        <v>0</v>
      </c>
      <c r="P189" s="63">
        <f>IFERROR(VLOOKUP($B189,'TB YTD'!$4:$1048576,MATCH('List of Ledgers '!P$4,'TB YTD'!$4:$4,0),0),0)</f>
        <v>0</v>
      </c>
      <c r="Q189" s="63">
        <f>IFERROR(VLOOKUP($B189,'TB YTD'!$4:$1048576,MATCH('List of Ledgers '!Q$4,'TB YTD'!$4:$4,0),0),0)</f>
        <v>32990</v>
      </c>
      <c r="R189" s="63"/>
    </row>
    <row r="190" spans="1:18" hidden="1" x14ac:dyDescent="0.25">
      <c r="A190" s="106">
        <v>183</v>
      </c>
      <c r="B190" s="8" t="s">
        <v>371</v>
      </c>
      <c r="C190" s="8" t="s">
        <v>372</v>
      </c>
      <c r="D190" s="17" t="s">
        <v>151</v>
      </c>
      <c r="E190" s="17" t="s">
        <v>272</v>
      </c>
      <c r="F190" s="12" t="s">
        <v>1292</v>
      </c>
      <c r="G190" s="17" t="s">
        <v>11</v>
      </c>
      <c r="H190" s="62"/>
      <c r="I190" s="37">
        <f>IFERROR(VLOOKUP(B190,'TB '!$A:$G,7,),0)</f>
        <v>0</v>
      </c>
      <c r="J190" s="37">
        <f>IFERROR(VLOOKUP($B190,'TB '!$4:$1048576,MATCH('List of Ledgers '!J$4,'TB '!$4:$4,0),0),0)</f>
        <v>0</v>
      </c>
      <c r="K190" s="37">
        <f>IFERROR(VLOOKUP($B190,'TB '!$4:$1048576,MATCH('List of Ledgers '!K$4,'TB '!$4:$4,0),0),0)</f>
        <v>0</v>
      </c>
      <c r="L190" s="37">
        <f>IFERROR(VLOOKUP(B190,'TB '!$A:$J,10,),0)</f>
        <v>0</v>
      </c>
      <c r="M190" s="71"/>
      <c r="N190" s="63">
        <f>IFERROR(VLOOKUP($B190,'TB YTD'!$4:$1048576,MATCH('List of Ledgers '!N$4,'TB YTD'!$4:$4,0),0),0)</f>
        <v>0</v>
      </c>
      <c r="O190" s="63">
        <f>IFERROR(VLOOKUP($B190,'TB YTD'!$4:$1048576,MATCH('List of Ledgers '!O$4,'TB YTD'!$4:$4,0),0),0)</f>
        <v>0</v>
      </c>
      <c r="P190" s="63">
        <f>IFERROR(VLOOKUP($B190,'TB YTD'!$4:$1048576,MATCH('List of Ledgers '!P$4,'TB YTD'!$4:$4,0),0),0)</f>
        <v>10487</v>
      </c>
      <c r="Q190" s="175">
        <f>IFERROR(VLOOKUP($B190,'TB YTD'!$4:$1048576,MATCH('List of Ledgers '!Q$4,'TB YTD'!$4:$4,0),0),0)</f>
        <v>-10487</v>
      </c>
      <c r="R190" s="63"/>
    </row>
    <row r="191" spans="1:18" hidden="1" x14ac:dyDescent="0.25">
      <c r="A191" s="106">
        <v>184</v>
      </c>
      <c r="B191" s="8" t="s">
        <v>373</v>
      </c>
      <c r="C191" s="8" t="s">
        <v>374</v>
      </c>
      <c r="D191" s="17"/>
      <c r="E191" s="17"/>
      <c r="G191" s="17"/>
      <c r="H191" s="62"/>
      <c r="I191" s="37">
        <f>IFERROR(VLOOKUP(B191,'TB '!$A:$G,7,),0)</f>
        <v>4500</v>
      </c>
      <c r="J191" s="37">
        <f>IFERROR(VLOOKUP($B191,'TB '!$4:$1048576,MATCH('List of Ledgers '!J$4,'TB '!$4:$4,0),0),0)</f>
        <v>0</v>
      </c>
      <c r="K191" s="37">
        <f>IFERROR(VLOOKUP($B191,'TB '!$4:$1048576,MATCH('List of Ledgers '!K$4,'TB '!$4:$4,0),0),0)</f>
        <v>0</v>
      </c>
      <c r="L191" s="37">
        <f>IFERROR(VLOOKUP(B191,'TB '!$A:$J,10,),0)</f>
        <v>4500</v>
      </c>
      <c r="M191" s="71"/>
      <c r="N191" s="63">
        <f>IFERROR(VLOOKUP($B191,'TB YTD'!$4:$1048576,MATCH('List of Ledgers '!N$4,'TB YTD'!$4:$4,0),0),0)</f>
        <v>4500</v>
      </c>
      <c r="O191" s="63">
        <f>IFERROR(VLOOKUP($B191,'TB YTD'!$4:$1048576,MATCH('List of Ledgers '!O$4,'TB YTD'!$4:$4,0),0),0)</f>
        <v>0</v>
      </c>
      <c r="P191" s="63">
        <f>IFERROR(VLOOKUP($B191,'TB YTD'!$4:$1048576,MATCH('List of Ledgers '!P$4,'TB YTD'!$4:$4,0),0),0)</f>
        <v>0</v>
      </c>
      <c r="Q191" s="63">
        <f>IFERROR(VLOOKUP($B191,'TB YTD'!$4:$1048576,MATCH('List of Ledgers '!Q$4,'TB YTD'!$4:$4,0),0),0)</f>
        <v>4500</v>
      </c>
      <c r="R191" s="63"/>
    </row>
    <row r="192" spans="1:18" hidden="1" x14ac:dyDescent="0.25">
      <c r="A192" s="106">
        <v>185</v>
      </c>
      <c r="B192" s="2" t="s">
        <v>375</v>
      </c>
      <c r="C192" s="2" t="s">
        <v>158</v>
      </c>
      <c r="D192" s="17" t="s">
        <v>128</v>
      </c>
      <c r="E192" s="17" t="s">
        <v>131</v>
      </c>
      <c r="G192" s="17" t="s">
        <v>4</v>
      </c>
      <c r="I192" s="37">
        <f>IFERROR(VLOOKUP(B192,'TB '!$A:$G,7,),0)</f>
        <v>24841</v>
      </c>
      <c r="J192" s="37">
        <f>IFERROR(VLOOKUP($B192,'TB '!$4:$1048576,MATCH('List of Ledgers '!J$4,'TB '!$4:$4,0),0),0)</f>
        <v>0</v>
      </c>
      <c r="K192" s="37">
        <f>IFERROR(VLOOKUP($B192,'TB '!$4:$1048576,MATCH('List of Ledgers '!K$4,'TB '!$4:$4,0),0),0)</f>
        <v>24841</v>
      </c>
      <c r="L192" s="37">
        <f>IFERROR(VLOOKUP(B192,'TB '!$A:$J,10,),0)</f>
        <v>0</v>
      </c>
      <c r="M192" s="71"/>
      <c r="N192" s="63">
        <f>IFERROR(VLOOKUP($B192,'TB YTD'!$4:$1048576,MATCH('List of Ledgers '!N$4,'TB YTD'!$4:$4,0),0),0)</f>
        <v>0</v>
      </c>
      <c r="O192" s="63">
        <f>IFERROR(VLOOKUP($B192,'TB YTD'!$4:$1048576,MATCH('List of Ledgers '!O$4,'TB YTD'!$4:$4,0),0),0)</f>
        <v>35235543</v>
      </c>
      <c r="P192" s="63">
        <f>IFERROR(VLOOKUP($B192,'TB YTD'!$4:$1048576,MATCH('List of Ledgers '!P$4,'TB YTD'!$4:$4,0),0),0)</f>
        <v>35235543</v>
      </c>
      <c r="Q192" s="63">
        <f>IFERROR(VLOOKUP($B192,'TB YTD'!$4:$1048576,MATCH('List of Ledgers '!Q$4,'TB YTD'!$4:$4,0),0),0)</f>
        <v>0</v>
      </c>
    </row>
    <row r="193" spans="1:18" hidden="1" x14ac:dyDescent="0.25">
      <c r="A193" s="106">
        <v>186</v>
      </c>
      <c r="B193" s="151" t="s">
        <v>376</v>
      </c>
      <c r="C193" s="151" t="s">
        <v>1289</v>
      </c>
      <c r="D193" s="12" t="s">
        <v>151</v>
      </c>
      <c r="E193" s="17" t="s">
        <v>1291</v>
      </c>
      <c r="F193" s="12" t="s">
        <v>71</v>
      </c>
      <c r="G193" s="17" t="s">
        <v>4</v>
      </c>
      <c r="H193" s="63"/>
      <c r="I193" s="37">
        <f>IFERROR(VLOOKUP(B193,'TB '!$A:$G,7,),0)</f>
        <v>0</v>
      </c>
      <c r="J193" s="37">
        <f>IFERROR(VLOOKUP($B193,'TB '!$4:$1048576,MATCH('List of Ledgers '!J$4,'TB '!$4:$4,0),0),0)</f>
        <v>0</v>
      </c>
      <c r="K193" s="37">
        <f>IFERROR(VLOOKUP($B193,'TB '!$4:$1048576,MATCH('List of Ledgers '!K$4,'TB '!$4:$4,0),0),0)</f>
        <v>0</v>
      </c>
      <c r="L193" s="37">
        <f>IFERROR(VLOOKUP(B193,'TB '!$A:$J,10,),0)</f>
        <v>0</v>
      </c>
      <c r="M193" s="71"/>
      <c r="N193" s="63">
        <f>IFERROR(VLOOKUP($B193,'TB YTD'!$4:$1048576,MATCH('List of Ledgers '!N$4,'TB YTD'!$4:$4,0),0),0)</f>
        <v>0</v>
      </c>
      <c r="O193" s="63">
        <f>IFERROR(VLOOKUP($B193,'TB YTD'!$4:$1048576,MATCH('List of Ledgers '!O$4,'TB YTD'!$4:$4,0),0),0)</f>
        <v>16500</v>
      </c>
      <c r="P193" s="63">
        <f>IFERROR(VLOOKUP($B193,'TB YTD'!$4:$1048576,MATCH('List of Ledgers '!P$4,'TB YTD'!$4:$4,0),0),0)</f>
        <v>0</v>
      </c>
      <c r="Q193" s="63">
        <f>IFERROR(VLOOKUP($B193,'TB YTD'!$4:$1048576,MATCH('List of Ledgers '!Q$4,'TB YTD'!$4:$4,0),0),0)</f>
        <v>16500</v>
      </c>
      <c r="R193" s="63"/>
    </row>
    <row r="194" spans="1:18" hidden="1" x14ac:dyDescent="0.25">
      <c r="A194" s="106">
        <v>187</v>
      </c>
      <c r="B194" s="8" t="s">
        <v>46</v>
      </c>
      <c r="C194" s="8" t="s">
        <v>189</v>
      </c>
      <c r="D194" s="17" t="s">
        <v>151</v>
      </c>
      <c r="E194" s="17" t="s">
        <v>152</v>
      </c>
      <c r="F194" s="12" t="s">
        <v>46</v>
      </c>
      <c r="G194" s="17" t="s">
        <v>7</v>
      </c>
      <c r="H194" s="62"/>
      <c r="I194" s="37">
        <f>IFERROR(VLOOKUP(B194,'TB '!$A:$G,7,),0)</f>
        <v>0</v>
      </c>
      <c r="J194" s="37">
        <f>IFERROR(VLOOKUP($B194,'TB '!$4:$1048576,MATCH('List of Ledgers '!J$4,'TB '!$4:$4,0),0),0)</f>
        <v>400</v>
      </c>
      <c r="K194" s="37">
        <f>IFERROR(VLOOKUP($B194,'TB '!$4:$1048576,MATCH('List of Ledgers '!K$4,'TB '!$4:$4,0),0),0)</f>
        <v>0</v>
      </c>
      <c r="L194" s="37">
        <f>IFERROR(VLOOKUP(B194,'TB '!$A:$J,10,),0)</f>
        <v>400</v>
      </c>
      <c r="M194" s="71"/>
      <c r="N194" s="63">
        <f>IFERROR(VLOOKUP($B194,'TB YTD'!$4:$1048576,MATCH('List of Ledgers '!N$4,'TB YTD'!$4:$4,0),0),0)</f>
        <v>0</v>
      </c>
      <c r="O194" s="63">
        <f>IFERROR(VLOOKUP($B194,'TB YTD'!$4:$1048576,MATCH('List of Ledgers '!O$4,'TB YTD'!$4:$4,0),0),0)</f>
        <v>700</v>
      </c>
      <c r="P194" s="63">
        <f>IFERROR(VLOOKUP($B194,'TB YTD'!$4:$1048576,MATCH('List of Ledgers '!P$4,'TB YTD'!$4:$4,0),0),0)</f>
        <v>0</v>
      </c>
      <c r="Q194" s="63">
        <f>IFERROR(VLOOKUP($B194,'TB YTD'!$4:$1048576,MATCH('List of Ledgers '!Q$4,'TB YTD'!$4:$4,0),0),0)</f>
        <v>700</v>
      </c>
      <c r="R194" s="63"/>
    </row>
    <row r="195" spans="1:18" hidden="1" x14ac:dyDescent="0.25">
      <c r="A195" s="106">
        <v>188</v>
      </c>
      <c r="B195" s="8" t="s">
        <v>378</v>
      </c>
      <c r="C195" s="8" t="s">
        <v>250</v>
      </c>
      <c r="D195" s="17" t="s">
        <v>128</v>
      </c>
      <c r="E195" s="17" t="s">
        <v>131</v>
      </c>
      <c r="G195" s="17" t="s">
        <v>7</v>
      </c>
      <c r="H195" s="62"/>
      <c r="I195" s="37">
        <f>IFERROR(VLOOKUP(B195,'TB '!$A:$G,7,),0)</f>
        <v>-29982.62</v>
      </c>
      <c r="J195" s="37">
        <f>IFERROR(VLOOKUP($B195,'TB '!$4:$1048576,MATCH('List of Ledgers '!J$4,'TB '!$4:$4,0),0),0)</f>
        <v>0</v>
      </c>
      <c r="K195" s="37">
        <f>IFERROR(VLOOKUP($B195,'TB '!$4:$1048576,MATCH('List of Ledgers '!K$4,'TB '!$4:$4,0),0),0)</f>
        <v>0</v>
      </c>
      <c r="L195" s="37">
        <f>IFERROR(VLOOKUP(B195,'TB '!$A:$J,10,),0)</f>
        <v>-29982.62</v>
      </c>
      <c r="M195" s="71"/>
      <c r="N195" s="63">
        <f>IFERROR(VLOOKUP($B195,'TB YTD'!$4:$1048576,MATCH('List of Ledgers '!N$4,'TB YTD'!$4:$4,0),0),0)</f>
        <v>-80160</v>
      </c>
      <c r="O195" s="63">
        <f>IFERROR(VLOOKUP($B195,'TB YTD'!$4:$1048576,MATCH('List of Ledgers '!O$4,'TB YTD'!$4:$4,0),0),0)</f>
        <v>99493.440000000002</v>
      </c>
      <c r="P195" s="63">
        <f>IFERROR(VLOOKUP($B195,'TB YTD'!$4:$1048576,MATCH('List of Ledgers '!P$4,'TB YTD'!$4:$4,0),0),0)</f>
        <v>49316.06</v>
      </c>
      <c r="Q195" s="63">
        <f>IFERROR(VLOOKUP($B195,'TB YTD'!$4:$1048576,MATCH('List of Ledgers '!Q$4,'TB YTD'!$4:$4,0),0),0)</f>
        <v>-29982.62</v>
      </c>
      <c r="R195" s="63"/>
    </row>
    <row r="196" spans="1:18" hidden="1" x14ac:dyDescent="0.25">
      <c r="A196" s="106">
        <v>189</v>
      </c>
      <c r="B196" s="8" t="s">
        <v>379</v>
      </c>
      <c r="C196" s="8" t="s">
        <v>207</v>
      </c>
      <c r="D196" s="17" t="s">
        <v>128</v>
      </c>
      <c r="E196" s="17" t="s">
        <v>131</v>
      </c>
      <c r="G196" s="17" t="s">
        <v>3</v>
      </c>
      <c r="H196" s="62"/>
      <c r="I196" s="37">
        <f>IFERROR(VLOOKUP(B196,'TB '!$A:$G,7,),0)</f>
        <v>0</v>
      </c>
      <c r="J196" s="37">
        <f>IFERROR(VLOOKUP($B196,'TB '!$4:$1048576,MATCH('List of Ledgers '!J$4,'TB '!$4:$4,0),0),0)</f>
        <v>0</v>
      </c>
      <c r="K196" s="37">
        <f>IFERROR(VLOOKUP($B196,'TB '!$4:$1048576,MATCH('List of Ledgers '!K$4,'TB '!$4:$4,0),0),0)</f>
        <v>0</v>
      </c>
      <c r="L196" s="37">
        <f>IFERROR(VLOOKUP(B196,'TB '!$A:$J,10,),0)</f>
        <v>0</v>
      </c>
      <c r="M196" s="71"/>
      <c r="N196" s="63">
        <f>IFERROR(VLOOKUP($B196,'TB YTD'!$4:$1048576,MATCH('List of Ledgers '!N$4,'TB YTD'!$4:$4,0),0),0)</f>
        <v>0</v>
      </c>
      <c r="O196" s="63">
        <f>IFERROR(VLOOKUP($B196,'TB YTD'!$4:$1048576,MATCH('List of Ledgers '!O$4,'TB YTD'!$4:$4,0),0),0)</f>
        <v>29500</v>
      </c>
      <c r="P196" s="63">
        <f>IFERROR(VLOOKUP($B196,'TB YTD'!$4:$1048576,MATCH('List of Ledgers '!P$4,'TB YTD'!$4:$4,0),0),0)</f>
        <v>29500</v>
      </c>
      <c r="Q196" s="63">
        <f>IFERROR(VLOOKUP($B196,'TB YTD'!$4:$1048576,MATCH('List of Ledgers '!Q$4,'TB YTD'!$4:$4,0),0),0)</f>
        <v>0</v>
      </c>
      <c r="R196" s="63"/>
    </row>
    <row r="197" spans="1:18" x14ac:dyDescent="0.25">
      <c r="A197" s="165">
        <f>A196+1</f>
        <v>190</v>
      </c>
      <c r="B197" s="2" t="s">
        <v>1248</v>
      </c>
      <c r="C197" s="2" t="s">
        <v>876</v>
      </c>
      <c r="D197" s="17" t="s">
        <v>151</v>
      </c>
      <c r="E197" s="17" t="s">
        <v>1291</v>
      </c>
      <c r="F197" s="12" t="s">
        <v>71</v>
      </c>
      <c r="G197" s="17" t="s">
        <v>9</v>
      </c>
      <c r="I197" s="37">
        <f>IFERROR(VLOOKUP(B197,'TB '!$A:$G,7,),0)</f>
        <v>0</v>
      </c>
      <c r="J197" s="37">
        <f>IFERROR(VLOOKUP($B197,'TB '!$4:$1048576,MATCH('List of Ledgers '!J$4,'TB '!$4:$4,0),0),0)</f>
        <v>1412974.26</v>
      </c>
      <c r="K197" s="37">
        <f>IFERROR(VLOOKUP($B197,'TB '!$4:$1048576,MATCH('List of Ledgers '!K$4,'TB '!$4:$4,0),0),0)</f>
        <v>0</v>
      </c>
      <c r="L197" s="37">
        <f>IFERROR(VLOOKUP(B197,'TB '!$A:$J,10,),0)</f>
        <v>1412974.26</v>
      </c>
      <c r="M197" s="71"/>
      <c r="N197" s="63">
        <f>IFERROR(VLOOKUP($B197,'TB YTD'!$4:$1048576,MATCH('List of Ledgers '!N$4,'TB YTD'!$4:$4,0),0),0)</f>
        <v>0</v>
      </c>
      <c r="O197" s="63">
        <f>IFERROR(VLOOKUP($B197,'TB YTD'!$4:$1048576,MATCH('List of Ledgers '!O$4,'TB YTD'!$4:$4,0),0),0)</f>
        <v>2287554.4</v>
      </c>
      <c r="P197" s="63">
        <f>IFERROR(VLOOKUP($B197,'TB YTD'!$4:$1048576,MATCH('List of Ledgers '!P$4,'TB YTD'!$4:$4,0),0),0)</f>
        <v>0</v>
      </c>
      <c r="Q197" s="63">
        <f>IFERROR(VLOOKUP($B197,'TB YTD'!$4:$1048576,MATCH('List of Ledgers '!Q$4,'TB YTD'!$4:$4,0),0),0)</f>
        <v>2287554.4</v>
      </c>
      <c r="R197" s="63"/>
    </row>
    <row r="198" spans="1:18" hidden="1" x14ac:dyDescent="0.25">
      <c r="A198" s="106">
        <v>190</v>
      </c>
      <c r="B198" s="8" t="s">
        <v>380</v>
      </c>
      <c r="C198" s="8" t="s">
        <v>377</v>
      </c>
      <c r="D198" s="17" t="s">
        <v>151</v>
      </c>
      <c r="E198" s="17" t="s">
        <v>152</v>
      </c>
      <c r="F198" s="12" t="s">
        <v>63</v>
      </c>
      <c r="G198" s="17" t="s">
        <v>7</v>
      </c>
      <c r="H198" s="62"/>
      <c r="I198" s="37">
        <f>IFERROR(VLOOKUP(B198,'TB '!$A:$G,7,),0)</f>
        <v>0</v>
      </c>
      <c r="J198" s="37">
        <f>IFERROR(VLOOKUP($B198,'TB '!$4:$1048576,MATCH('List of Ledgers '!J$4,'TB '!$4:$4,0),0),0)</f>
        <v>0</v>
      </c>
      <c r="K198" s="37">
        <f>IFERROR(VLOOKUP($B198,'TB '!$4:$1048576,MATCH('List of Ledgers '!K$4,'TB '!$4:$4,0),0),0)</f>
        <v>0</v>
      </c>
      <c r="L198" s="37">
        <f>IFERROR(VLOOKUP(B198,'TB '!$A:$J,10,),0)</f>
        <v>0</v>
      </c>
      <c r="M198" s="71"/>
      <c r="N198" s="63">
        <f>IFERROR(VLOOKUP($B198,'TB YTD'!$4:$1048576,MATCH('List of Ledgers '!N$4,'TB YTD'!$4:$4,0),0),0)</f>
        <v>0</v>
      </c>
      <c r="O198" s="63">
        <f>IFERROR(VLOOKUP($B198,'TB YTD'!$4:$1048576,MATCH('List of Ledgers '!O$4,'TB YTD'!$4:$4,0),0),0)</f>
        <v>0</v>
      </c>
      <c r="P198" s="63">
        <f>IFERROR(VLOOKUP($B198,'TB YTD'!$4:$1048576,MATCH('List of Ledgers '!P$4,'TB YTD'!$4:$4,0),0),0)</f>
        <v>0</v>
      </c>
      <c r="Q198" s="63">
        <f>IFERROR(VLOOKUP($B198,'TB YTD'!$4:$1048576,MATCH('List of Ledgers '!Q$4,'TB YTD'!$4:$4,0),0),0)</f>
        <v>0</v>
      </c>
      <c r="R198" s="63"/>
    </row>
    <row r="199" spans="1:18" hidden="1" x14ac:dyDescent="0.25">
      <c r="A199" s="106">
        <v>191</v>
      </c>
      <c r="B199" s="8" t="s">
        <v>381</v>
      </c>
      <c r="C199" s="8" t="s">
        <v>382</v>
      </c>
      <c r="D199" s="12" t="s">
        <v>128</v>
      </c>
      <c r="E199" s="12" t="s">
        <v>134</v>
      </c>
      <c r="G199" s="17" t="s">
        <v>2</v>
      </c>
      <c r="H199" s="62"/>
      <c r="I199" s="37">
        <f>IFERROR(VLOOKUP(B199,'TB '!$A:$G,7,),0)</f>
        <v>0</v>
      </c>
      <c r="J199" s="37">
        <f>IFERROR(VLOOKUP($B199,'TB '!$4:$1048576,MATCH('List of Ledgers '!J$4,'TB '!$4:$4,0),0),0)</f>
        <v>0</v>
      </c>
      <c r="K199" s="37">
        <f>IFERROR(VLOOKUP($B199,'TB '!$4:$1048576,MATCH('List of Ledgers '!K$4,'TB '!$4:$4,0),0),0)</f>
        <v>0</v>
      </c>
      <c r="L199" s="37">
        <f>IFERROR(VLOOKUP(B199,'TB '!$A:$J,10,),0)</f>
        <v>0</v>
      </c>
      <c r="M199" s="71"/>
      <c r="N199" s="63">
        <f>IFERROR(VLOOKUP($B199,'TB YTD'!$4:$1048576,MATCH('List of Ledgers '!N$4,'TB YTD'!$4:$4,0),0),0)</f>
        <v>0</v>
      </c>
      <c r="O199" s="63">
        <f>IFERROR(VLOOKUP($B199,'TB YTD'!$4:$1048576,MATCH('List of Ledgers '!O$4,'TB YTD'!$4:$4,0),0),0)</f>
        <v>15644</v>
      </c>
      <c r="P199" s="63">
        <f>IFERROR(VLOOKUP($B199,'TB YTD'!$4:$1048576,MATCH('List of Ledgers '!P$4,'TB YTD'!$4:$4,0),0),0)</f>
        <v>15644</v>
      </c>
      <c r="Q199" s="63">
        <f>IFERROR(VLOOKUP($B199,'TB YTD'!$4:$1048576,MATCH('List of Ledgers '!Q$4,'TB YTD'!$4:$4,0),0),0)</f>
        <v>0</v>
      </c>
      <c r="R199" s="63"/>
    </row>
    <row r="200" spans="1:18" hidden="1" x14ac:dyDescent="0.25">
      <c r="A200" s="106">
        <v>192</v>
      </c>
      <c r="B200" s="8" t="s">
        <v>383</v>
      </c>
      <c r="C200" s="8" t="s">
        <v>322</v>
      </c>
      <c r="D200" s="17" t="s">
        <v>151</v>
      </c>
      <c r="E200" s="17" t="s">
        <v>152</v>
      </c>
      <c r="F200" s="12" t="s">
        <v>49</v>
      </c>
      <c r="G200" s="17" t="s">
        <v>7</v>
      </c>
      <c r="H200" s="62"/>
      <c r="I200" s="37">
        <f>IFERROR(VLOOKUP(B200,'TB '!$A:$G,7,),0)</f>
        <v>0</v>
      </c>
      <c r="J200" s="37">
        <f>IFERROR(VLOOKUP($B200,'TB '!$4:$1048576,MATCH('List of Ledgers '!J$4,'TB '!$4:$4,0),0),0)</f>
        <v>1680</v>
      </c>
      <c r="K200" s="37">
        <f>IFERROR(VLOOKUP($B200,'TB '!$4:$1048576,MATCH('List of Ledgers '!K$4,'TB '!$4:$4,0),0),0)</f>
        <v>0</v>
      </c>
      <c r="L200" s="37">
        <f>IFERROR(VLOOKUP(B200,'TB '!$A:$J,10,),0)</f>
        <v>1680</v>
      </c>
      <c r="M200" s="71"/>
      <c r="N200" s="63">
        <f>IFERROR(VLOOKUP($B200,'TB YTD'!$4:$1048576,MATCH('List of Ledgers '!N$4,'TB YTD'!$4:$4,0),0),0)</f>
        <v>0</v>
      </c>
      <c r="O200" s="63">
        <f>IFERROR(VLOOKUP($B200,'TB YTD'!$4:$1048576,MATCH('List of Ledgers '!O$4,'TB YTD'!$4:$4,0),0),0)</f>
        <v>28720</v>
      </c>
      <c r="P200" s="63">
        <f>IFERROR(VLOOKUP($B200,'TB YTD'!$4:$1048576,MATCH('List of Ledgers '!P$4,'TB YTD'!$4:$4,0),0),0)</f>
        <v>0</v>
      </c>
      <c r="Q200" s="63">
        <f>IFERROR(VLOOKUP($B200,'TB YTD'!$4:$1048576,MATCH('List of Ledgers '!Q$4,'TB YTD'!$4:$4,0),0),0)</f>
        <v>28720</v>
      </c>
      <c r="R200" s="63"/>
    </row>
    <row r="201" spans="1:18" hidden="1" x14ac:dyDescent="0.25">
      <c r="A201" s="106">
        <v>193</v>
      </c>
      <c r="B201" s="8" t="s">
        <v>384</v>
      </c>
      <c r="C201" s="8" t="s">
        <v>150</v>
      </c>
      <c r="D201" s="17" t="s">
        <v>151</v>
      </c>
      <c r="E201" s="17" t="s">
        <v>152</v>
      </c>
      <c r="F201" s="12" t="s">
        <v>49</v>
      </c>
      <c r="G201" s="17" t="s">
        <v>2</v>
      </c>
      <c r="H201" s="62"/>
      <c r="I201" s="37">
        <f>IFERROR(VLOOKUP(B201,'TB '!$A:$G,7,),0)</f>
        <v>0</v>
      </c>
      <c r="J201" s="37">
        <f>IFERROR(VLOOKUP($B201,'TB '!$4:$1048576,MATCH('List of Ledgers '!J$4,'TB '!$4:$4,0),0),0)</f>
        <v>0</v>
      </c>
      <c r="K201" s="37">
        <f>IFERROR(VLOOKUP($B201,'TB '!$4:$1048576,MATCH('List of Ledgers '!K$4,'TB '!$4:$4,0),0),0)</f>
        <v>0</v>
      </c>
      <c r="L201" s="37">
        <f>IFERROR(VLOOKUP(B201,'TB '!$A:$J,10,),0)</f>
        <v>0</v>
      </c>
      <c r="M201" s="71"/>
      <c r="N201" s="63">
        <f>IFERROR(VLOOKUP($B201,'TB YTD'!$4:$1048576,MATCH('List of Ledgers '!N$4,'TB YTD'!$4:$4,0),0),0)</f>
        <v>0</v>
      </c>
      <c r="O201" s="63">
        <f>IFERROR(VLOOKUP($B201,'TB YTD'!$4:$1048576,MATCH('List of Ledgers '!O$4,'TB YTD'!$4:$4,0),0),0)</f>
        <v>1590</v>
      </c>
      <c r="P201" s="63">
        <f>IFERROR(VLOOKUP($B201,'TB YTD'!$4:$1048576,MATCH('List of Ledgers '!P$4,'TB YTD'!$4:$4,0),0),0)</f>
        <v>0</v>
      </c>
      <c r="Q201" s="63">
        <f>IFERROR(VLOOKUP($B201,'TB YTD'!$4:$1048576,MATCH('List of Ledgers '!Q$4,'TB YTD'!$4:$4,0),0),0)</f>
        <v>1590</v>
      </c>
      <c r="R201" s="63"/>
    </row>
    <row r="202" spans="1:18" hidden="1" x14ac:dyDescent="0.25">
      <c r="A202" s="106">
        <v>194</v>
      </c>
      <c r="B202" s="8" t="s">
        <v>385</v>
      </c>
      <c r="C202" s="8" t="s">
        <v>275</v>
      </c>
      <c r="D202" s="17" t="s">
        <v>151</v>
      </c>
      <c r="E202" s="17" t="s">
        <v>152</v>
      </c>
      <c r="F202" s="12" t="s">
        <v>49</v>
      </c>
      <c r="G202" s="17" t="s">
        <v>7</v>
      </c>
      <c r="H202" s="62"/>
      <c r="I202" s="37">
        <f>IFERROR(VLOOKUP(B202,'TB '!$A:$G,7,),0)</f>
        <v>0</v>
      </c>
      <c r="J202" s="37">
        <f>IFERROR(VLOOKUP($B202,'TB '!$4:$1048576,MATCH('List of Ledgers '!J$4,'TB '!$4:$4,0),0),0)</f>
        <v>6790</v>
      </c>
      <c r="K202" s="37">
        <f>IFERROR(VLOOKUP($B202,'TB '!$4:$1048576,MATCH('List of Ledgers '!K$4,'TB '!$4:$4,0),0),0)</f>
        <v>0</v>
      </c>
      <c r="L202" s="37">
        <f>IFERROR(VLOOKUP(B202,'TB '!$A:$J,10,),0)</f>
        <v>6790</v>
      </c>
      <c r="M202" s="71"/>
      <c r="N202" s="63">
        <f>IFERROR(VLOOKUP($B202,'TB YTD'!$4:$1048576,MATCH('List of Ledgers '!N$4,'TB YTD'!$4:$4,0),0),0)</f>
        <v>0</v>
      </c>
      <c r="O202" s="63">
        <f>IFERROR(VLOOKUP($B202,'TB YTD'!$4:$1048576,MATCH('List of Ledgers '!O$4,'TB YTD'!$4:$4,0),0),0)</f>
        <v>108230</v>
      </c>
      <c r="P202" s="63">
        <f>IFERROR(VLOOKUP($B202,'TB YTD'!$4:$1048576,MATCH('List of Ledgers '!P$4,'TB YTD'!$4:$4,0),0),0)</f>
        <v>0</v>
      </c>
      <c r="Q202" s="63">
        <f>IFERROR(VLOOKUP($B202,'TB YTD'!$4:$1048576,MATCH('List of Ledgers '!Q$4,'TB YTD'!$4:$4,0),0),0)</f>
        <v>108230</v>
      </c>
      <c r="R202" s="63"/>
    </row>
    <row r="203" spans="1:18" hidden="1" x14ac:dyDescent="0.25">
      <c r="A203" s="106">
        <v>195</v>
      </c>
      <c r="B203" s="8" t="s">
        <v>386</v>
      </c>
      <c r="C203" s="8" t="s">
        <v>172</v>
      </c>
      <c r="D203" s="17"/>
      <c r="E203" s="17"/>
      <c r="G203" s="17"/>
      <c r="H203" s="62"/>
      <c r="I203" s="37">
        <f>IFERROR(VLOOKUP(B203,'TB '!$A:$G,7,),0)</f>
        <v>21820</v>
      </c>
      <c r="J203" s="37">
        <f>IFERROR(VLOOKUP($B203,'TB '!$4:$1048576,MATCH('List of Ledgers '!J$4,'TB '!$4:$4,0),0),0)</f>
        <v>0</v>
      </c>
      <c r="K203" s="37">
        <f>IFERROR(VLOOKUP($B203,'TB '!$4:$1048576,MATCH('List of Ledgers '!K$4,'TB '!$4:$4,0),0),0)</f>
        <v>0</v>
      </c>
      <c r="L203" s="37">
        <f>IFERROR(VLOOKUP(B203,'TB '!$A:$J,10,),0)</f>
        <v>21820</v>
      </c>
      <c r="M203" s="71"/>
      <c r="N203" s="63">
        <f>IFERROR(VLOOKUP($B203,'TB YTD'!$4:$1048576,MATCH('List of Ledgers '!N$4,'TB YTD'!$4:$4,0),0),0)</f>
        <v>21820</v>
      </c>
      <c r="O203" s="63">
        <f>IFERROR(VLOOKUP($B203,'TB YTD'!$4:$1048576,MATCH('List of Ledgers '!O$4,'TB YTD'!$4:$4,0),0),0)</f>
        <v>0</v>
      </c>
      <c r="P203" s="63">
        <f>IFERROR(VLOOKUP($B203,'TB YTD'!$4:$1048576,MATCH('List of Ledgers '!P$4,'TB YTD'!$4:$4,0),0),0)</f>
        <v>0</v>
      </c>
      <c r="Q203" s="63">
        <f>IFERROR(VLOOKUP($B203,'TB YTD'!$4:$1048576,MATCH('List of Ledgers '!Q$4,'TB YTD'!$4:$4,0),0),0)</f>
        <v>21820</v>
      </c>
      <c r="R203" s="63"/>
    </row>
    <row r="204" spans="1:18" hidden="1" x14ac:dyDescent="0.25">
      <c r="A204" s="106">
        <v>196</v>
      </c>
      <c r="B204" s="8" t="s">
        <v>387</v>
      </c>
      <c r="C204" s="8" t="s">
        <v>124</v>
      </c>
      <c r="D204" s="17"/>
      <c r="E204" s="17"/>
      <c r="G204" s="17"/>
      <c r="H204" s="62"/>
      <c r="I204" s="37">
        <f>IFERROR(VLOOKUP(B204,'TB '!$A:$G,7,),0)</f>
        <v>4163.62</v>
      </c>
      <c r="J204" s="37">
        <f>IFERROR(VLOOKUP($B204,'TB '!$4:$1048576,MATCH('List of Ledgers '!J$4,'TB '!$4:$4,0),0),0)</f>
        <v>0</v>
      </c>
      <c r="K204" s="37">
        <f>IFERROR(VLOOKUP($B204,'TB '!$4:$1048576,MATCH('List of Ledgers '!K$4,'TB '!$4:$4,0),0),0)</f>
        <v>0</v>
      </c>
      <c r="L204" s="37">
        <f>IFERROR(VLOOKUP(B204,'TB '!$A:$J,10,),0)</f>
        <v>4163.62</v>
      </c>
      <c r="M204" s="71"/>
      <c r="N204" s="63">
        <f>IFERROR(VLOOKUP($B204,'TB YTD'!$4:$1048576,MATCH('List of Ledgers '!N$4,'TB YTD'!$4:$4,0),0),0)</f>
        <v>4163.62</v>
      </c>
      <c r="O204" s="63">
        <f>IFERROR(VLOOKUP($B204,'TB YTD'!$4:$1048576,MATCH('List of Ledgers '!O$4,'TB YTD'!$4:$4,0),0),0)</f>
        <v>0</v>
      </c>
      <c r="P204" s="63">
        <f>IFERROR(VLOOKUP($B204,'TB YTD'!$4:$1048576,MATCH('List of Ledgers '!P$4,'TB YTD'!$4:$4,0),0),0)</f>
        <v>0</v>
      </c>
      <c r="Q204" s="63">
        <f>IFERROR(VLOOKUP($B204,'TB YTD'!$4:$1048576,MATCH('List of Ledgers '!Q$4,'TB YTD'!$4:$4,0),0),0)</f>
        <v>4163.62</v>
      </c>
      <c r="R204" s="63"/>
    </row>
    <row r="205" spans="1:18" hidden="1" x14ac:dyDescent="0.25">
      <c r="A205" s="106">
        <v>197</v>
      </c>
      <c r="B205" s="8" t="s">
        <v>388</v>
      </c>
      <c r="C205" s="8" t="s">
        <v>158</v>
      </c>
      <c r="D205" s="17" t="s">
        <v>128</v>
      </c>
      <c r="E205" s="17" t="s">
        <v>131</v>
      </c>
      <c r="G205" s="17" t="s">
        <v>4</v>
      </c>
      <c r="H205" s="62"/>
      <c r="I205" s="37">
        <f>IFERROR(VLOOKUP(B205,'TB '!$A:$G,7,),0)</f>
        <v>0</v>
      </c>
      <c r="J205" s="37">
        <f>IFERROR(VLOOKUP($B205,'TB '!$4:$1048576,MATCH('List of Ledgers '!J$4,'TB '!$4:$4,0),0),0)</f>
        <v>0</v>
      </c>
      <c r="K205" s="37">
        <f>IFERROR(VLOOKUP($B205,'TB '!$4:$1048576,MATCH('List of Ledgers '!K$4,'TB '!$4:$4,0),0),0)</f>
        <v>0</v>
      </c>
      <c r="L205" s="37">
        <f>IFERROR(VLOOKUP(B205,'TB '!$A:$J,10,),0)</f>
        <v>0</v>
      </c>
      <c r="M205" s="71"/>
      <c r="N205" s="63">
        <f>IFERROR(VLOOKUP($B205,'TB YTD'!$4:$1048576,MATCH('List of Ledgers '!N$4,'TB YTD'!$4:$4,0),0),0)</f>
        <v>0</v>
      </c>
      <c r="O205" s="63">
        <f>IFERROR(VLOOKUP($B205,'TB YTD'!$4:$1048576,MATCH('List of Ledgers '!O$4,'TB YTD'!$4:$4,0),0),0)</f>
        <v>0</v>
      </c>
      <c r="P205" s="63">
        <f>IFERROR(VLOOKUP($B205,'TB YTD'!$4:$1048576,MATCH('List of Ledgers '!P$4,'TB YTD'!$4:$4,0),0),0)</f>
        <v>0</v>
      </c>
      <c r="Q205" s="63">
        <f>IFERROR(VLOOKUP($B205,'TB YTD'!$4:$1048576,MATCH('List of Ledgers '!Q$4,'TB YTD'!$4:$4,0),0),0)</f>
        <v>0</v>
      </c>
      <c r="R205" s="63"/>
    </row>
    <row r="206" spans="1:18" hidden="1" x14ac:dyDescent="0.25">
      <c r="A206" s="106">
        <v>198</v>
      </c>
      <c r="B206" s="8" t="s">
        <v>389</v>
      </c>
      <c r="C206" s="8" t="s">
        <v>390</v>
      </c>
      <c r="D206" s="17"/>
      <c r="E206" s="17"/>
      <c r="G206" s="17"/>
      <c r="H206" s="62"/>
      <c r="I206" s="37">
        <f>IFERROR(VLOOKUP(B206,'TB '!$A:$G,7,),0)</f>
        <v>0</v>
      </c>
      <c r="J206" s="37">
        <f>IFERROR(VLOOKUP($B206,'TB '!$4:$1048576,MATCH('List of Ledgers '!J$4,'TB '!$4:$4,0),0),0)</f>
        <v>0</v>
      </c>
      <c r="K206" s="37">
        <f>IFERROR(VLOOKUP($B206,'TB '!$4:$1048576,MATCH('List of Ledgers '!K$4,'TB '!$4:$4,0),0),0)</f>
        <v>0</v>
      </c>
      <c r="L206" s="37">
        <f>IFERROR(VLOOKUP(B206,'TB '!$A:$J,10,),0)</f>
        <v>0</v>
      </c>
      <c r="M206" s="71"/>
      <c r="N206" s="63">
        <f>IFERROR(VLOOKUP($B206,'TB YTD'!$4:$1048576,MATCH('List of Ledgers '!N$4,'TB YTD'!$4:$4,0),0),0)</f>
        <v>0</v>
      </c>
      <c r="O206" s="63">
        <f>IFERROR(VLOOKUP($B206,'TB YTD'!$4:$1048576,MATCH('List of Ledgers '!O$4,'TB YTD'!$4:$4,0),0),0)</f>
        <v>2343</v>
      </c>
      <c r="P206" s="63">
        <f>IFERROR(VLOOKUP($B206,'TB YTD'!$4:$1048576,MATCH('List of Ledgers '!P$4,'TB YTD'!$4:$4,0),0),0)</f>
        <v>2343</v>
      </c>
      <c r="Q206" s="63">
        <f>IFERROR(VLOOKUP($B206,'TB YTD'!$4:$1048576,MATCH('List of Ledgers '!Q$4,'TB YTD'!$4:$4,0),0),0)</f>
        <v>0</v>
      </c>
      <c r="R206" s="63"/>
    </row>
    <row r="207" spans="1:18" hidden="1" x14ac:dyDescent="0.25">
      <c r="A207" s="106">
        <v>199</v>
      </c>
      <c r="B207" s="8" t="s">
        <v>391</v>
      </c>
      <c r="C207" s="8" t="s">
        <v>392</v>
      </c>
      <c r="D207" s="17"/>
      <c r="E207" s="17"/>
      <c r="G207" s="17"/>
      <c r="H207" s="62"/>
      <c r="I207" s="37">
        <f>IFERROR(VLOOKUP(B207,'TB '!$A:$G,7,),0)</f>
        <v>0</v>
      </c>
      <c r="J207" s="37">
        <f>IFERROR(VLOOKUP($B207,'TB '!$4:$1048576,MATCH('List of Ledgers '!J$4,'TB '!$4:$4,0),0),0)</f>
        <v>1141</v>
      </c>
      <c r="K207" s="37">
        <f>IFERROR(VLOOKUP($B207,'TB '!$4:$1048576,MATCH('List of Ledgers '!K$4,'TB '!$4:$4,0),0),0)</f>
        <v>0</v>
      </c>
      <c r="L207" s="37">
        <f>IFERROR(VLOOKUP(B207,'TB '!$A:$J,10,),0)</f>
        <v>1141</v>
      </c>
      <c r="M207" s="71"/>
      <c r="N207" s="63">
        <f>IFERROR(VLOOKUP($B207,'TB YTD'!$4:$1048576,MATCH('List of Ledgers '!N$4,'TB YTD'!$4:$4,0),0),0)</f>
        <v>-1145</v>
      </c>
      <c r="O207" s="63">
        <f>IFERROR(VLOOKUP($B207,'TB YTD'!$4:$1048576,MATCH('List of Ledgers '!O$4,'TB YTD'!$4:$4,0),0),0)</f>
        <v>9877</v>
      </c>
      <c r="P207" s="63">
        <f>IFERROR(VLOOKUP($B207,'TB YTD'!$4:$1048576,MATCH('List of Ledgers '!P$4,'TB YTD'!$4:$4,0),0),0)</f>
        <v>7591</v>
      </c>
      <c r="Q207" s="63">
        <f>IFERROR(VLOOKUP($B207,'TB YTD'!$4:$1048576,MATCH('List of Ledgers '!Q$4,'TB YTD'!$4:$4,0),0),0)</f>
        <v>1141</v>
      </c>
      <c r="R207" s="63"/>
    </row>
    <row r="208" spans="1:18" hidden="1" x14ac:dyDescent="0.25">
      <c r="A208" s="106">
        <v>200</v>
      </c>
      <c r="B208" s="8" t="s">
        <v>393</v>
      </c>
      <c r="C208" s="8" t="s">
        <v>377</v>
      </c>
      <c r="D208" s="17" t="s">
        <v>151</v>
      </c>
      <c r="E208" s="17" t="s">
        <v>152</v>
      </c>
      <c r="F208" s="12" t="s">
        <v>63</v>
      </c>
      <c r="G208" s="17" t="s">
        <v>7</v>
      </c>
      <c r="H208" s="62"/>
      <c r="I208" s="37">
        <f>IFERROR(VLOOKUP(B208,'TB '!$A:$G,7,),0)</f>
        <v>0</v>
      </c>
      <c r="J208" s="37">
        <f>IFERROR(VLOOKUP($B208,'TB '!$4:$1048576,MATCH('List of Ledgers '!J$4,'TB '!$4:$4,0),0),0)</f>
        <v>0</v>
      </c>
      <c r="K208" s="37">
        <f>IFERROR(VLOOKUP($B208,'TB '!$4:$1048576,MATCH('List of Ledgers '!K$4,'TB '!$4:$4,0),0),0)</f>
        <v>0</v>
      </c>
      <c r="L208" s="37">
        <f>IFERROR(VLOOKUP(B208,'TB '!$A:$J,10,),0)</f>
        <v>0</v>
      </c>
      <c r="M208" s="71"/>
      <c r="N208" s="63">
        <f>IFERROR(VLOOKUP($B208,'TB YTD'!$4:$1048576,MATCH('List of Ledgers '!N$4,'TB YTD'!$4:$4,0),0),0)</f>
        <v>0</v>
      </c>
      <c r="O208" s="63">
        <f>IFERROR(VLOOKUP($B208,'TB YTD'!$4:$1048576,MATCH('List of Ledgers '!O$4,'TB YTD'!$4:$4,0),0),0)</f>
        <v>0</v>
      </c>
      <c r="P208" s="63">
        <f>IFERROR(VLOOKUP($B208,'TB YTD'!$4:$1048576,MATCH('List of Ledgers '!P$4,'TB YTD'!$4:$4,0),0),0)</f>
        <v>0</v>
      </c>
      <c r="Q208" s="63">
        <f>IFERROR(VLOOKUP($B208,'TB YTD'!$4:$1048576,MATCH('List of Ledgers '!Q$4,'TB YTD'!$4:$4,0),0),0)</f>
        <v>0</v>
      </c>
      <c r="R208" s="63"/>
    </row>
    <row r="209" spans="1:18" hidden="1" x14ac:dyDescent="0.25">
      <c r="A209" s="106">
        <v>201</v>
      </c>
      <c r="B209" s="8" t="s">
        <v>394</v>
      </c>
      <c r="C209" s="8" t="s">
        <v>395</v>
      </c>
      <c r="D209" s="17"/>
      <c r="E209" s="17"/>
      <c r="G209" s="17"/>
      <c r="H209" s="62"/>
      <c r="I209" s="37">
        <f>IFERROR(VLOOKUP(B209,'TB '!$A:$G,7,),0)</f>
        <v>0</v>
      </c>
      <c r="J209" s="37">
        <f>IFERROR(VLOOKUP($B209,'TB '!$4:$1048576,MATCH('List of Ledgers '!J$4,'TB '!$4:$4,0),0),0)</f>
        <v>0</v>
      </c>
      <c r="K209" s="37">
        <f>IFERROR(VLOOKUP($B209,'TB '!$4:$1048576,MATCH('List of Ledgers '!K$4,'TB '!$4:$4,0),0),0)</f>
        <v>0</v>
      </c>
      <c r="L209" s="37">
        <f>IFERROR(VLOOKUP(B209,'TB '!$A:$J,10,),0)</f>
        <v>0</v>
      </c>
      <c r="M209" s="71"/>
      <c r="N209" s="63">
        <f>IFERROR(VLOOKUP($B209,'TB YTD'!$4:$1048576,MATCH('List of Ledgers '!N$4,'TB YTD'!$4:$4,0),0),0)</f>
        <v>0</v>
      </c>
      <c r="O209" s="63">
        <f>IFERROR(VLOOKUP($B209,'TB YTD'!$4:$1048576,MATCH('List of Ledgers '!O$4,'TB YTD'!$4:$4,0),0),0)</f>
        <v>0</v>
      </c>
      <c r="P209" s="63">
        <f>IFERROR(VLOOKUP($B209,'TB YTD'!$4:$1048576,MATCH('List of Ledgers '!P$4,'TB YTD'!$4:$4,0),0),0)</f>
        <v>0</v>
      </c>
      <c r="Q209" s="63">
        <f>IFERROR(VLOOKUP($B209,'TB YTD'!$4:$1048576,MATCH('List of Ledgers '!Q$4,'TB YTD'!$4:$4,0),0),0)</f>
        <v>0</v>
      </c>
      <c r="R209" s="63"/>
    </row>
    <row r="210" spans="1:18" hidden="1" x14ac:dyDescent="0.25">
      <c r="A210" s="106">
        <v>202</v>
      </c>
      <c r="B210" s="8" t="s">
        <v>396</v>
      </c>
      <c r="C210" s="8" t="s">
        <v>397</v>
      </c>
      <c r="D210" s="17"/>
      <c r="E210" s="17"/>
      <c r="G210" s="17"/>
      <c r="H210" s="62"/>
      <c r="I210" s="37">
        <f>IFERROR(VLOOKUP(B210,'TB '!$A:$G,7,),0)</f>
        <v>0</v>
      </c>
      <c r="J210" s="37">
        <f>IFERROR(VLOOKUP($B210,'TB '!$4:$1048576,MATCH('List of Ledgers '!J$4,'TB '!$4:$4,0),0),0)</f>
        <v>0</v>
      </c>
      <c r="K210" s="37">
        <f>IFERROR(VLOOKUP($B210,'TB '!$4:$1048576,MATCH('List of Ledgers '!K$4,'TB '!$4:$4,0),0),0)</f>
        <v>0</v>
      </c>
      <c r="L210" s="37">
        <f>IFERROR(VLOOKUP(B210,'TB '!$A:$J,10,),0)</f>
        <v>0</v>
      </c>
      <c r="M210" s="71"/>
      <c r="N210" s="63">
        <f>IFERROR(VLOOKUP($B210,'TB YTD'!$4:$1048576,MATCH('List of Ledgers '!N$4,'TB YTD'!$4:$4,0),0),0)</f>
        <v>0</v>
      </c>
      <c r="O210" s="63">
        <f>IFERROR(VLOOKUP($B210,'TB YTD'!$4:$1048576,MATCH('List of Ledgers '!O$4,'TB YTD'!$4:$4,0),0),0)</f>
        <v>0</v>
      </c>
      <c r="P210" s="63">
        <f>IFERROR(VLOOKUP($B210,'TB YTD'!$4:$1048576,MATCH('List of Ledgers '!P$4,'TB YTD'!$4:$4,0),0),0)</f>
        <v>0</v>
      </c>
      <c r="Q210" s="63">
        <f>IFERROR(VLOOKUP($B210,'TB YTD'!$4:$1048576,MATCH('List of Ledgers '!Q$4,'TB YTD'!$4:$4,0),0),0)</f>
        <v>0</v>
      </c>
      <c r="R210" s="63"/>
    </row>
    <row r="211" spans="1:18" hidden="1" x14ac:dyDescent="0.25">
      <c r="A211" s="106">
        <v>203</v>
      </c>
      <c r="B211" s="8" t="s">
        <v>398</v>
      </c>
      <c r="C211" s="8" t="s">
        <v>399</v>
      </c>
      <c r="D211" s="17"/>
      <c r="E211" s="17"/>
      <c r="G211" s="17"/>
      <c r="H211" s="62"/>
      <c r="I211" s="37">
        <f>IFERROR(VLOOKUP(B211,'TB '!$A:$G,7,),0)</f>
        <v>0</v>
      </c>
      <c r="J211" s="37">
        <f>IFERROR(VLOOKUP($B211,'TB '!$4:$1048576,MATCH('List of Ledgers '!J$4,'TB '!$4:$4,0),0),0)</f>
        <v>566</v>
      </c>
      <c r="K211" s="37">
        <f>IFERROR(VLOOKUP($B211,'TB '!$4:$1048576,MATCH('List of Ledgers '!K$4,'TB '!$4:$4,0),0),0)</f>
        <v>0</v>
      </c>
      <c r="L211" s="37">
        <f>IFERROR(VLOOKUP(B211,'TB '!$A:$J,10,),0)</f>
        <v>566</v>
      </c>
      <c r="M211" s="71"/>
      <c r="N211" s="63">
        <f>IFERROR(VLOOKUP($B211,'TB YTD'!$4:$1048576,MATCH('List of Ledgers '!N$4,'TB YTD'!$4:$4,0),0),0)</f>
        <v>-955</v>
      </c>
      <c r="O211" s="63">
        <f>IFERROR(VLOOKUP($B211,'TB YTD'!$4:$1048576,MATCH('List of Ledgers '!O$4,'TB YTD'!$4:$4,0),0),0)</f>
        <v>9745</v>
      </c>
      <c r="P211" s="63">
        <f>IFERROR(VLOOKUP($B211,'TB YTD'!$4:$1048576,MATCH('List of Ledgers '!P$4,'TB YTD'!$4:$4,0),0),0)</f>
        <v>8224</v>
      </c>
      <c r="Q211" s="63">
        <f>IFERROR(VLOOKUP($B211,'TB YTD'!$4:$1048576,MATCH('List of Ledgers '!Q$4,'TB YTD'!$4:$4,0),0),0)</f>
        <v>566</v>
      </c>
      <c r="R211" s="63"/>
    </row>
    <row r="212" spans="1:18" hidden="1" x14ac:dyDescent="0.25">
      <c r="A212" s="106">
        <v>204</v>
      </c>
      <c r="B212" s="8" t="s">
        <v>400</v>
      </c>
      <c r="C212" s="8" t="s">
        <v>401</v>
      </c>
      <c r="D212" s="17"/>
      <c r="E212" s="17"/>
      <c r="G212" s="17"/>
      <c r="H212" s="62"/>
      <c r="I212" s="37">
        <f>IFERROR(VLOOKUP(B212,'TB '!$A:$G,7,),0)</f>
        <v>0</v>
      </c>
      <c r="J212" s="37">
        <f>IFERROR(VLOOKUP($B212,'TB '!$4:$1048576,MATCH('List of Ledgers '!J$4,'TB '!$4:$4,0),0),0)</f>
        <v>0</v>
      </c>
      <c r="K212" s="37">
        <f>IFERROR(VLOOKUP($B212,'TB '!$4:$1048576,MATCH('List of Ledgers '!K$4,'TB '!$4:$4,0),0),0)</f>
        <v>0</v>
      </c>
      <c r="L212" s="37">
        <f>IFERROR(VLOOKUP(B212,'TB '!$A:$J,10,),0)</f>
        <v>0</v>
      </c>
      <c r="M212" s="71"/>
      <c r="N212" s="63">
        <f>IFERROR(VLOOKUP($B212,'TB YTD'!$4:$1048576,MATCH('List of Ledgers '!N$4,'TB YTD'!$4:$4,0),0),0)</f>
        <v>0</v>
      </c>
      <c r="O212" s="63">
        <f>IFERROR(VLOOKUP($B212,'TB YTD'!$4:$1048576,MATCH('List of Ledgers '!O$4,'TB YTD'!$4:$4,0),0),0)</f>
        <v>1032</v>
      </c>
      <c r="P212" s="63">
        <f>IFERROR(VLOOKUP($B212,'TB YTD'!$4:$1048576,MATCH('List of Ledgers '!P$4,'TB YTD'!$4:$4,0),0),0)</f>
        <v>1032</v>
      </c>
      <c r="Q212" s="63">
        <f>IFERROR(VLOOKUP($B212,'TB YTD'!$4:$1048576,MATCH('List of Ledgers '!Q$4,'TB YTD'!$4:$4,0),0),0)</f>
        <v>0</v>
      </c>
      <c r="R212" s="63"/>
    </row>
    <row r="213" spans="1:18" hidden="1" x14ac:dyDescent="0.25">
      <c r="A213" s="106">
        <v>205</v>
      </c>
      <c r="B213" s="8" t="s">
        <v>402</v>
      </c>
      <c r="C213" s="8" t="s">
        <v>395</v>
      </c>
      <c r="D213" s="17"/>
      <c r="E213" s="17"/>
      <c r="G213" s="17"/>
      <c r="H213" s="62"/>
      <c r="I213" s="37">
        <f>IFERROR(VLOOKUP(B213,'TB '!$A:$G,7,),0)</f>
        <v>0</v>
      </c>
      <c r="J213" s="37">
        <f>IFERROR(VLOOKUP($B213,'TB '!$4:$1048576,MATCH('List of Ledgers '!J$4,'TB '!$4:$4,0),0),0)</f>
        <v>0</v>
      </c>
      <c r="K213" s="37">
        <f>IFERROR(VLOOKUP($B213,'TB '!$4:$1048576,MATCH('List of Ledgers '!K$4,'TB '!$4:$4,0),0),0)</f>
        <v>0</v>
      </c>
      <c r="L213" s="37">
        <f>IFERROR(VLOOKUP(B213,'TB '!$A:$J,10,),0)</f>
        <v>0</v>
      </c>
      <c r="M213" s="71"/>
      <c r="N213" s="63">
        <f>IFERROR(VLOOKUP($B213,'TB YTD'!$4:$1048576,MATCH('List of Ledgers '!N$4,'TB YTD'!$4:$4,0),0),0)</f>
        <v>0</v>
      </c>
      <c r="O213" s="63">
        <f>IFERROR(VLOOKUP($B213,'TB YTD'!$4:$1048576,MATCH('List of Ledgers '!O$4,'TB YTD'!$4:$4,0),0),0)</f>
        <v>0</v>
      </c>
      <c r="P213" s="63">
        <f>IFERROR(VLOOKUP($B213,'TB YTD'!$4:$1048576,MATCH('List of Ledgers '!P$4,'TB YTD'!$4:$4,0),0),0)</f>
        <v>0</v>
      </c>
      <c r="Q213" s="63">
        <f>IFERROR(VLOOKUP($B213,'TB YTD'!$4:$1048576,MATCH('List of Ledgers '!Q$4,'TB YTD'!$4:$4,0),0),0)</f>
        <v>0</v>
      </c>
      <c r="R213" s="63"/>
    </row>
    <row r="214" spans="1:18" hidden="1" x14ac:dyDescent="0.25">
      <c r="A214" s="106">
        <v>206</v>
      </c>
      <c r="B214" s="8" t="s">
        <v>403</v>
      </c>
      <c r="C214" s="8" t="s">
        <v>390</v>
      </c>
      <c r="D214" s="17"/>
      <c r="E214" s="17"/>
      <c r="G214" s="17"/>
      <c r="H214" s="62"/>
      <c r="I214" s="37">
        <f>IFERROR(VLOOKUP(B214,'TB '!$A:$G,7,),0)</f>
        <v>0</v>
      </c>
      <c r="J214" s="37">
        <f>IFERROR(VLOOKUP($B214,'TB '!$4:$1048576,MATCH('List of Ledgers '!J$4,'TB '!$4:$4,0),0),0)</f>
        <v>0</v>
      </c>
      <c r="K214" s="37">
        <f>IFERROR(VLOOKUP($B214,'TB '!$4:$1048576,MATCH('List of Ledgers '!K$4,'TB '!$4:$4,0),0),0)</f>
        <v>0</v>
      </c>
      <c r="L214" s="37">
        <f>IFERROR(VLOOKUP(B214,'TB '!$A:$J,10,),0)</f>
        <v>0</v>
      </c>
      <c r="M214" s="71"/>
      <c r="N214" s="63">
        <f>IFERROR(VLOOKUP($B214,'TB YTD'!$4:$1048576,MATCH('List of Ledgers '!N$4,'TB YTD'!$4:$4,0),0),0)</f>
        <v>0</v>
      </c>
      <c r="O214" s="63">
        <f>IFERROR(VLOOKUP($B214,'TB YTD'!$4:$1048576,MATCH('List of Ledgers '!O$4,'TB YTD'!$4:$4,0),0),0)</f>
        <v>0</v>
      </c>
      <c r="P214" s="63">
        <f>IFERROR(VLOOKUP($B214,'TB YTD'!$4:$1048576,MATCH('List of Ledgers '!P$4,'TB YTD'!$4:$4,0),0),0)</f>
        <v>0</v>
      </c>
      <c r="Q214" s="63">
        <f>IFERROR(VLOOKUP($B214,'TB YTD'!$4:$1048576,MATCH('List of Ledgers '!Q$4,'TB YTD'!$4:$4,0),0),0)</f>
        <v>0</v>
      </c>
      <c r="R214" s="63"/>
    </row>
    <row r="215" spans="1:18" hidden="1" x14ac:dyDescent="0.25">
      <c r="A215" s="106">
        <v>207</v>
      </c>
      <c r="B215" s="8" t="s">
        <v>404</v>
      </c>
      <c r="C215" s="8" t="s">
        <v>399</v>
      </c>
      <c r="D215" s="17"/>
      <c r="E215" s="17"/>
      <c r="G215" s="17"/>
      <c r="H215" s="62"/>
      <c r="I215" s="37">
        <f>IFERROR(VLOOKUP(B215,'TB '!$A:$G,7,),0)</f>
        <v>0</v>
      </c>
      <c r="J215" s="37">
        <f>IFERROR(VLOOKUP($B215,'TB '!$4:$1048576,MATCH('List of Ledgers '!J$4,'TB '!$4:$4,0),0),0)</f>
        <v>0</v>
      </c>
      <c r="K215" s="37">
        <f>IFERROR(VLOOKUP($B215,'TB '!$4:$1048576,MATCH('List of Ledgers '!K$4,'TB '!$4:$4,0),0),0)</f>
        <v>0</v>
      </c>
      <c r="L215" s="37">
        <f>IFERROR(VLOOKUP(B215,'TB '!$A:$J,10,),0)</f>
        <v>0</v>
      </c>
      <c r="M215" s="71"/>
      <c r="N215" s="63">
        <f>IFERROR(VLOOKUP($B215,'TB YTD'!$4:$1048576,MATCH('List of Ledgers '!N$4,'TB YTD'!$4:$4,0),0),0)</f>
        <v>0</v>
      </c>
      <c r="O215" s="63">
        <f>IFERROR(VLOOKUP($B215,'TB YTD'!$4:$1048576,MATCH('List of Ledgers '!O$4,'TB YTD'!$4:$4,0),0),0)</f>
        <v>2000</v>
      </c>
      <c r="P215" s="63">
        <f>IFERROR(VLOOKUP($B215,'TB YTD'!$4:$1048576,MATCH('List of Ledgers '!P$4,'TB YTD'!$4:$4,0),0),0)</f>
        <v>2000</v>
      </c>
      <c r="Q215" s="63">
        <f>IFERROR(VLOOKUP($B215,'TB YTD'!$4:$1048576,MATCH('List of Ledgers '!Q$4,'TB YTD'!$4:$4,0),0),0)</f>
        <v>0</v>
      </c>
      <c r="R215" s="63"/>
    </row>
    <row r="216" spans="1:18" hidden="1" x14ac:dyDescent="0.25">
      <c r="A216" s="106">
        <v>208</v>
      </c>
      <c r="B216" s="8" t="s">
        <v>405</v>
      </c>
      <c r="C216" s="8" t="s">
        <v>399</v>
      </c>
      <c r="D216" s="17"/>
      <c r="E216" s="17"/>
      <c r="G216" s="17"/>
      <c r="H216" s="62"/>
      <c r="I216" s="37">
        <f>IFERROR(VLOOKUP(B216,'TB '!$A:$G,7,),0)</f>
        <v>0</v>
      </c>
      <c r="J216" s="37">
        <f>IFERROR(VLOOKUP($B216,'TB '!$4:$1048576,MATCH('List of Ledgers '!J$4,'TB '!$4:$4,0),0),0)</f>
        <v>0</v>
      </c>
      <c r="K216" s="37">
        <f>IFERROR(VLOOKUP($B216,'TB '!$4:$1048576,MATCH('List of Ledgers '!K$4,'TB '!$4:$4,0),0),0)</f>
        <v>0</v>
      </c>
      <c r="L216" s="37">
        <f>IFERROR(VLOOKUP(B216,'TB '!$A:$J,10,),0)</f>
        <v>0</v>
      </c>
      <c r="M216" s="71"/>
      <c r="N216" s="63">
        <f>IFERROR(VLOOKUP($B216,'TB YTD'!$4:$1048576,MATCH('List of Ledgers '!N$4,'TB YTD'!$4:$4,0),0),0)</f>
        <v>-1125</v>
      </c>
      <c r="O216" s="63">
        <f>IFERROR(VLOOKUP($B216,'TB YTD'!$4:$1048576,MATCH('List of Ledgers '!O$4,'TB YTD'!$4:$4,0),0),0)</f>
        <v>3938</v>
      </c>
      <c r="P216" s="63">
        <f>IFERROR(VLOOKUP($B216,'TB YTD'!$4:$1048576,MATCH('List of Ledgers '!P$4,'TB YTD'!$4:$4,0),0),0)</f>
        <v>2813</v>
      </c>
      <c r="Q216" s="63">
        <f>IFERROR(VLOOKUP($B216,'TB YTD'!$4:$1048576,MATCH('List of Ledgers '!Q$4,'TB YTD'!$4:$4,0),0),0)</f>
        <v>0</v>
      </c>
      <c r="R216" s="63"/>
    </row>
    <row r="217" spans="1:18" hidden="1" x14ac:dyDescent="0.25">
      <c r="A217" s="106">
        <v>209</v>
      </c>
      <c r="B217" s="8" t="s">
        <v>406</v>
      </c>
      <c r="C217" s="8" t="s">
        <v>399</v>
      </c>
      <c r="D217" s="17"/>
      <c r="E217" s="17"/>
      <c r="G217" s="17"/>
      <c r="H217" s="62"/>
      <c r="I217" s="37">
        <f>IFERROR(VLOOKUP(B217,'TB '!$A:$G,7,),0)</f>
        <v>0</v>
      </c>
      <c r="J217" s="37">
        <f>IFERROR(VLOOKUP($B217,'TB '!$4:$1048576,MATCH('List of Ledgers '!J$4,'TB '!$4:$4,0),0),0)</f>
        <v>0</v>
      </c>
      <c r="K217" s="37">
        <f>IFERROR(VLOOKUP($B217,'TB '!$4:$1048576,MATCH('List of Ledgers '!K$4,'TB '!$4:$4,0),0),0)</f>
        <v>0</v>
      </c>
      <c r="L217" s="37">
        <f>IFERROR(VLOOKUP(B217,'TB '!$A:$J,10,),0)</f>
        <v>0</v>
      </c>
      <c r="M217" s="71"/>
      <c r="N217" s="63">
        <f>IFERROR(VLOOKUP($B217,'TB YTD'!$4:$1048576,MATCH('List of Ledgers '!N$4,'TB YTD'!$4:$4,0),0),0)</f>
        <v>0</v>
      </c>
      <c r="O217" s="63">
        <f>IFERROR(VLOOKUP($B217,'TB YTD'!$4:$1048576,MATCH('List of Ledgers '!O$4,'TB YTD'!$4:$4,0),0),0)</f>
        <v>0</v>
      </c>
      <c r="P217" s="63">
        <f>IFERROR(VLOOKUP($B217,'TB YTD'!$4:$1048576,MATCH('List of Ledgers '!P$4,'TB YTD'!$4:$4,0),0),0)</f>
        <v>0</v>
      </c>
      <c r="Q217" s="63">
        <f>IFERROR(VLOOKUP($B217,'TB YTD'!$4:$1048576,MATCH('List of Ledgers '!Q$4,'TB YTD'!$4:$4,0),0),0)</f>
        <v>0</v>
      </c>
      <c r="R217" s="63"/>
    </row>
    <row r="218" spans="1:18" hidden="1" x14ac:dyDescent="0.25">
      <c r="A218" s="106">
        <v>210</v>
      </c>
      <c r="B218" s="8" t="s">
        <v>407</v>
      </c>
      <c r="C218" s="8" t="s">
        <v>399</v>
      </c>
      <c r="D218" s="17"/>
      <c r="E218" s="17"/>
      <c r="G218" s="17"/>
      <c r="H218" s="62"/>
      <c r="I218" s="37">
        <f>IFERROR(VLOOKUP(B218,'TB '!$A:$G,7,),0)</f>
        <v>0</v>
      </c>
      <c r="J218" s="37">
        <f>IFERROR(VLOOKUP($B218,'TB '!$4:$1048576,MATCH('List of Ledgers '!J$4,'TB '!$4:$4,0),0),0)</f>
        <v>0</v>
      </c>
      <c r="K218" s="37">
        <f>IFERROR(VLOOKUP($B218,'TB '!$4:$1048576,MATCH('List of Ledgers '!K$4,'TB '!$4:$4,0),0),0)</f>
        <v>0</v>
      </c>
      <c r="L218" s="37">
        <f>IFERROR(VLOOKUP(B218,'TB '!$A:$J,10,),0)</f>
        <v>0</v>
      </c>
      <c r="M218" s="71"/>
      <c r="N218" s="63">
        <f>IFERROR(VLOOKUP($B218,'TB YTD'!$4:$1048576,MATCH('List of Ledgers '!N$4,'TB YTD'!$4:$4,0),0),0)</f>
        <v>0</v>
      </c>
      <c r="O218" s="63">
        <f>IFERROR(VLOOKUP($B218,'TB YTD'!$4:$1048576,MATCH('List of Ledgers '!O$4,'TB YTD'!$4:$4,0),0),0)</f>
        <v>164</v>
      </c>
      <c r="P218" s="63">
        <f>IFERROR(VLOOKUP($B218,'TB YTD'!$4:$1048576,MATCH('List of Ledgers '!P$4,'TB YTD'!$4:$4,0),0),0)</f>
        <v>164</v>
      </c>
      <c r="Q218" s="63">
        <f>IFERROR(VLOOKUP($B218,'TB YTD'!$4:$1048576,MATCH('List of Ledgers '!Q$4,'TB YTD'!$4:$4,0),0),0)</f>
        <v>0</v>
      </c>
      <c r="R218" s="63"/>
    </row>
    <row r="219" spans="1:18" hidden="1" x14ac:dyDescent="0.25">
      <c r="A219" s="106">
        <v>211</v>
      </c>
      <c r="B219" s="8" t="s">
        <v>408</v>
      </c>
      <c r="C219" s="8" t="s">
        <v>236</v>
      </c>
      <c r="D219" s="17" t="s">
        <v>151</v>
      </c>
      <c r="E219" s="17" t="s">
        <v>152</v>
      </c>
      <c r="F219" s="12" t="s">
        <v>63</v>
      </c>
      <c r="G219" s="17" t="s">
        <v>7</v>
      </c>
      <c r="H219" s="62"/>
      <c r="I219" s="37">
        <f>IFERROR(VLOOKUP(B219,'TB '!$A:$G,7,),0)</f>
        <v>0</v>
      </c>
      <c r="J219" s="37">
        <f>IFERROR(VLOOKUP($B219,'TB '!$4:$1048576,MATCH('List of Ledgers '!J$4,'TB '!$4:$4,0),0),0)</f>
        <v>0</v>
      </c>
      <c r="K219" s="37">
        <f>IFERROR(VLOOKUP($B219,'TB '!$4:$1048576,MATCH('List of Ledgers '!K$4,'TB '!$4:$4,0),0),0)</f>
        <v>0</v>
      </c>
      <c r="L219" s="37">
        <f>IFERROR(VLOOKUP(B219,'TB '!$A:$J,10,),0)</f>
        <v>0</v>
      </c>
      <c r="M219" s="71"/>
      <c r="N219" s="63">
        <f>IFERROR(VLOOKUP($B219,'TB YTD'!$4:$1048576,MATCH('List of Ledgers '!N$4,'TB YTD'!$4:$4,0),0),0)</f>
        <v>0</v>
      </c>
      <c r="O219" s="63">
        <f>IFERROR(VLOOKUP($B219,'TB YTD'!$4:$1048576,MATCH('List of Ledgers '!O$4,'TB YTD'!$4:$4,0),0),0)</f>
        <v>2164</v>
      </c>
      <c r="P219" s="63">
        <f>IFERROR(VLOOKUP($B219,'TB YTD'!$4:$1048576,MATCH('List of Ledgers '!P$4,'TB YTD'!$4:$4,0),0),0)</f>
        <v>0</v>
      </c>
      <c r="Q219" s="63">
        <f>IFERROR(VLOOKUP($B219,'TB YTD'!$4:$1048576,MATCH('List of Ledgers '!Q$4,'TB YTD'!$4:$4,0),0),0)</f>
        <v>2164</v>
      </c>
      <c r="R219" s="63"/>
    </row>
    <row r="220" spans="1:18" hidden="1" x14ac:dyDescent="0.25">
      <c r="A220" s="106">
        <v>212</v>
      </c>
      <c r="B220" s="8" t="s">
        <v>409</v>
      </c>
      <c r="C220" s="8" t="s">
        <v>410</v>
      </c>
      <c r="D220" s="17"/>
      <c r="E220" s="17"/>
      <c r="G220" s="17"/>
      <c r="H220" s="62"/>
      <c r="I220" s="37">
        <f>IFERROR(VLOOKUP(B220,'TB '!$A:$G,7,),0)</f>
        <v>-2490000</v>
      </c>
      <c r="J220" s="37">
        <f>IFERROR(VLOOKUP($B220,'TB '!$4:$1048576,MATCH('List of Ledgers '!J$4,'TB '!$4:$4,0),0),0)</f>
        <v>0</v>
      </c>
      <c r="K220" s="37">
        <f>IFERROR(VLOOKUP($B220,'TB '!$4:$1048576,MATCH('List of Ledgers '!K$4,'TB '!$4:$4,0),0),0)</f>
        <v>0</v>
      </c>
      <c r="L220" s="37">
        <f>IFERROR(VLOOKUP(B220,'TB '!$A:$J,10,),0)</f>
        <v>-2490000</v>
      </c>
      <c r="M220" s="71"/>
      <c r="N220" s="63">
        <f>IFERROR(VLOOKUP($B220,'TB YTD'!$4:$1048576,MATCH('List of Ledgers '!N$4,'TB YTD'!$4:$4,0),0),0)</f>
        <v>-2490000</v>
      </c>
      <c r="O220" s="63">
        <f>IFERROR(VLOOKUP($B220,'TB YTD'!$4:$1048576,MATCH('List of Ledgers '!O$4,'TB YTD'!$4:$4,0),0),0)</f>
        <v>0</v>
      </c>
      <c r="P220" s="63">
        <f>IFERROR(VLOOKUP($B220,'TB YTD'!$4:$1048576,MATCH('List of Ledgers '!P$4,'TB YTD'!$4:$4,0),0),0)</f>
        <v>0</v>
      </c>
      <c r="Q220" s="63">
        <f>IFERROR(VLOOKUP($B220,'TB YTD'!$4:$1048576,MATCH('List of Ledgers '!Q$4,'TB YTD'!$4:$4,0),0),0)</f>
        <v>-2490000</v>
      </c>
      <c r="R220" s="63"/>
    </row>
    <row r="221" spans="1:18" hidden="1" x14ac:dyDescent="0.25">
      <c r="A221" s="106">
        <v>213</v>
      </c>
      <c r="B221" s="8" t="s">
        <v>411</v>
      </c>
      <c r="C221" s="8" t="s">
        <v>397</v>
      </c>
      <c r="D221" s="17"/>
      <c r="E221" s="17"/>
      <c r="G221" s="17"/>
      <c r="H221" s="62"/>
      <c r="I221" s="37">
        <f>IFERROR(VLOOKUP(B221,'TB '!$A:$G,7,),0)</f>
        <v>0</v>
      </c>
      <c r="J221" s="37">
        <f>IFERROR(VLOOKUP($B221,'TB '!$4:$1048576,MATCH('List of Ledgers '!J$4,'TB '!$4:$4,0),0),0)</f>
        <v>0</v>
      </c>
      <c r="K221" s="37">
        <f>IFERROR(VLOOKUP($B221,'TB '!$4:$1048576,MATCH('List of Ledgers '!K$4,'TB '!$4:$4,0),0),0)</f>
        <v>0</v>
      </c>
      <c r="L221" s="37">
        <f>IFERROR(VLOOKUP(B221,'TB '!$A:$J,10,),0)</f>
        <v>0</v>
      </c>
      <c r="M221" s="71"/>
      <c r="N221" s="63">
        <f>IFERROR(VLOOKUP($B221,'TB YTD'!$4:$1048576,MATCH('List of Ledgers '!N$4,'TB YTD'!$4:$4,0),0),0)</f>
        <v>0</v>
      </c>
      <c r="O221" s="63">
        <f>IFERROR(VLOOKUP($B221,'TB YTD'!$4:$1048576,MATCH('List of Ledgers '!O$4,'TB YTD'!$4:$4,0),0),0)</f>
        <v>0</v>
      </c>
      <c r="P221" s="63">
        <f>IFERROR(VLOOKUP($B221,'TB YTD'!$4:$1048576,MATCH('List of Ledgers '!P$4,'TB YTD'!$4:$4,0),0),0)</f>
        <v>0</v>
      </c>
      <c r="Q221" s="63">
        <f>IFERROR(VLOOKUP($B221,'TB YTD'!$4:$1048576,MATCH('List of Ledgers '!Q$4,'TB YTD'!$4:$4,0),0),0)</f>
        <v>0</v>
      </c>
      <c r="R221" s="63"/>
    </row>
    <row r="222" spans="1:18" hidden="1" x14ac:dyDescent="0.25">
      <c r="A222" s="106">
        <v>214</v>
      </c>
      <c r="B222" s="8" t="s">
        <v>412</v>
      </c>
      <c r="C222" s="8" t="s">
        <v>399</v>
      </c>
      <c r="D222" s="17"/>
      <c r="E222" s="17"/>
      <c r="G222" s="17"/>
      <c r="H222" s="62"/>
      <c r="I222" s="37">
        <f>IFERROR(VLOOKUP(B222,'TB '!$A:$G,7,),0)</f>
        <v>-131</v>
      </c>
      <c r="J222" s="37">
        <f>IFERROR(VLOOKUP($B222,'TB '!$4:$1048576,MATCH('List of Ledgers '!J$4,'TB '!$4:$4,0),0),0)</f>
        <v>131</v>
      </c>
      <c r="K222" s="37">
        <f>IFERROR(VLOOKUP($B222,'TB '!$4:$1048576,MATCH('List of Ledgers '!K$4,'TB '!$4:$4,0),0),0)</f>
        <v>133</v>
      </c>
      <c r="L222" s="37">
        <f>IFERROR(VLOOKUP(B222,'TB '!$A:$J,10,),0)</f>
        <v>-133</v>
      </c>
      <c r="M222" s="71"/>
      <c r="N222" s="63">
        <f>IFERROR(VLOOKUP($B222,'TB YTD'!$4:$1048576,MATCH('List of Ledgers '!N$4,'TB YTD'!$4:$4,0),0),0)</f>
        <v>-79</v>
      </c>
      <c r="O222" s="63">
        <f>IFERROR(VLOOKUP($B222,'TB YTD'!$4:$1048576,MATCH('List of Ledgers '!O$4,'TB YTD'!$4:$4,0),0),0)</f>
        <v>1343</v>
      </c>
      <c r="P222" s="63">
        <f>IFERROR(VLOOKUP($B222,'TB YTD'!$4:$1048576,MATCH('List of Ledgers '!P$4,'TB YTD'!$4:$4,0),0),0)</f>
        <v>1397</v>
      </c>
      <c r="Q222" s="63">
        <f>IFERROR(VLOOKUP($B222,'TB YTD'!$4:$1048576,MATCH('List of Ledgers '!Q$4,'TB YTD'!$4:$4,0),0),0)</f>
        <v>-133</v>
      </c>
      <c r="R222" s="63"/>
    </row>
    <row r="223" spans="1:18" hidden="1" x14ac:dyDescent="0.25">
      <c r="A223" s="106">
        <v>215</v>
      </c>
      <c r="B223" s="8" t="s">
        <v>413</v>
      </c>
      <c r="C223" s="8" t="s">
        <v>395</v>
      </c>
      <c r="D223" s="17"/>
      <c r="E223" s="17"/>
      <c r="G223" s="17"/>
      <c r="H223" s="62"/>
      <c r="I223" s="37">
        <f>IFERROR(VLOOKUP(B223,'TB '!$A:$G,7,),0)</f>
        <v>-264</v>
      </c>
      <c r="J223" s="37">
        <f>IFERROR(VLOOKUP($B223,'TB '!$4:$1048576,MATCH('List of Ledgers '!J$4,'TB '!$4:$4,0),0),0)</f>
        <v>264</v>
      </c>
      <c r="K223" s="37">
        <f>IFERROR(VLOOKUP($B223,'TB '!$4:$1048576,MATCH('List of Ledgers '!K$4,'TB '!$4:$4,0),0),0)</f>
        <v>257</v>
      </c>
      <c r="L223" s="37">
        <f>IFERROR(VLOOKUP(B223,'TB '!$A:$J,10,),0)</f>
        <v>-257</v>
      </c>
      <c r="M223" s="71"/>
      <c r="N223" s="63">
        <f>IFERROR(VLOOKUP($B223,'TB YTD'!$4:$1048576,MATCH('List of Ledgers '!N$4,'TB YTD'!$4:$4,0),0),0)</f>
        <v>-265</v>
      </c>
      <c r="O223" s="63">
        <f>IFERROR(VLOOKUP($B223,'TB YTD'!$4:$1048576,MATCH('List of Ledgers '!O$4,'TB YTD'!$4:$4,0),0),0)</f>
        <v>2285</v>
      </c>
      <c r="P223" s="63">
        <f>IFERROR(VLOOKUP($B223,'TB YTD'!$4:$1048576,MATCH('List of Ledgers '!P$4,'TB YTD'!$4:$4,0),0),0)</f>
        <v>2277</v>
      </c>
      <c r="Q223" s="63">
        <f>IFERROR(VLOOKUP($B223,'TB YTD'!$4:$1048576,MATCH('List of Ledgers '!Q$4,'TB YTD'!$4:$4,0),0),0)</f>
        <v>-257</v>
      </c>
      <c r="R223" s="63"/>
    </row>
    <row r="224" spans="1:18" hidden="1" x14ac:dyDescent="0.25">
      <c r="A224" s="106">
        <v>216</v>
      </c>
      <c r="B224" s="8" t="s">
        <v>414</v>
      </c>
      <c r="C224" s="8" t="s">
        <v>415</v>
      </c>
      <c r="D224" s="17"/>
      <c r="E224" s="17"/>
      <c r="G224" s="17"/>
      <c r="H224" s="62"/>
      <c r="I224" s="37">
        <f>IFERROR(VLOOKUP(B224,'TB '!$A:$G,7,),0)</f>
        <v>0</v>
      </c>
      <c r="J224" s="37">
        <f>IFERROR(VLOOKUP($B224,'TB '!$4:$1048576,MATCH('List of Ledgers '!J$4,'TB '!$4:$4,0),0),0)</f>
        <v>0</v>
      </c>
      <c r="K224" s="37">
        <f>IFERROR(VLOOKUP($B224,'TB '!$4:$1048576,MATCH('List of Ledgers '!K$4,'TB '!$4:$4,0),0),0)</f>
        <v>0</v>
      </c>
      <c r="L224" s="37">
        <f>IFERROR(VLOOKUP(B224,'TB '!$A:$J,10,),0)</f>
        <v>0</v>
      </c>
      <c r="M224" s="71"/>
      <c r="N224" s="63">
        <f>IFERROR(VLOOKUP($B224,'TB YTD'!$4:$1048576,MATCH('List of Ledgers '!N$4,'TB YTD'!$4:$4,0),0),0)</f>
        <v>0</v>
      </c>
      <c r="O224" s="63">
        <f>IFERROR(VLOOKUP($B224,'TB YTD'!$4:$1048576,MATCH('List of Ledgers '!O$4,'TB YTD'!$4:$4,0),0),0)</f>
        <v>0</v>
      </c>
      <c r="P224" s="63">
        <f>IFERROR(VLOOKUP($B224,'TB YTD'!$4:$1048576,MATCH('List of Ledgers '!P$4,'TB YTD'!$4:$4,0),0),0)</f>
        <v>0</v>
      </c>
      <c r="Q224" s="63">
        <f>IFERROR(VLOOKUP($B224,'TB YTD'!$4:$1048576,MATCH('List of Ledgers '!Q$4,'TB YTD'!$4:$4,0),0),0)</f>
        <v>0</v>
      </c>
      <c r="R224" s="63"/>
    </row>
    <row r="225" spans="1:18" hidden="1" x14ac:dyDescent="0.25">
      <c r="A225" s="106">
        <v>217</v>
      </c>
      <c r="B225" s="8" t="s">
        <v>416</v>
      </c>
      <c r="C225" s="8" t="s">
        <v>390</v>
      </c>
      <c r="D225" s="17"/>
      <c r="E225" s="17"/>
      <c r="G225" s="17"/>
      <c r="H225" s="62"/>
      <c r="I225" s="37">
        <f>IFERROR(VLOOKUP(B225,'TB '!$A:$G,7,),0)</f>
        <v>0</v>
      </c>
      <c r="J225" s="37">
        <f>IFERROR(VLOOKUP($B225,'TB '!$4:$1048576,MATCH('List of Ledgers '!J$4,'TB '!$4:$4,0),0),0)</f>
        <v>0</v>
      </c>
      <c r="K225" s="37">
        <f>IFERROR(VLOOKUP($B225,'TB '!$4:$1048576,MATCH('List of Ledgers '!K$4,'TB '!$4:$4,0),0),0)</f>
        <v>0</v>
      </c>
      <c r="L225" s="37">
        <f>IFERROR(VLOOKUP(B225,'TB '!$A:$J,10,),0)</f>
        <v>0</v>
      </c>
      <c r="M225" s="71"/>
      <c r="N225" s="63">
        <f>IFERROR(VLOOKUP($B225,'TB YTD'!$4:$1048576,MATCH('List of Ledgers '!N$4,'TB YTD'!$4:$4,0),0),0)</f>
        <v>0</v>
      </c>
      <c r="O225" s="63">
        <f>IFERROR(VLOOKUP($B225,'TB YTD'!$4:$1048576,MATCH('List of Ledgers '!O$4,'TB YTD'!$4:$4,0),0),0)</f>
        <v>4729</v>
      </c>
      <c r="P225" s="63">
        <f>IFERROR(VLOOKUP($B225,'TB YTD'!$4:$1048576,MATCH('List of Ledgers '!P$4,'TB YTD'!$4:$4,0),0),0)</f>
        <v>4729</v>
      </c>
      <c r="Q225" s="63">
        <f>IFERROR(VLOOKUP($B225,'TB YTD'!$4:$1048576,MATCH('List of Ledgers '!Q$4,'TB YTD'!$4:$4,0),0),0)</f>
        <v>0</v>
      </c>
      <c r="R225" s="63"/>
    </row>
    <row r="226" spans="1:18" hidden="1" x14ac:dyDescent="0.25">
      <c r="A226" s="106">
        <v>218</v>
      </c>
      <c r="B226" s="8" t="s">
        <v>417</v>
      </c>
      <c r="C226" s="8" t="s">
        <v>418</v>
      </c>
      <c r="D226" s="17"/>
      <c r="E226" s="17"/>
      <c r="G226" s="17"/>
      <c r="H226" s="62"/>
      <c r="I226" s="37">
        <f>IFERROR(VLOOKUP(B226,'TB '!$A:$G,7,),0)</f>
        <v>0</v>
      </c>
      <c r="J226" s="37">
        <f>IFERROR(VLOOKUP($B226,'TB '!$4:$1048576,MATCH('List of Ledgers '!J$4,'TB '!$4:$4,0),0),0)</f>
        <v>0</v>
      </c>
      <c r="K226" s="37">
        <f>IFERROR(VLOOKUP($B226,'TB '!$4:$1048576,MATCH('List of Ledgers '!K$4,'TB '!$4:$4,0),0),0)</f>
        <v>0</v>
      </c>
      <c r="L226" s="37">
        <f>IFERROR(VLOOKUP(B226,'TB '!$A:$J,10,),0)</f>
        <v>0</v>
      </c>
      <c r="M226" s="71"/>
      <c r="N226" s="63">
        <f>IFERROR(VLOOKUP($B226,'TB YTD'!$4:$1048576,MATCH('List of Ledgers '!N$4,'TB YTD'!$4:$4,0),0),0)</f>
        <v>-1163</v>
      </c>
      <c r="O226" s="63">
        <f>IFERROR(VLOOKUP($B226,'TB YTD'!$4:$1048576,MATCH('List of Ledgers '!O$4,'TB YTD'!$4:$4,0),0),0)</f>
        <v>7591</v>
      </c>
      <c r="P226" s="63">
        <f>IFERROR(VLOOKUP($B226,'TB YTD'!$4:$1048576,MATCH('List of Ledgers '!P$4,'TB YTD'!$4:$4,0),0),0)</f>
        <v>6428</v>
      </c>
      <c r="Q226" s="63">
        <f>IFERROR(VLOOKUP($B226,'TB YTD'!$4:$1048576,MATCH('List of Ledgers '!Q$4,'TB YTD'!$4:$4,0),0),0)</f>
        <v>0</v>
      </c>
      <c r="R226" s="63"/>
    </row>
    <row r="227" spans="1:18" hidden="1" x14ac:dyDescent="0.25">
      <c r="A227" s="106">
        <v>219</v>
      </c>
      <c r="B227" s="8" t="s">
        <v>419</v>
      </c>
      <c r="C227" s="8" t="s">
        <v>150</v>
      </c>
      <c r="D227" s="17" t="s">
        <v>151</v>
      </c>
      <c r="E227" s="17" t="s">
        <v>152</v>
      </c>
      <c r="F227" s="12" t="s">
        <v>63</v>
      </c>
      <c r="G227" s="17" t="s">
        <v>2</v>
      </c>
      <c r="H227" s="62"/>
      <c r="I227" s="37">
        <f>IFERROR(VLOOKUP(B227,'TB '!$A:$G,7,),0)</f>
        <v>0</v>
      </c>
      <c r="J227" s="37">
        <f>IFERROR(VLOOKUP($B227,'TB '!$4:$1048576,MATCH('List of Ledgers '!J$4,'TB '!$4:$4,0),0),0)</f>
        <v>0</v>
      </c>
      <c r="K227" s="37">
        <f>IFERROR(VLOOKUP($B227,'TB '!$4:$1048576,MATCH('List of Ledgers '!K$4,'TB '!$4:$4,0),0),0)</f>
        <v>0</v>
      </c>
      <c r="L227" s="37">
        <f>IFERROR(VLOOKUP(B227,'TB '!$A:$J,10,),0)</f>
        <v>0</v>
      </c>
      <c r="M227" s="71"/>
      <c r="N227" s="63">
        <f>IFERROR(VLOOKUP($B227,'TB YTD'!$4:$1048576,MATCH('List of Ledgers '!N$4,'TB YTD'!$4:$4,0),0),0)</f>
        <v>0</v>
      </c>
      <c r="O227" s="63">
        <f>IFERROR(VLOOKUP($B227,'TB YTD'!$4:$1048576,MATCH('List of Ledgers '!O$4,'TB YTD'!$4:$4,0),0),0)</f>
        <v>0</v>
      </c>
      <c r="P227" s="63">
        <f>IFERROR(VLOOKUP($B227,'TB YTD'!$4:$1048576,MATCH('List of Ledgers '!P$4,'TB YTD'!$4:$4,0),0),0)</f>
        <v>0</v>
      </c>
      <c r="Q227" s="63">
        <f>IFERROR(VLOOKUP($B227,'TB YTD'!$4:$1048576,MATCH('List of Ledgers '!Q$4,'TB YTD'!$4:$4,0),0),0)</f>
        <v>0</v>
      </c>
      <c r="R227" s="63"/>
    </row>
    <row r="228" spans="1:18" hidden="1" x14ac:dyDescent="0.25">
      <c r="A228" s="106">
        <v>220</v>
      </c>
      <c r="B228" s="8" t="s">
        <v>420</v>
      </c>
      <c r="C228" s="8" t="s">
        <v>236</v>
      </c>
      <c r="D228" s="17" t="s">
        <v>151</v>
      </c>
      <c r="E228" s="17" t="s">
        <v>152</v>
      </c>
      <c r="F228" s="12" t="s">
        <v>63</v>
      </c>
      <c r="G228" s="17" t="s">
        <v>7</v>
      </c>
      <c r="H228" s="62"/>
      <c r="I228" s="37">
        <f>IFERROR(VLOOKUP(B228,'TB '!$A:$G,7,),0)</f>
        <v>0</v>
      </c>
      <c r="J228" s="37">
        <f>IFERROR(VLOOKUP($B228,'TB '!$4:$1048576,MATCH('List of Ledgers '!J$4,'TB '!$4:$4,0),0),0)</f>
        <v>0</v>
      </c>
      <c r="K228" s="37">
        <f>IFERROR(VLOOKUP($B228,'TB '!$4:$1048576,MATCH('List of Ledgers '!K$4,'TB '!$4:$4,0),0),0)</f>
        <v>0</v>
      </c>
      <c r="L228" s="37">
        <f>IFERROR(VLOOKUP(B228,'TB '!$A:$J,10,),0)</f>
        <v>0</v>
      </c>
      <c r="M228" s="71"/>
      <c r="N228" s="63">
        <f>IFERROR(VLOOKUP($B228,'TB YTD'!$4:$1048576,MATCH('List of Ledgers '!N$4,'TB YTD'!$4:$4,0),0),0)</f>
        <v>0</v>
      </c>
      <c r="O228" s="63">
        <f>IFERROR(VLOOKUP($B228,'TB YTD'!$4:$1048576,MATCH('List of Ledgers '!O$4,'TB YTD'!$4:$4,0),0),0)</f>
        <v>8104</v>
      </c>
      <c r="P228" s="63">
        <f>IFERROR(VLOOKUP($B228,'TB YTD'!$4:$1048576,MATCH('List of Ledgers '!P$4,'TB YTD'!$4:$4,0),0),0)</f>
        <v>0</v>
      </c>
      <c r="Q228" s="63">
        <f>IFERROR(VLOOKUP($B228,'TB YTD'!$4:$1048576,MATCH('List of Ledgers '!Q$4,'TB YTD'!$4:$4,0),0),0)</f>
        <v>8104</v>
      </c>
      <c r="R228" s="63"/>
    </row>
    <row r="229" spans="1:18" hidden="1" x14ac:dyDescent="0.25">
      <c r="A229" s="106">
        <v>221</v>
      </c>
      <c r="B229" s="8" t="s">
        <v>421</v>
      </c>
      <c r="C229" s="8" t="s">
        <v>238</v>
      </c>
      <c r="D229" s="17" t="s">
        <v>151</v>
      </c>
      <c r="E229" s="17" t="s">
        <v>152</v>
      </c>
      <c r="F229" s="12" t="s">
        <v>63</v>
      </c>
      <c r="G229" s="17" t="s">
        <v>7</v>
      </c>
      <c r="H229" s="62"/>
      <c r="I229" s="37">
        <f>IFERROR(VLOOKUP(B229,'TB '!$A:$G,7,),0)</f>
        <v>0</v>
      </c>
      <c r="J229" s="37">
        <f>IFERROR(VLOOKUP($B229,'TB '!$4:$1048576,MATCH('List of Ledgers '!J$4,'TB '!$4:$4,0),0),0)</f>
        <v>0</v>
      </c>
      <c r="K229" s="37">
        <f>IFERROR(VLOOKUP($B229,'TB '!$4:$1048576,MATCH('List of Ledgers '!K$4,'TB '!$4:$4,0),0),0)</f>
        <v>0</v>
      </c>
      <c r="L229" s="37">
        <f>IFERROR(VLOOKUP(B229,'TB '!$A:$J,10,),0)</f>
        <v>0</v>
      </c>
      <c r="M229" s="71"/>
      <c r="N229" s="63">
        <f>IFERROR(VLOOKUP($B229,'TB YTD'!$4:$1048576,MATCH('List of Ledgers '!N$4,'TB YTD'!$4:$4,0),0),0)</f>
        <v>0</v>
      </c>
      <c r="O229" s="63">
        <f>IFERROR(VLOOKUP($B229,'TB YTD'!$4:$1048576,MATCH('List of Ledgers '!O$4,'TB YTD'!$4:$4,0),0),0)</f>
        <v>6428</v>
      </c>
      <c r="P229" s="63">
        <f>IFERROR(VLOOKUP($B229,'TB YTD'!$4:$1048576,MATCH('List of Ledgers '!P$4,'TB YTD'!$4:$4,0),0),0)</f>
        <v>0</v>
      </c>
      <c r="Q229" s="175">
        <f>IFERROR(VLOOKUP($B229,'TB YTD'!$4:$1048576,MATCH('List of Ledgers '!Q$4,'TB YTD'!$4:$4,0),0),0)</f>
        <v>6428</v>
      </c>
      <c r="R229" s="63"/>
    </row>
    <row r="230" spans="1:18" hidden="1" x14ac:dyDescent="0.25">
      <c r="A230" s="106">
        <v>222</v>
      </c>
      <c r="B230" s="8" t="s">
        <v>422</v>
      </c>
      <c r="C230" s="8" t="s">
        <v>140</v>
      </c>
      <c r="D230" s="17" t="s">
        <v>128</v>
      </c>
      <c r="E230" s="17" t="s">
        <v>131</v>
      </c>
      <c r="G230" s="17" t="s">
        <v>7</v>
      </c>
      <c r="H230" s="62"/>
      <c r="I230" s="37">
        <f>IFERROR(VLOOKUP(B230,'TB '!$A:$G,7,),0)</f>
        <v>0</v>
      </c>
      <c r="J230" s="37">
        <f>IFERROR(VLOOKUP($B230,'TB '!$4:$1048576,MATCH('List of Ledgers '!J$4,'TB '!$4:$4,0),0),0)</f>
        <v>0</v>
      </c>
      <c r="K230" s="37">
        <f>IFERROR(VLOOKUP($B230,'TB '!$4:$1048576,MATCH('List of Ledgers '!K$4,'TB '!$4:$4,0),0),0)</f>
        <v>0</v>
      </c>
      <c r="L230" s="37">
        <f>IFERROR(VLOOKUP(B230,'TB '!$A:$J,10,),0)</f>
        <v>0</v>
      </c>
      <c r="M230" s="71"/>
      <c r="N230" s="63">
        <f>IFERROR(VLOOKUP($B230,'TB YTD'!$4:$1048576,MATCH('List of Ledgers '!N$4,'TB YTD'!$4:$4,0),0),0)</f>
        <v>-1086</v>
      </c>
      <c r="O230" s="63">
        <f>IFERROR(VLOOKUP($B230,'TB YTD'!$4:$1048576,MATCH('List of Ledgers '!O$4,'TB YTD'!$4:$4,0),0),0)</f>
        <v>1086</v>
      </c>
      <c r="P230" s="63">
        <f>IFERROR(VLOOKUP($B230,'TB YTD'!$4:$1048576,MATCH('List of Ledgers '!P$4,'TB YTD'!$4:$4,0),0),0)</f>
        <v>0</v>
      </c>
      <c r="Q230" s="63">
        <f>IFERROR(VLOOKUP($B230,'TB YTD'!$4:$1048576,MATCH('List of Ledgers '!Q$4,'TB YTD'!$4:$4,0),0),0)</f>
        <v>0</v>
      </c>
      <c r="R230" s="63"/>
    </row>
    <row r="231" spans="1:18" hidden="1" x14ac:dyDescent="0.25">
      <c r="A231" s="106">
        <v>223</v>
      </c>
      <c r="B231" s="151" t="s">
        <v>423</v>
      </c>
      <c r="C231" s="151" t="s">
        <v>1289</v>
      </c>
      <c r="D231" s="12" t="s">
        <v>151</v>
      </c>
      <c r="E231" s="17" t="s">
        <v>1291</v>
      </c>
      <c r="F231" s="12" t="s">
        <v>71</v>
      </c>
      <c r="G231" s="17" t="s">
        <v>4</v>
      </c>
      <c r="H231" s="63"/>
      <c r="I231" s="37">
        <f>IFERROR(VLOOKUP(B231,'TB '!$A:$G,7,),0)</f>
        <v>0</v>
      </c>
      <c r="J231" s="37">
        <f>IFERROR(VLOOKUP($B231,'TB '!$4:$1048576,MATCH('List of Ledgers '!J$4,'TB '!$4:$4,0),0),0)</f>
        <v>0</v>
      </c>
      <c r="K231" s="37">
        <f>IFERROR(VLOOKUP($B231,'TB '!$4:$1048576,MATCH('List of Ledgers '!K$4,'TB '!$4:$4,0),0),0)</f>
        <v>0</v>
      </c>
      <c r="L231" s="37">
        <f>IFERROR(VLOOKUP(B231,'TB '!$A:$J,10,),0)</f>
        <v>0</v>
      </c>
      <c r="M231" s="71"/>
      <c r="N231" s="63">
        <f>IFERROR(VLOOKUP($B231,'TB YTD'!$4:$1048576,MATCH('List of Ledgers '!N$4,'TB YTD'!$4:$4,0),0),0)</f>
        <v>0</v>
      </c>
      <c r="O231" s="63">
        <f>IFERROR(VLOOKUP($B231,'TB YTD'!$4:$1048576,MATCH('List of Ledgers '!O$4,'TB YTD'!$4:$4,0),0),0)</f>
        <v>26000</v>
      </c>
      <c r="P231" s="63">
        <f>IFERROR(VLOOKUP($B231,'TB YTD'!$4:$1048576,MATCH('List of Ledgers '!P$4,'TB YTD'!$4:$4,0),0),0)</f>
        <v>0</v>
      </c>
      <c r="Q231" s="63">
        <f>IFERROR(VLOOKUP($B231,'TB YTD'!$4:$1048576,MATCH('List of Ledgers '!Q$4,'TB YTD'!$4:$4,0),0),0)</f>
        <v>26000</v>
      </c>
      <c r="R231" s="63"/>
    </row>
    <row r="232" spans="1:18" hidden="1" x14ac:dyDescent="0.25">
      <c r="A232" s="106">
        <v>224</v>
      </c>
      <c r="B232" s="8" t="s">
        <v>424</v>
      </c>
      <c r="C232" s="8" t="s">
        <v>425</v>
      </c>
      <c r="D232" s="17"/>
      <c r="E232" s="17"/>
      <c r="G232" s="17"/>
      <c r="H232" s="62"/>
      <c r="I232" s="37">
        <f>IFERROR(VLOOKUP(B232,'TB '!$A:$G,7,),0)</f>
        <v>25775</v>
      </c>
      <c r="J232" s="37">
        <f>IFERROR(VLOOKUP($B232,'TB '!$4:$1048576,MATCH('List of Ledgers '!J$4,'TB '!$4:$4,0),0),0)</f>
        <v>0</v>
      </c>
      <c r="K232" s="37">
        <f>IFERROR(VLOOKUP($B232,'TB '!$4:$1048576,MATCH('List of Ledgers '!K$4,'TB '!$4:$4,0),0),0)</f>
        <v>0</v>
      </c>
      <c r="L232" s="37">
        <f>IFERROR(VLOOKUP(B232,'TB '!$A:$J,10,),0)</f>
        <v>25775</v>
      </c>
      <c r="M232" s="71"/>
      <c r="N232" s="63">
        <f>IFERROR(VLOOKUP($B232,'TB YTD'!$4:$1048576,MATCH('List of Ledgers '!N$4,'TB YTD'!$4:$4,0),0),0)</f>
        <v>7775</v>
      </c>
      <c r="O232" s="63">
        <f>IFERROR(VLOOKUP($B232,'TB YTD'!$4:$1048576,MATCH('List of Ledgers '!O$4,'TB YTD'!$4:$4,0),0),0)</f>
        <v>18000</v>
      </c>
      <c r="P232" s="63">
        <f>IFERROR(VLOOKUP($B232,'TB YTD'!$4:$1048576,MATCH('List of Ledgers '!P$4,'TB YTD'!$4:$4,0),0),0)</f>
        <v>0</v>
      </c>
      <c r="Q232" s="63">
        <f>IFERROR(VLOOKUP($B232,'TB YTD'!$4:$1048576,MATCH('List of Ledgers '!Q$4,'TB YTD'!$4:$4,0),0),0)</f>
        <v>25775</v>
      </c>
      <c r="R232" s="63"/>
    </row>
    <row r="233" spans="1:18" hidden="1" x14ac:dyDescent="0.25">
      <c r="A233" s="106">
        <v>225</v>
      </c>
      <c r="B233" s="8" t="s">
        <v>426</v>
      </c>
      <c r="C233" s="8" t="s">
        <v>150</v>
      </c>
      <c r="D233" s="17" t="s">
        <v>151</v>
      </c>
      <c r="E233" s="17" t="s">
        <v>152</v>
      </c>
      <c r="F233" s="12" t="s">
        <v>63</v>
      </c>
      <c r="G233" s="17" t="s">
        <v>2</v>
      </c>
      <c r="H233" s="62"/>
      <c r="I233" s="37">
        <f>IFERROR(VLOOKUP(B233,'TB '!$A:$G,7,),0)</f>
        <v>0</v>
      </c>
      <c r="J233" s="37">
        <f>IFERROR(VLOOKUP($B233,'TB '!$4:$1048576,MATCH('List of Ledgers '!J$4,'TB '!$4:$4,0),0),0)</f>
        <v>0</v>
      </c>
      <c r="K233" s="37">
        <f>IFERROR(VLOOKUP($B233,'TB '!$4:$1048576,MATCH('List of Ledgers '!K$4,'TB '!$4:$4,0),0),0)</f>
        <v>0</v>
      </c>
      <c r="L233" s="37">
        <f>IFERROR(VLOOKUP(B233,'TB '!$A:$J,10,),0)</f>
        <v>0</v>
      </c>
      <c r="M233" s="71"/>
      <c r="N233" s="63">
        <f>IFERROR(VLOOKUP($B233,'TB YTD'!$4:$1048576,MATCH('List of Ledgers '!N$4,'TB YTD'!$4:$4,0),0),0)</f>
        <v>0</v>
      </c>
      <c r="O233" s="63">
        <f>IFERROR(VLOOKUP($B233,'TB YTD'!$4:$1048576,MATCH('List of Ledgers '!O$4,'TB YTD'!$4:$4,0),0),0)</f>
        <v>0</v>
      </c>
      <c r="P233" s="63">
        <f>IFERROR(VLOOKUP($B233,'TB YTD'!$4:$1048576,MATCH('List of Ledgers '!P$4,'TB YTD'!$4:$4,0),0),0)</f>
        <v>0</v>
      </c>
      <c r="Q233" s="63">
        <f>IFERROR(VLOOKUP($B233,'TB YTD'!$4:$1048576,MATCH('List of Ledgers '!Q$4,'TB YTD'!$4:$4,0),0),0)</f>
        <v>0</v>
      </c>
      <c r="R233" s="63"/>
    </row>
    <row r="234" spans="1:18" hidden="1" x14ac:dyDescent="0.25">
      <c r="A234" s="106">
        <v>226</v>
      </c>
      <c r="B234" s="8" t="s">
        <v>427</v>
      </c>
      <c r="C234" s="8" t="s">
        <v>361</v>
      </c>
      <c r="D234" s="17" t="s">
        <v>151</v>
      </c>
      <c r="E234" s="17" t="s">
        <v>152</v>
      </c>
      <c r="F234" s="12" t="s">
        <v>63</v>
      </c>
      <c r="G234" s="17" t="s">
        <v>3</v>
      </c>
      <c r="H234" s="62"/>
      <c r="I234" s="37">
        <f>IFERROR(VLOOKUP(B234,'TB '!$A:$G,7,),0)</f>
        <v>0</v>
      </c>
      <c r="J234" s="37">
        <f>IFERROR(VLOOKUP($B234,'TB '!$4:$1048576,MATCH('List of Ledgers '!J$4,'TB '!$4:$4,0),0),0)</f>
        <v>0</v>
      </c>
      <c r="K234" s="37">
        <f>IFERROR(VLOOKUP($B234,'TB '!$4:$1048576,MATCH('List of Ledgers '!K$4,'TB '!$4:$4,0),0),0)</f>
        <v>0</v>
      </c>
      <c r="L234" s="37">
        <f>IFERROR(VLOOKUP(B234,'TB '!$A:$J,10,),0)</f>
        <v>0</v>
      </c>
      <c r="M234" s="71"/>
      <c r="N234" s="63">
        <f>IFERROR(VLOOKUP($B234,'TB YTD'!$4:$1048576,MATCH('List of Ledgers '!N$4,'TB YTD'!$4:$4,0),0),0)</f>
        <v>0</v>
      </c>
      <c r="O234" s="63">
        <f>IFERROR(VLOOKUP($B234,'TB YTD'!$4:$1048576,MATCH('List of Ledgers '!O$4,'TB YTD'!$4:$4,0),0),0)</f>
        <v>9375</v>
      </c>
      <c r="P234" s="63">
        <f>IFERROR(VLOOKUP($B234,'TB YTD'!$4:$1048576,MATCH('List of Ledgers '!P$4,'TB YTD'!$4:$4,0),0),0)</f>
        <v>0</v>
      </c>
      <c r="Q234" s="63">
        <f>IFERROR(VLOOKUP($B234,'TB YTD'!$4:$1048576,MATCH('List of Ledgers '!Q$4,'TB YTD'!$4:$4,0),0),0)</f>
        <v>9375</v>
      </c>
      <c r="R234" s="63"/>
    </row>
    <row r="235" spans="1:18" hidden="1" x14ac:dyDescent="0.25">
      <c r="A235" s="106">
        <v>227</v>
      </c>
      <c r="B235" s="8" t="s">
        <v>428</v>
      </c>
      <c r="C235" s="8" t="s">
        <v>322</v>
      </c>
      <c r="D235" s="17" t="s">
        <v>151</v>
      </c>
      <c r="E235" s="17" t="s">
        <v>152</v>
      </c>
      <c r="F235" s="12" t="s">
        <v>63</v>
      </c>
      <c r="G235" s="17" t="s">
        <v>7</v>
      </c>
      <c r="H235" s="62"/>
      <c r="I235" s="37">
        <f>IFERROR(VLOOKUP(B235,'TB '!$A:$G,7,),0)</f>
        <v>0</v>
      </c>
      <c r="J235" s="37">
        <f>IFERROR(VLOOKUP($B235,'TB '!$4:$1048576,MATCH('List of Ledgers '!J$4,'TB '!$4:$4,0),0),0)</f>
        <v>0</v>
      </c>
      <c r="K235" s="37">
        <f>IFERROR(VLOOKUP($B235,'TB '!$4:$1048576,MATCH('List of Ledgers '!K$4,'TB '!$4:$4,0),0),0)</f>
        <v>0</v>
      </c>
      <c r="L235" s="37">
        <f>IFERROR(VLOOKUP(B235,'TB '!$A:$J,10,),0)</f>
        <v>0</v>
      </c>
      <c r="M235" s="71"/>
      <c r="N235" s="63">
        <f>IFERROR(VLOOKUP($B235,'TB YTD'!$4:$1048576,MATCH('List of Ledgers '!N$4,'TB YTD'!$4:$4,0),0),0)</f>
        <v>0</v>
      </c>
      <c r="O235" s="63">
        <f>IFERROR(VLOOKUP($B235,'TB YTD'!$4:$1048576,MATCH('List of Ledgers '!O$4,'TB YTD'!$4:$4,0),0),0)</f>
        <v>14973</v>
      </c>
      <c r="P235" s="63">
        <f>IFERROR(VLOOKUP($B235,'TB YTD'!$4:$1048576,MATCH('List of Ledgers '!P$4,'TB YTD'!$4:$4,0),0),0)</f>
        <v>0</v>
      </c>
      <c r="Q235" s="63">
        <f>IFERROR(VLOOKUP($B235,'TB YTD'!$4:$1048576,MATCH('List of Ledgers '!Q$4,'TB YTD'!$4:$4,0),0),0)</f>
        <v>14973</v>
      </c>
      <c r="R235" s="63"/>
    </row>
    <row r="236" spans="1:18" hidden="1" x14ac:dyDescent="0.25">
      <c r="A236" s="106">
        <v>228</v>
      </c>
      <c r="B236" s="8" t="s">
        <v>429</v>
      </c>
      <c r="C236" s="8" t="s">
        <v>275</v>
      </c>
      <c r="D236" s="17" t="s">
        <v>151</v>
      </c>
      <c r="E236" s="17" t="s">
        <v>152</v>
      </c>
      <c r="F236" s="12" t="s">
        <v>63</v>
      </c>
      <c r="G236" s="17" t="s">
        <v>7</v>
      </c>
      <c r="H236" s="62"/>
      <c r="I236" s="37">
        <f>IFERROR(VLOOKUP(B236,'TB '!$A:$G,7,),0)</f>
        <v>0</v>
      </c>
      <c r="J236" s="37">
        <f>IFERROR(VLOOKUP($B236,'TB '!$4:$1048576,MATCH('List of Ledgers '!J$4,'TB '!$4:$4,0),0),0)</f>
        <v>13904</v>
      </c>
      <c r="K236" s="37">
        <f>IFERROR(VLOOKUP($B236,'TB '!$4:$1048576,MATCH('List of Ledgers '!K$4,'TB '!$4:$4,0),0),0)</f>
        <v>0</v>
      </c>
      <c r="L236" s="37">
        <f>IFERROR(VLOOKUP(B236,'TB '!$A:$J,10,),0)</f>
        <v>13904</v>
      </c>
      <c r="M236" s="71"/>
      <c r="N236" s="63">
        <f>IFERROR(VLOOKUP($B236,'TB YTD'!$4:$1048576,MATCH('List of Ledgers '!N$4,'TB YTD'!$4:$4,0),0),0)</f>
        <v>0</v>
      </c>
      <c r="O236" s="63">
        <f>IFERROR(VLOOKUP($B236,'TB YTD'!$4:$1048576,MATCH('List of Ledgers '!O$4,'TB YTD'!$4:$4,0),0),0)</f>
        <v>36091</v>
      </c>
      <c r="P236" s="63">
        <f>IFERROR(VLOOKUP($B236,'TB YTD'!$4:$1048576,MATCH('List of Ledgers '!P$4,'TB YTD'!$4:$4,0),0),0)</f>
        <v>0</v>
      </c>
      <c r="Q236" s="63">
        <f>IFERROR(VLOOKUP($B236,'TB YTD'!$4:$1048576,MATCH('List of Ledgers '!Q$4,'TB YTD'!$4:$4,0),0),0)</f>
        <v>36091</v>
      </c>
      <c r="R236" s="63"/>
    </row>
    <row r="237" spans="1:18" hidden="1" x14ac:dyDescent="0.25">
      <c r="A237" s="106">
        <v>229</v>
      </c>
      <c r="B237" s="8" t="s">
        <v>430</v>
      </c>
      <c r="C237" s="8" t="s">
        <v>146</v>
      </c>
      <c r="D237" s="17"/>
      <c r="E237" s="17"/>
      <c r="G237" s="17"/>
      <c r="H237" s="62"/>
      <c r="I237" s="37">
        <f>IFERROR(VLOOKUP(B237,'TB '!$A:$G,7,),0)</f>
        <v>-1060335</v>
      </c>
      <c r="J237" s="37">
        <f>IFERROR(VLOOKUP($B237,'TB '!$4:$1048576,MATCH('List of Ledgers '!J$4,'TB '!$4:$4,0),0),0)</f>
        <v>0</v>
      </c>
      <c r="K237" s="37">
        <f>IFERROR(VLOOKUP($B237,'TB '!$4:$1048576,MATCH('List of Ledgers '!K$4,'TB '!$4:$4,0),0),0)</f>
        <v>0</v>
      </c>
      <c r="L237" s="37">
        <f>IFERROR(VLOOKUP(B237,'TB '!$A:$J,10,),0)</f>
        <v>-1060335</v>
      </c>
      <c r="M237" s="71"/>
      <c r="N237" s="63">
        <f>IFERROR(VLOOKUP($B237,'TB YTD'!$4:$1048576,MATCH('List of Ledgers '!N$4,'TB YTD'!$4:$4,0),0),0)</f>
        <v>0</v>
      </c>
      <c r="O237" s="63">
        <f>IFERROR(VLOOKUP($B237,'TB YTD'!$4:$1048576,MATCH('List of Ledgers '!O$4,'TB YTD'!$4:$4,0),0),0)</f>
        <v>0</v>
      </c>
      <c r="P237" s="63">
        <f>IFERROR(VLOOKUP($B237,'TB YTD'!$4:$1048576,MATCH('List of Ledgers '!P$4,'TB YTD'!$4:$4,0),0),0)</f>
        <v>1060335</v>
      </c>
      <c r="Q237" s="63">
        <f>IFERROR(VLOOKUP($B237,'TB YTD'!$4:$1048576,MATCH('List of Ledgers '!Q$4,'TB YTD'!$4:$4,0),0),0)</f>
        <v>-1060335</v>
      </c>
      <c r="R237" s="63"/>
    </row>
    <row r="238" spans="1:18" hidden="1" x14ac:dyDescent="0.25">
      <c r="A238" s="106">
        <v>230</v>
      </c>
      <c r="B238" s="8" t="s">
        <v>431</v>
      </c>
      <c r="C238" s="8" t="s">
        <v>124</v>
      </c>
      <c r="D238" s="17"/>
      <c r="E238" s="17"/>
      <c r="G238" s="17"/>
      <c r="H238" s="62"/>
      <c r="I238" s="37">
        <f>IFERROR(VLOOKUP(B238,'TB '!$A:$G,7,),0)</f>
        <v>5383.47</v>
      </c>
      <c r="J238" s="37">
        <f>IFERROR(VLOOKUP($B238,'TB '!$4:$1048576,MATCH('List of Ledgers '!J$4,'TB '!$4:$4,0),0),0)</f>
        <v>0</v>
      </c>
      <c r="K238" s="37">
        <f>IFERROR(VLOOKUP($B238,'TB '!$4:$1048576,MATCH('List of Ledgers '!K$4,'TB '!$4:$4,0),0),0)</f>
        <v>0</v>
      </c>
      <c r="L238" s="37">
        <f>IFERROR(VLOOKUP(B238,'TB '!$A:$J,10,),0)</f>
        <v>5383.47</v>
      </c>
      <c r="M238" s="71"/>
      <c r="N238" s="63">
        <f>IFERROR(VLOOKUP($B238,'TB YTD'!$4:$1048576,MATCH('List of Ledgers '!N$4,'TB YTD'!$4:$4,0),0),0)</f>
        <v>5383.47</v>
      </c>
      <c r="O238" s="63">
        <f>IFERROR(VLOOKUP($B238,'TB YTD'!$4:$1048576,MATCH('List of Ledgers '!O$4,'TB YTD'!$4:$4,0),0),0)</f>
        <v>0</v>
      </c>
      <c r="P238" s="63">
        <f>IFERROR(VLOOKUP($B238,'TB YTD'!$4:$1048576,MATCH('List of Ledgers '!P$4,'TB YTD'!$4:$4,0),0),0)</f>
        <v>0</v>
      </c>
      <c r="Q238" s="63">
        <f>IFERROR(VLOOKUP($B238,'TB YTD'!$4:$1048576,MATCH('List of Ledgers '!Q$4,'TB YTD'!$4:$4,0),0),0)</f>
        <v>5383.47</v>
      </c>
      <c r="R238" s="63"/>
    </row>
    <row r="239" spans="1:18" hidden="1" x14ac:dyDescent="0.25">
      <c r="A239" s="106">
        <v>231</v>
      </c>
      <c r="B239" s="8" t="s">
        <v>432</v>
      </c>
      <c r="C239" s="8" t="s">
        <v>142</v>
      </c>
      <c r="D239" s="17"/>
      <c r="E239" s="17"/>
      <c r="G239" s="17"/>
      <c r="H239" s="62"/>
      <c r="I239" s="37">
        <f>IFERROR(VLOOKUP(B239,'TB '!$A:$G,7,),0)</f>
        <v>-33366666.670000002</v>
      </c>
      <c r="J239" s="37">
        <f>IFERROR(VLOOKUP($B239,'TB '!$4:$1048576,MATCH('List of Ledgers '!J$4,'TB '!$4:$4,0),0),0)</f>
        <v>2184388</v>
      </c>
      <c r="K239" s="37">
        <f>IFERROR(VLOOKUP($B239,'TB '!$4:$1048576,MATCH('List of Ledgers '!K$4,'TB '!$4:$4,0),0),0)</f>
        <v>2184388</v>
      </c>
      <c r="L239" s="37">
        <f>IFERROR(VLOOKUP(B239,'TB '!$A:$J,10,),0)</f>
        <v>-33366666.670000002</v>
      </c>
      <c r="M239" s="71"/>
      <c r="N239" s="63">
        <f>IFERROR(VLOOKUP($B239,'TB YTD'!$4:$1048576,MATCH('List of Ledgers '!N$4,'TB YTD'!$4:$4,0),0),0)</f>
        <v>-3366666.67</v>
      </c>
      <c r="O239" s="63">
        <f>IFERROR(VLOOKUP($B239,'TB YTD'!$4:$1048576,MATCH('List of Ledgers '!O$4,'TB YTD'!$4:$4,0),0),0)</f>
        <v>2184388</v>
      </c>
      <c r="P239" s="63">
        <f>IFERROR(VLOOKUP($B239,'TB YTD'!$4:$1048576,MATCH('List of Ledgers '!P$4,'TB YTD'!$4:$4,0),0),0)</f>
        <v>32184388</v>
      </c>
      <c r="Q239" s="63">
        <f>IFERROR(VLOOKUP($B239,'TB YTD'!$4:$1048576,MATCH('List of Ledgers '!Q$4,'TB YTD'!$4:$4,0),0),0)</f>
        <v>-33366666.670000002</v>
      </c>
      <c r="R239" s="63"/>
    </row>
    <row r="240" spans="1:18" hidden="1" x14ac:dyDescent="0.25">
      <c r="A240" s="106">
        <v>232</v>
      </c>
      <c r="B240" s="8" t="s">
        <v>433</v>
      </c>
      <c r="C240" s="8" t="s">
        <v>328</v>
      </c>
      <c r="D240" s="17"/>
      <c r="E240" s="17"/>
      <c r="G240" s="17"/>
      <c r="H240" s="62"/>
      <c r="I240" s="37">
        <f>IFERROR(VLOOKUP(B240,'TB '!$A:$G,7,),0)</f>
        <v>5154.6400000000003</v>
      </c>
      <c r="J240" s="37">
        <f>IFERROR(VLOOKUP($B240,'TB '!$4:$1048576,MATCH('List of Ledgers '!J$4,'TB '!$4:$4,0),0),0)</f>
        <v>0</v>
      </c>
      <c r="K240" s="37">
        <f>IFERROR(VLOOKUP($B240,'TB '!$4:$1048576,MATCH('List of Ledgers '!K$4,'TB '!$4:$4,0),0),0)</f>
        <v>0</v>
      </c>
      <c r="L240" s="37">
        <f>IFERROR(VLOOKUP(B240,'TB '!$A:$J,10,),0)</f>
        <v>5154.6400000000003</v>
      </c>
      <c r="M240" s="71"/>
      <c r="N240" s="63">
        <f>IFERROR(VLOOKUP($B240,'TB YTD'!$4:$1048576,MATCH('List of Ledgers '!N$4,'TB YTD'!$4:$4,0),0),0)</f>
        <v>5154.6400000000003</v>
      </c>
      <c r="O240" s="63">
        <f>IFERROR(VLOOKUP($B240,'TB YTD'!$4:$1048576,MATCH('List of Ledgers '!O$4,'TB YTD'!$4:$4,0),0),0)</f>
        <v>0</v>
      </c>
      <c r="P240" s="63">
        <f>IFERROR(VLOOKUP($B240,'TB YTD'!$4:$1048576,MATCH('List of Ledgers '!P$4,'TB YTD'!$4:$4,0),0),0)</f>
        <v>0</v>
      </c>
      <c r="Q240" s="63">
        <f>IFERROR(VLOOKUP($B240,'TB YTD'!$4:$1048576,MATCH('List of Ledgers '!Q$4,'TB YTD'!$4:$4,0),0),0)</f>
        <v>5154.6400000000003</v>
      </c>
      <c r="R240" s="63"/>
    </row>
    <row r="241" spans="1:18" hidden="1" x14ac:dyDescent="0.25">
      <c r="A241" s="106">
        <v>233</v>
      </c>
      <c r="B241" s="8" t="s">
        <v>434</v>
      </c>
      <c r="C241" s="8" t="s">
        <v>160</v>
      </c>
      <c r="D241" s="17"/>
      <c r="E241" s="17"/>
      <c r="G241" s="17"/>
      <c r="H241" s="62"/>
      <c r="I241" s="37">
        <f>IFERROR(VLOOKUP(B241,'TB '!$A:$G,7,),0)</f>
        <v>405.6</v>
      </c>
      <c r="J241" s="37">
        <f>IFERROR(VLOOKUP($B241,'TB '!$4:$1048576,MATCH('List of Ledgers '!J$4,'TB '!$4:$4,0),0),0)</f>
        <v>0</v>
      </c>
      <c r="K241" s="37">
        <f>IFERROR(VLOOKUP($B241,'TB '!$4:$1048576,MATCH('List of Ledgers '!K$4,'TB '!$4:$4,0),0),0)</f>
        <v>0</v>
      </c>
      <c r="L241" s="37">
        <f>IFERROR(VLOOKUP(B241,'TB '!$A:$J,10,),0)</f>
        <v>405.6</v>
      </c>
      <c r="M241" s="71"/>
      <c r="N241" s="63">
        <f>IFERROR(VLOOKUP($B241,'TB YTD'!$4:$1048576,MATCH('List of Ledgers '!N$4,'TB YTD'!$4:$4,0),0),0)</f>
        <v>405.6</v>
      </c>
      <c r="O241" s="63">
        <f>IFERROR(VLOOKUP($B241,'TB YTD'!$4:$1048576,MATCH('List of Ledgers '!O$4,'TB YTD'!$4:$4,0),0),0)</f>
        <v>0</v>
      </c>
      <c r="P241" s="63">
        <f>IFERROR(VLOOKUP($B241,'TB YTD'!$4:$1048576,MATCH('List of Ledgers '!P$4,'TB YTD'!$4:$4,0),0),0)</f>
        <v>0</v>
      </c>
      <c r="Q241" s="63">
        <f>IFERROR(VLOOKUP($B241,'TB YTD'!$4:$1048576,MATCH('List of Ledgers '!Q$4,'TB YTD'!$4:$4,0),0),0)</f>
        <v>405.6</v>
      </c>
      <c r="R241" s="63"/>
    </row>
    <row r="242" spans="1:18" hidden="1" x14ac:dyDescent="0.25">
      <c r="A242" s="106">
        <v>234</v>
      </c>
      <c r="B242" s="8" t="s">
        <v>435</v>
      </c>
      <c r="C242" s="8" t="s">
        <v>189</v>
      </c>
      <c r="D242" s="17" t="s">
        <v>151</v>
      </c>
      <c r="E242" s="17" t="s">
        <v>152</v>
      </c>
      <c r="F242" s="12" t="s">
        <v>42</v>
      </c>
      <c r="G242" s="17" t="s">
        <v>7</v>
      </c>
      <c r="H242" s="62"/>
      <c r="I242" s="37">
        <f>IFERROR(VLOOKUP(B242,'TB '!$A:$G,7,),0)</f>
        <v>0</v>
      </c>
      <c r="J242" s="37">
        <f>IFERROR(VLOOKUP($B242,'TB '!$4:$1048576,MATCH('List of Ledgers '!J$4,'TB '!$4:$4,0),0),0)</f>
        <v>0</v>
      </c>
      <c r="K242" s="37">
        <f>IFERROR(VLOOKUP($B242,'TB '!$4:$1048576,MATCH('List of Ledgers '!K$4,'TB '!$4:$4,0),0),0)</f>
        <v>0</v>
      </c>
      <c r="L242" s="37">
        <f>IFERROR(VLOOKUP(B242,'TB '!$A:$J,10,),0)</f>
        <v>0</v>
      </c>
      <c r="M242" s="71"/>
      <c r="N242" s="63">
        <f>IFERROR(VLOOKUP($B242,'TB YTD'!$4:$1048576,MATCH('List of Ledgers '!N$4,'TB YTD'!$4:$4,0),0),0)</f>
        <v>0</v>
      </c>
      <c r="O242" s="63">
        <f>IFERROR(VLOOKUP($B242,'TB YTD'!$4:$1048576,MATCH('List of Ledgers '!O$4,'TB YTD'!$4:$4,0),0),0)</f>
        <v>0</v>
      </c>
      <c r="P242" s="63">
        <f>IFERROR(VLOOKUP($B242,'TB YTD'!$4:$1048576,MATCH('List of Ledgers '!P$4,'TB YTD'!$4:$4,0),0),0)</f>
        <v>0</v>
      </c>
      <c r="Q242" s="63">
        <f>IFERROR(VLOOKUP($B242,'TB YTD'!$4:$1048576,MATCH('List of Ledgers '!Q$4,'TB YTD'!$4:$4,0),0),0)</f>
        <v>0</v>
      </c>
      <c r="R242" s="63"/>
    </row>
    <row r="243" spans="1:18" hidden="1" x14ac:dyDescent="0.25">
      <c r="A243" s="106">
        <v>235</v>
      </c>
      <c r="B243" s="8" t="s">
        <v>436</v>
      </c>
      <c r="C243" s="8" t="s">
        <v>437</v>
      </c>
      <c r="D243" s="17"/>
      <c r="G243" s="17"/>
      <c r="H243" s="62"/>
      <c r="I243" s="37">
        <f>IFERROR(VLOOKUP(B243,'TB '!$A:$G,7,),0)</f>
        <v>-17710</v>
      </c>
      <c r="J243" s="37">
        <f>IFERROR(VLOOKUP($B243,'TB '!$4:$1048576,MATCH('List of Ledgers '!J$4,'TB '!$4:$4,0),0),0)</f>
        <v>0</v>
      </c>
      <c r="K243" s="37">
        <f>IFERROR(VLOOKUP($B243,'TB '!$4:$1048576,MATCH('List of Ledgers '!K$4,'TB '!$4:$4,0),0),0)</f>
        <v>0</v>
      </c>
      <c r="L243" s="37">
        <f>IFERROR(VLOOKUP(B243,'TB '!$A:$J,10,),0)</f>
        <v>-17710</v>
      </c>
      <c r="M243" s="71"/>
      <c r="N243" s="63">
        <f>IFERROR(VLOOKUP($B243,'TB YTD'!$4:$1048576,MATCH('List of Ledgers '!N$4,'TB YTD'!$4:$4,0),0),0)</f>
        <v>750921</v>
      </c>
      <c r="O243" s="63">
        <f>IFERROR(VLOOKUP($B243,'TB YTD'!$4:$1048576,MATCH('List of Ledgers '!O$4,'TB YTD'!$4:$4,0),0),0)</f>
        <v>0</v>
      </c>
      <c r="P243" s="63">
        <f>IFERROR(VLOOKUP($B243,'TB YTD'!$4:$1048576,MATCH('List of Ledgers '!P$4,'TB YTD'!$4:$4,0),0),0)</f>
        <v>768631</v>
      </c>
      <c r="Q243" s="63">
        <f>IFERROR(VLOOKUP($B243,'TB YTD'!$4:$1048576,MATCH('List of Ledgers '!Q$4,'TB YTD'!$4:$4,0),0),0)</f>
        <v>-17710</v>
      </c>
      <c r="R243" s="63"/>
    </row>
    <row r="244" spans="1:18" hidden="1" x14ac:dyDescent="0.25">
      <c r="A244" s="106">
        <v>236</v>
      </c>
      <c r="B244" s="8" t="s">
        <v>438</v>
      </c>
      <c r="C244" s="8" t="s">
        <v>437</v>
      </c>
      <c r="D244" s="17"/>
      <c r="E244" s="17"/>
      <c r="G244" s="17"/>
      <c r="H244" s="62"/>
      <c r="I244" s="37">
        <f>IFERROR(VLOOKUP(B244,'TB '!$A:$G,7,),0)</f>
        <v>-88777</v>
      </c>
      <c r="J244" s="37">
        <f>IFERROR(VLOOKUP($B244,'TB '!$4:$1048576,MATCH('List of Ledgers '!J$4,'TB '!$4:$4,0),0),0)</f>
        <v>0</v>
      </c>
      <c r="K244" s="37">
        <f>IFERROR(VLOOKUP($B244,'TB '!$4:$1048576,MATCH('List of Ledgers '!K$4,'TB '!$4:$4,0),0),0)</f>
        <v>0</v>
      </c>
      <c r="L244" s="37">
        <f>IFERROR(VLOOKUP(B244,'TB '!$A:$J,10,),0)</f>
        <v>-88777</v>
      </c>
      <c r="M244" s="71"/>
      <c r="N244" s="63">
        <f>IFERROR(VLOOKUP($B244,'TB YTD'!$4:$1048576,MATCH('List of Ledgers '!N$4,'TB YTD'!$4:$4,0),0),0)</f>
        <v>3753947</v>
      </c>
      <c r="O244" s="63">
        <f>IFERROR(VLOOKUP($B244,'TB YTD'!$4:$1048576,MATCH('List of Ledgers '!O$4,'TB YTD'!$4:$4,0),0),0)</f>
        <v>0</v>
      </c>
      <c r="P244" s="63">
        <f>IFERROR(VLOOKUP($B244,'TB YTD'!$4:$1048576,MATCH('List of Ledgers '!P$4,'TB YTD'!$4:$4,0),0),0)</f>
        <v>3842724</v>
      </c>
      <c r="Q244" s="63">
        <f>IFERROR(VLOOKUP($B244,'TB YTD'!$4:$1048576,MATCH('List of Ledgers '!Q$4,'TB YTD'!$4:$4,0),0),0)</f>
        <v>-88777</v>
      </c>
      <c r="R244" s="63"/>
    </row>
    <row r="245" spans="1:18" hidden="1" x14ac:dyDescent="0.25">
      <c r="A245" s="106">
        <v>237</v>
      </c>
      <c r="B245" s="8" t="s">
        <v>439</v>
      </c>
      <c r="C245" s="8" t="s">
        <v>437</v>
      </c>
      <c r="D245" s="17"/>
      <c r="E245" s="17"/>
      <c r="G245" s="17"/>
      <c r="H245" s="62"/>
      <c r="I245" s="37">
        <f>IFERROR(VLOOKUP(B245,'TB '!$A:$G,7,),0)</f>
        <v>-19755</v>
      </c>
      <c r="J245" s="37">
        <f>IFERROR(VLOOKUP($B245,'TB '!$4:$1048576,MATCH('List of Ledgers '!J$4,'TB '!$4:$4,0),0),0)</f>
        <v>0</v>
      </c>
      <c r="K245" s="37">
        <f>IFERROR(VLOOKUP($B245,'TB '!$4:$1048576,MATCH('List of Ledgers '!K$4,'TB '!$4:$4,0),0),0)</f>
        <v>0</v>
      </c>
      <c r="L245" s="37">
        <f>IFERROR(VLOOKUP(B245,'TB '!$A:$J,10,),0)</f>
        <v>-19755</v>
      </c>
      <c r="M245" s="71"/>
      <c r="N245" s="63">
        <f>IFERROR(VLOOKUP($B245,'TB YTD'!$4:$1048576,MATCH('List of Ledgers '!N$4,'TB YTD'!$4:$4,0),0),0)</f>
        <v>1001053</v>
      </c>
      <c r="O245" s="63">
        <f>IFERROR(VLOOKUP($B245,'TB YTD'!$4:$1048576,MATCH('List of Ledgers '!O$4,'TB YTD'!$4:$4,0),0),0)</f>
        <v>0</v>
      </c>
      <c r="P245" s="63">
        <f>IFERROR(VLOOKUP($B245,'TB YTD'!$4:$1048576,MATCH('List of Ledgers '!P$4,'TB YTD'!$4:$4,0),0),0)</f>
        <v>1020808</v>
      </c>
      <c r="Q245" s="63">
        <f>IFERROR(VLOOKUP($B245,'TB YTD'!$4:$1048576,MATCH('List of Ledgers '!Q$4,'TB YTD'!$4:$4,0),0),0)</f>
        <v>-19755</v>
      </c>
      <c r="R245" s="63"/>
    </row>
    <row r="246" spans="1:18" hidden="1" x14ac:dyDescent="0.25">
      <c r="A246" s="106">
        <v>238</v>
      </c>
      <c r="B246" s="8" t="s">
        <v>440</v>
      </c>
      <c r="C246" s="8" t="s">
        <v>437</v>
      </c>
      <c r="D246" s="17"/>
      <c r="E246" s="17"/>
      <c r="G246" s="17"/>
      <c r="H246" s="62"/>
      <c r="I246" s="37">
        <f>IFERROR(VLOOKUP(B246,'TB '!$A:$G,7,),0)</f>
        <v>1166</v>
      </c>
      <c r="J246" s="37">
        <f>IFERROR(VLOOKUP($B246,'TB '!$4:$1048576,MATCH('List of Ledgers '!J$4,'TB '!$4:$4,0),0),0)</f>
        <v>0</v>
      </c>
      <c r="K246" s="37">
        <f>IFERROR(VLOOKUP($B246,'TB '!$4:$1048576,MATCH('List of Ledgers '!K$4,'TB '!$4:$4,0),0),0)</f>
        <v>0</v>
      </c>
      <c r="L246" s="37">
        <f>IFERROR(VLOOKUP(B246,'TB '!$A:$J,10,),0)</f>
        <v>1166</v>
      </c>
      <c r="M246" s="71"/>
      <c r="N246" s="63">
        <f>IFERROR(VLOOKUP($B246,'TB YTD'!$4:$1048576,MATCH('List of Ledgers '!N$4,'TB YTD'!$4:$4,0),0),0)</f>
        <v>501665</v>
      </c>
      <c r="O246" s="63">
        <f>IFERROR(VLOOKUP($B246,'TB YTD'!$4:$1048576,MATCH('List of Ledgers '!O$4,'TB YTD'!$4:$4,0),0),0)</f>
        <v>0</v>
      </c>
      <c r="P246" s="63">
        <f>IFERROR(VLOOKUP($B246,'TB YTD'!$4:$1048576,MATCH('List of Ledgers '!P$4,'TB YTD'!$4:$4,0),0),0)</f>
        <v>500499</v>
      </c>
      <c r="Q246" s="63">
        <f>IFERROR(VLOOKUP($B246,'TB YTD'!$4:$1048576,MATCH('List of Ledgers '!Q$4,'TB YTD'!$4:$4,0),0),0)</f>
        <v>1166</v>
      </c>
      <c r="R246" s="63"/>
    </row>
    <row r="247" spans="1:18" hidden="1" x14ac:dyDescent="0.25">
      <c r="A247" s="106">
        <v>239</v>
      </c>
      <c r="B247" s="8" t="s">
        <v>441</v>
      </c>
      <c r="C247" s="8" t="s">
        <v>437</v>
      </c>
      <c r="D247" s="17"/>
      <c r="E247" s="17"/>
      <c r="G247" s="17"/>
      <c r="H247" s="62"/>
      <c r="I247" s="37">
        <f>IFERROR(VLOOKUP(B247,'TB '!$A:$G,7,),0)</f>
        <v>12522</v>
      </c>
      <c r="J247" s="37">
        <f>IFERROR(VLOOKUP($B247,'TB '!$4:$1048576,MATCH('List of Ledgers '!J$4,'TB '!$4:$4,0),0),0)</f>
        <v>0</v>
      </c>
      <c r="K247" s="37">
        <f>IFERROR(VLOOKUP($B247,'TB '!$4:$1048576,MATCH('List of Ledgers '!K$4,'TB '!$4:$4,0),0),0)</f>
        <v>0</v>
      </c>
      <c r="L247" s="37">
        <f>IFERROR(VLOOKUP(B247,'TB '!$A:$J,10,),0)</f>
        <v>12522</v>
      </c>
      <c r="M247" s="71"/>
      <c r="N247" s="63">
        <f>IFERROR(VLOOKUP($B247,'TB YTD'!$4:$1048576,MATCH('List of Ledgers '!N$4,'TB YTD'!$4:$4,0),0),0)</f>
        <v>1000000</v>
      </c>
      <c r="O247" s="63">
        <f>IFERROR(VLOOKUP($B247,'TB YTD'!$4:$1048576,MATCH('List of Ledgers '!O$4,'TB YTD'!$4:$4,0),0),0)</f>
        <v>0</v>
      </c>
      <c r="P247" s="63">
        <f>IFERROR(VLOOKUP($B247,'TB YTD'!$4:$1048576,MATCH('List of Ledgers '!P$4,'TB YTD'!$4:$4,0),0),0)</f>
        <v>987478</v>
      </c>
      <c r="Q247" s="63">
        <f>IFERROR(VLOOKUP($B247,'TB YTD'!$4:$1048576,MATCH('List of Ledgers '!Q$4,'TB YTD'!$4:$4,0),0),0)</f>
        <v>12522</v>
      </c>
      <c r="R247" s="63"/>
    </row>
    <row r="248" spans="1:18" hidden="1" x14ac:dyDescent="0.25">
      <c r="A248" s="106">
        <v>240</v>
      </c>
      <c r="B248" s="8" t="s">
        <v>442</v>
      </c>
      <c r="C248" s="8" t="s">
        <v>437</v>
      </c>
      <c r="D248" s="17"/>
      <c r="E248" s="17"/>
      <c r="G248" s="17"/>
      <c r="H248" s="62"/>
      <c r="I248" s="37">
        <f>IFERROR(VLOOKUP(B248,'TB '!$A:$G,7,),0)</f>
        <v>-7440</v>
      </c>
      <c r="J248" s="37">
        <f>IFERROR(VLOOKUP($B248,'TB '!$4:$1048576,MATCH('List of Ledgers '!J$4,'TB '!$4:$4,0),0),0)</f>
        <v>0</v>
      </c>
      <c r="K248" s="37">
        <f>IFERROR(VLOOKUP($B248,'TB '!$4:$1048576,MATCH('List of Ledgers '!K$4,'TB '!$4:$4,0),0),0)</f>
        <v>0</v>
      </c>
      <c r="L248" s="37">
        <f>IFERROR(VLOOKUP(B248,'TB '!$A:$J,10,),0)</f>
        <v>-7440</v>
      </c>
      <c r="M248" s="71"/>
      <c r="N248" s="63">
        <f>IFERROR(VLOOKUP($B248,'TB YTD'!$4:$1048576,MATCH('List of Ledgers '!N$4,'TB YTD'!$4:$4,0),0),0)</f>
        <v>281099.62</v>
      </c>
      <c r="O248" s="63">
        <f>IFERROR(VLOOKUP($B248,'TB YTD'!$4:$1048576,MATCH('List of Ledgers '!O$4,'TB YTD'!$4:$4,0),0),0)</f>
        <v>0</v>
      </c>
      <c r="P248" s="63">
        <f>IFERROR(VLOOKUP($B248,'TB YTD'!$4:$1048576,MATCH('List of Ledgers '!P$4,'TB YTD'!$4:$4,0),0),0)</f>
        <v>288539.62</v>
      </c>
      <c r="Q248" s="63">
        <f>IFERROR(VLOOKUP($B248,'TB YTD'!$4:$1048576,MATCH('List of Ledgers '!Q$4,'TB YTD'!$4:$4,0),0),0)</f>
        <v>-7440</v>
      </c>
      <c r="R248" s="63"/>
    </row>
    <row r="249" spans="1:18" hidden="1" x14ac:dyDescent="0.25">
      <c r="A249" s="106">
        <v>241</v>
      </c>
      <c r="B249" s="8" t="s">
        <v>443</v>
      </c>
      <c r="C249" s="8" t="s">
        <v>437</v>
      </c>
      <c r="D249" s="17"/>
      <c r="E249" s="17"/>
      <c r="G249" s="17"/>
      <c r="H249" s="62"/>
      <c r="I249" s="37">
        <f>IFERROR(VLOOKUP(B249,'TB '!$A:$G,7,),0)</f>
        <v>0</v>
      </c>
      <c r="J249" s="37">
        <f>IFERROR(VLOOKUP($B249,'TB '!$4:$1048576,MATCH('List of Ledgers '!J$4,'TB '!$4:$4,0),0),0)</f>
        <v>0</v>
      </c>
      <c r="K249" s="37">
        <f>IFERROR(VLOOKUP($B249,'TB '!$4:$1048576,MATCH('List of Ledgers '!K$4,'TB '!$4:$4,0),0),0)</f>
        <v>0</v>
      </c>
      <c r="L249" s="37">
        <f>IFERROR(VLOOKUP(B249,'TB '!$A:$J,10,),0)</f>
        <v>0</v>
      </c>
      <c r="M249" s="71"/>
      <c r="N249" s="63">
        <f>IFERROR(VLOOKUP($B249,'TB YTD'!$4:$1048576,MATCH('List of Ledgers '!N$4,'TB YTD'!$4:$4,0),0),0)</f>
        <v>0</v>
      </c>
      <c r="O249" s="63">
        <f>IFERROR(VLOOKUP($B249,'TB YTD'!$4:$1048576,MATCH('List of Ledgers '!O$4,'TB YTD'!$4:$4,0),0),0)</f>
        <v>0</v>
      </c>
      <c r="P249" s="63">
        <f>IFERROR(VLOOKUP($B249,'TB YTD'!$4:$1048576,MATCH('List of Ledgers '!P$4,'TB YTD'!$4:$4,0),0),0)</f>
        <v>0</v>
      </c>
      <c r="Q249" s="63">
        <f>IFERROR(VLOOKUP($B249,'TB YTD'!$4:$1048576,MATCH('List of Ledgers '!Q$4,'TB YTD'!$4:$4,0),0),0)</f>
        <v>0</v>
      </c>
      <c r="R249" s="63"/>
    </row>
    <row r="250" spans="1:18" hidden="1" x14ac:dyDescent="0.25">
      <c r="A250" s="106">
        <v>242</v>
      </c>
      <c r="B250" s="8" t="s">
        <v>444</v>
      </c>
      <c r="C250" s="8" t="s">
        <v>437</v>
      </c>
      <c r="D250" s="17"/>
      <c r="E250" s="17"/>
      <c r="G250" s="17"/>
      <c r="H250" s="62"/>
      <c r="I250" s="37">
        <f>IFERROR(VLOOKUP(B250,'TB '!$A:$G,7,),0)</f>
        <v>0</v>
      </c>
      <c r="J250" s="37">
        <f>IFERROR(VLOOKUP($B250,'TB '!$4:$1048576,MATCH('List of Ledgers '!J$4,'TB '!$4:$4,0),0),0)</f>
        <v>0</v>
      </c>
      <c r="K250" s="37">
        <f>IFERROR(VLOOKUP($B250,'TB '!$4:$1048576,MATCH('List of Ledgers '!K$4,'TB '!$4:$4,0),0),0)</f>
        <v>0</v>
      </c>
      <c r="L250" s="37">
        <f>IFERROR(VLOOKUP(B250,'TB '!$A:$J,10,),0)</f>
        <v>0</v>
      </c>
      <c r="M250" s="71"/>
      <c r="N250" s="63">
        <f>IFERROR(VLOOKUP($B250,'TB YTD'!$4:$1048576,MATCH('List of Ledgers '!N$4,'TB YTD'!$4:$4,0),0),0)</f>
        <v>0</v>
      </c>
      <c r="O250" s="63">
        <f>IFERROR(VLOOKUP($B250,'TB YTD'!$4:$1048576,MATCH('List of Ledgers '!O$4,'TB YTD'!$4:$4,0),0),0)</f>
        <v>0</v>
      </c>
      <c r="P250" s="63">
        <f>IFERROR(VLOOKUP($B250,'TB YTD'!$4:$1048576,MATCH('List of Ledgers '!P$4,'TB YTD'!$4:$4,0),0),0)</f>
        <v>0</v>
      </c>
      <c r="Q250" s="63">
        <f>IFERROR(VLOOKUP($B250,'TB YTD'!$4:$1048576,MATCH('List of Ledgers '!Q$4,'TB YTD'!$4:$4,0),0),0)</f>
        <v>0</v>
      </c>
      <c r="R250" s="63"/>
    </row>
    <row r="251" spans="1:18" hidden="1" x14ac:dyDescent="0.25">
      <c r="A251" s="106">
        <v>243</v>
      </c>
      <c r="B251" s="8" t="s">
        <v>445</v>
      </c>
      <c r="C251" s="8" t="s">
        <v>437</v>
      </c>
      <c r="D251" s="17"/>
      <c r="E251" s="17"/>
      <c r="G251" s="17"/>
      <c r="H251" s="62"/>
      <c r="I251" s="37">
        <f>IFERROR(VLOOKUP(B251,'TB '!$A:$G,7,),0)</f>
        <v>0</v>
      </c>
      <c r="J251" s="37">
        <f>IFERROR(VLOOKUP($B251,'TB '!$4:$1048576,MATCH('List of Ledgers '!J$4,'TB '!$4:$4,0),0),0)</f>
        <v>0</v>
      </c>
      <c r="K251" s="37">
        <f>IFERROR(VLOOKUP($B251,'TB '!$4:$1048576,MATCH('List of Ledgers '!K$4,'TB '!$4:$4,0),0),0)</f>
        <v>0</v>
      </c>
      <c r="L251" s="37">
        <f>IFERROR(VLOOKUP(B251,'TB '!$A:$J,10,),0)</f>
        <v>0</v>
      </c>
      <c r="M251" s="71"/>
      <c r="N251" s="63">
        <f>IFERROR(VLOOKUP($B251,'TB YTD'!$4:$1048576,MATCH('List of Ledgers '!N$4,'TB YTD'!$4:$4,0),0),0)</f>
        <v>0</v>
      </c>
      <c r="O251" s="63">
        <f>IFERROR(VLOOKUP($B251,'TB YTD'!$4:$1048576,MATCH('List of Ledgers '!O$4,'TB YTD'!$4:$4,0),0),0)</f>
        <v>0</v>
      </c>
      <c r="P251" s="63">
        <f>IFERROR(VLOOKUP($B251,'TB YTD'!$4:$1048576,MATCH('List of Ledgers '!P$4,'TB YTD'!$4:$4,0),0),0)</f>
        <v>0</v>
      </c>
      <c r="Q251" s="63">
        <f>IFERROR(VLOOKUP($B251,'TB YTD'!$4:$1048576,MATCH('List of Ledgers '!Q$4,'TB YTD'!$4:$4,0),0),0)</f>
        <v>0</v>
      </c>
      <c r="R251" s="63"/>
    </row>
    <row r="252" spans="1:18" hidden="1" x14ac:dyDescent="0.25">
      <c r="A252" s="106">
        <v>244</v>
      </c>
      <c r="B252" s="8" t="s">
        <v>446</v>
      </c>
      <c r="C252" s="8" t="s">
        <v>437</v>
      </c>
      <c r="D252" s="17"/>
      <c r="E252" s="17"/>
      <c r="G252" s="17"/>
      <c r="H252" s="62"/>
      <c r="I252" s="37">
        <f>IFERROR(VLOOKUP(B252,'TB '!$A:$G,7,),0)</f>
        <v>0</v>
      </c>
      <c r="J252" s="37">
        <f>IFERROR(VLOOKUP($B252,'TB '!$4:$1048576,MATCH('List of Ledgers '!J$4,'TB '!$4:$4,0),0),0)</f>
        <v>0</v>
      </c>
      <c r="K252" s="37">
        <f>IFERROR(VLOOKUP($B252,'TB '!$4:$1048576,MATCH('List of Ledgers '!K$4,'TB '!$4:$4,0),0),0)</f>
        <v>0</v>
      </c>
      <c r="L252" s="37">
        <f>IFERROR(VLOOKUP(B252,'TB '!$A:$J,10,),0)</f>
        <v>0</v>
      </c>
      <c r="M252" s="71"/>
      <c r="N252" s="63">
        <f>IFERROR(VLOOKUP($B252,'TB YTD'!$4:$1048576,MATCH('List of Ledgers '!N$4,'TB YTD'!$4:$4,0),0),0)</f>
        <v>0</v>
      </c>
      <c r="O252" s="63">
        <f>IFERROR(VLOOKUP($B252,'TB YTD'!$4:$1048576,MATCH('List of Ledgers '!O$4,'TB YTD'!$4:$4,0),0),0)</f>
        <v>0</v>
      </c>
      <c r="P252" s="63">
        <f>IFERROR(VLOOKUP($B252,'TB YTD'!$4:$1048576,MATCH('List of Ledgers '!P$4,'TB YTD'!$4:$4,0),0),0)</f>
        <v>0</v>
      </c>
      <c r="Q252" s="63">
        <f>IFERROR(VLOOKUP($B252,'TB YTD'!$4:$1048576,MATCH('List of Ledgers '!Q$4,'TB YTD'!$4:$4,0),0),0)</f>
        <v>0</v>
      </c>
      <c r="R252" s="63"/>
    </row>
    <row r="253" spans="1:18" hidden="1" x14ac:dyDescent="0.25">
      <c r="A253" s="106">
        <v>245</v>
      </c>
      <c r="B253" s="8" t="s">
        <v>447</v>
      </c>
      <c r="C253" s="8" t="s">
        <v>437</v>
      </c>
      <c r="D253" s="17"/>
      <c r="E253" s="17"/>
      <c r="G253" s="17"/>
      <c r="H253" s="62"/>
      <c r="I253" s="37">
        <f>IFERROR(VLOOKUP(B253,'TB '!$A:$G,7,),0)</f>
        <v>0</v>
      </c>
      <c r="J253" s="37">
        <f>IFERROR(VLOOKUP($B253,'TB '!$4:$1048576,MATCH('List of Ledgers '!J$4,'TB '!$4:$4,0),0),0)</f>
        <v>0</v>
      </c>
      <c r="K253" s="37">
        <f>IFERROR(VLOOKUP($B253,'TB '!$4:$1048576,MATCH('List of Ledgers '!K$4,'TB '!$4:$4,0),0),0)</f>
        <v>0</v>
      </c>
      <c r="L253" s="37">
        <f>IFERROR(VLOOKUP(B253,'TB '!$A:$J,10,),0)</f>
        <v>0</v>
      </c>
      <c r="M253" s="71"/>
      <c r="N253" s="63">
        <f>IFERROR(VLOOKUP($B253,'TB YTD'!$4:$1048576,MATCH('List of Ledgers '!N$4,'TB YTD'!$4:$4,0),0),0)</f>
        <v>0</v>
      </c>
      <c r="O253" s="63">
        <f>IFERROR(VLOOKUP($B253,'TB YTD'!$4:$1048576,MATCH('List of Ledgers '!O$4,'TB YTD'!$4:$4,0),0),0)</f>
        <v>0</v>
      </c>
      <c r="P253" s="63">
        <f>IFERROR(VLOOKUP($B253,'TB YTD'!$4:$1048576,MATCH('List of Ledgers '!P$4,'TB YTD'!$4:$4,0),0),0)</f>
        <v>0</v>
      </c>
      <c r="Q253" s="63">
        <f>IFERROR(VLOOKUP($B253,'TB YTD'!$4:$1048576,MATCH('List of Ledgers '!Q$4,'TB YTD'!$4:$4,0),0),0)</f>
        <v>0</v>
      </c>
      <c r="R253" s="63"/>
    </row>
    <row r="254" spans="1:18" hidden="1" x14ac:dyDescent="0.25">
      <c r="A254" s="106">
        <v>246</v>
      </c>
      <c r="B254" s="8" t="s">
        <v>448</v>
      </c>
      <c r="C254" s="8" t="s">
        <v>437</v>
      </c>
      <c r="D254" s="17"/>
      <c r="E254" s="17"/>
      <c r="G254" s="17"/>
      <c r="H254" s="62"/>
      <c r="I254" s="37">
        <f>IFERROR(VLOOKUP(B254,'TB '!$A:$G,7,),0)</f>
        <v>-5912</v>
      </c>
      <c r="J254" s="37">
        <f>IFERROR(VLOOKUP($B254,'TB '!$4:$1048576,MATCH('List of Ledgers '!J$4,'TB '!$4:$4,0),0),0)</f>
        <v>0</v>
      </c>
      <c r="K254" s="37">
        <f>IFERROR(VLOOKUP($B254,'TB '!$4:$1048576,MATCH('List of Ledgers '!K$4,'TB '!$4:$4,0),0),0)</f>
        <v>0</v>
      </c>
      <c r="L254" s="37">
        <f>IFERROR(VLOOKUP(B254,'TB '!$A:$J,10,),0)</f>
        <v>-5912</v>
      </c>
      <c r="M254" s="71"/>
      <c r="N254" s="63">
        <f>IFERROR(VLOOKUP($B254,'TB YTD'!$4:$1048576,MATCH('List of Ledgers '!N$4,'TB YTD'!$4:$4,0),0),0)</f>
        <v>1800667.22</v>
      </c>
      <c r="O254" s="63">
        <f>IFERROR(VLOOKUP($B254,'TB YTD'!$4:$1048576,MATCH('List of Ledgers '!O$4,'TB YTD'!$4:$4,0),0),0)</f>
        <v>0</v>
      </c>
      <c r="P254" s="63">
        <f>IFERROR(VLOOKUP($B254,'TB YTD'!$4:$1048576,MATCH('List of Ledgers '!P$4,'TB YTD'!$4:$4,0),0),0)</f>
        <v>1806579.22</v>
      </c>
      <c r="Q254" s="63">
        <f>IFERROR(VLOOKUP($B254,'TB YTD'!$4:$1048576,MATCH('List of Ledgers '!Q$4,'TB YTD'!$4:$4,0),0),0)</f>
        <v>-5912</v>
      </c>
      <c r="R254" s="63"/>
    </row>
    <row r="255" spans="1:18" hidden="1" x14ac:dyDescent="0.25">
      <c r="A255" s="106">
        <v>247</v>
      </c>
      <c r="B255" s="8" t="s">
        <v>449</v>
      </c>
      <c r="C255" s="8" t="s">
        <v>437</v>
      </c>
      <c r="D255" s="17"/>
      <c r="E255" s="17"/>
      <c r="G255" s="17"/>
      <c r="H255" s="62"/>
      <c r="I255" s="37">
        <f>IFERROR(VLOOKUP(B255,'TB '!$A:$G,7,),0)</f>
        <v>0</v>
      </c>
      <c r="J255" s="37">
        <f>IFERROR(VLOOKUP($B255,'TB '!$4:$1048576,MATCH('List of Ledgers '!J$4,'TB '!$4:$4,0),0),0)</f>
        <v>0</v>
      </c>
      <c r="K255" s="37">
        <f>IFERROR(VLOOKUP($B255,'TB '!$4:$1048576,MATCH('List of Ledgers '!K$4,'TB '!$4:$4,0),0),0)</f>
        <v>0</v>
      </c>
      <c r="L255" s="37">
        <f>IFERROR(VLOOKUP(B255,'TB '!$A:$J,10,),0)</f>
        <v>0</v>
      </c>
      <c r="M255" s="71"/>
      <c r="N255" s="63">
        <f>IFERROR(VLOOKUP($B255,'TB YTD'!$4:$1048576,MATCH('List of Ledgers '!N$4,'TB YTD'!$4:$4,0),0),0)</f>
        <v>0</v>
      </c>
      <c r="O255" s="63">
        <f>IFERROR(VLOOKUP($B255,'TB YTD'!$4:$1048576,MATCH('List of Ledgers '!O$4,'TB YTD'!$4:$4,0),0),0)</f>
        <v>0</v>
      </c>
      <c r="P255" s="63">
        <f>IFERROR(VLOOKUP($B255,'TB YTD'!$4:$1048576,MATCH('List of Ledgers '!P$4,'TB YTD'!$4:$4,0),0),0)</f>
        <v>0</v>
      </c>
      <c r="Q255" s="63">
        <f>IFERROR(VLOOKUP($B255,'TB YTD'!$4:$1048576,MATCH('List of Ledgers '!Q$4,'TB YTD'!$4:$4,0),0),0)</f>
        <v>0</v>
      </c>
      <c r="R255" s="63"/>
    </row>
    <row r="256" spans="1:18" hidden="1" x14ac:dyDescent="0.25">
      <c r="A256" s="106">
        <v>248</v>
      </c>
      <c r="B256" s="8" t="s">
        <v>450</v>
      </c>
      <c r="C256" s="8" t="s">
        <v>437</v>
      </c>
      <c r="D256" s="17"/>
      <c r="E256" s="17"/>
      <c r="G256" s="17"/>
      <c r="H256" s="62"/>
      <c r="I256" s="37">
        <f>IFERROR(VLOOKUP(B256,'TB '!$A:$G,7,),0)</f>
        <v>0</v>
      </c>
      <c r="J256" s="37">
        <f>IFERROR(VLOOKUP($B256,'TB '!$4:$1048576,MATCH('List of Ledgers '!J$4,'TB '!$4:$4,0),0),0)</f>
        <v>0</v>
      </c>
      <c r="K256" s="37">
        <f>IFERROR(VLOOKUP($B256,'TB '!$4:$1048576,MATCH('List of Ledgers '!K$4,'TB '!$4:$4,0),0),0)</f>
        <v>0</v>
      </c>
      <c r="L256" s="37">
        <f>IFERROR(VLOOKUP(B256,'TB '!$A:$J,10,),0)</f>
        <v>0</v>
      </c>
      <c r="M256" s="71"/>
      <c r="N256" s="63">
        <f>IFERROR(VLOOKUP($B256,'TB YTD'!$4:$1048576,MATCH('List of Ledgers '!N$4,'TB YTD'!$4:$4,0),0),0)</f>
        <v>0</v>
      </c>
      <c r="O256" s="63">
        <f>IFERROR(VLOOKUP($B256,'TB YTD'!$4:$1048576,MATCH('List of Ledgers '!O$4,'TB YTD'!$4:$4,0),0),0)</f>
        <v>0</v>
      </c>
      <c r="P256" s="63">
        <f>IFERROR(VLOOKUP($B256,'TB YTD'!$4:$1048576,MATCH('List of Ledgers '!P$4,'TB YTD'!$4:$4,0),0),0)</f>
        <v>0</v>
      </c>
      <c r="Q256" s="63">
        <f>IFERROR(VLOOKUP($B256,'TB YTD'!$4:$1048576,MATCH('List of Ledgers '!Q$4,'TB YTD'!$4:$4,0),0),0)</f>
        <v>0</v>
      </c>
      <c r="R256" s="63"/>
    </row>
    <row r="257" spans="1:18" hidden="1" x14ac:dyDescent="0.25">
      <c r="A257" s="106">
        <v>249</v>
      </c>
      <c r="B257" s="8" t="s">
        <v>451</v>
      </c>
      <c r="C257" s="8" t="s">
        <v>437</v>
      </c>
      <c r="D257" s="17"/>
      <c r="E257" s="17"/>
      <c r="G257" s="17"/>
      <c r="H257" s="62"/>
      <c r="I257" s="37">
        <f>IFERROR(VLOOKUP(B257,'TB '!$A:$G,7,),0)</f>
        <v>0</v>
      </c>
      <c r="J257" s="37">
        <f>IFERROR(VLOOKUP($B257,'TB '!$4:$1048576,MATCH('List of Ledgers '!J$4,'TB '!$4:$4,0),0),0)</f>
        <v>0</v>
      </c>
      <c r="K257" s="37">
        <f>IFERROR(VLOOKUP($B257,'TB '!$4:$1048576,MATCH('List of Ledgers '!K$4,'TB '!$4:$4,0),0),0)</f>
        <v>0</v>
      </c>
      <c r="L257" s="37">
        <f>IFERROR(VLOOKUP(B257,'TB '!$A:$J,10,),0)</f>
        <v>0</v>
      </c>
      <c r="M257" s="71"/>
      <c r="N257" s="63">
        <f>IFERROR(VLOOKUP($B257,'TB YTD'!$4:$1048576,MATCH('List of Ledgers '!N$4,'TB YTD'!$4:$4,0),0),0)</f>
        <v>0</v>
      </c>
      <c r="O257" s="63">
        <f>IFERROR(VLOOKUP($B257,'TB YTD'!$4:$1048576,MATCH('List of Ledgers '!O$4,'TB YTD'!$4:$4,0),0),0)</f>
        <v>0</v>
      </c>
      <c r="P257" s="63">
        <f>IFERROR(VLOOKUP($B257,'TB YTD'!$4:$1048576,MATCH('List of Ledgers '!P$4,'TB YTD'!$4:$4,0),0),0)</f>
        <v>0</v>
      </c>
      <c r="Q257" s="63">
        <f>IFERROR(VLOOKUP($B257,'TB YTD'!$4:$1048576,MATCH('List of Ledgers '!Q$4,'TB YTD'!$4:$4,0),0),0)</f>
        <v>0</v>
      </c>
      <c r="R257" s="63"/>
    </row>
    <row r="258" spans="1:18" hidden="1" x14ac:dyDescent="0.25">
      <c r="A258" s="106">
        <v>250</v>
      </c>
      <c r="B258" s="8" t="s">
        <v>452</v>
      </c>
      <c r="C258" s="8" t="s">
        <v>437</v>
      </c>
      <c r="D258" s="17"/>
      <c r="E258" s="17"/>
      <c r="G258" s="17"/>
      <c r="H258" s="62"/>
      <c r="I258" s="37">
        <f>IFERROR(VLOOKUP(B258,'TB '!$A:$G,7,),0)</f>
        <v>0</v>
      </c>
      <c r="J258" s="37">
        <f>IFERROR(VLOOKUP($B258,'TB '!$4:$1048576,MATCH('List of Ledgers '!J$4,'TB '!$4:$4,0),0),0)</f>
        <v>0</v>
      </c>
      <c r="K258" s="37">
        <f>IFERROR(VLOOKUP($B258,'TB '!$4:$1048576,MATCH('List of Ledgers '!K$4,'TB '!$4:$4,0),0),0)</f>
        <v>0</v>
      </c>
      <c r="L258" s="37">
        <f>IFERROR(VLOOKUP(B258,'TB '!$A:$J,10,),0)</f>
        <v>0</v>
      </c>
      <c r="M258" s="71"/>
      <c r="N258" s="63">
        <f>IFERROR(VLOOKUP($B258,'TB YTD'!$4:$1048576,MATCH('List of Ledgers '!N$4,'TB YTD'!$4:$4,0),0),0)</f>
        <v>0</v>
      </c>
      <c r="O258" s="63">
        <f>IFERROR(VLOOKUP($B258,'TB YTD'!$4:$1048576,MATCH('List of Ledgers '!O$4,'TB YTD'!$4:$4,0),0),0)</f>
        <v>0</v>
      </c>
      <c r="P258" s="63">
        <f>IFERROR(VLOOKUP($B258,'TB YTD'!$4:$1048576,MATCH('List of Ledgers '!P$4,'TB YTD'!$4:$4,0),0),0)</f>
        <v>0</v>
      </c>
      <c r="Q258" s="63">
        <f>IFERROR(VLOOKUP($B258,'TB YTD'!$4:$1048576,MATCH('List of Ledgers '!Q$4,'TB YTD'!$4:$4,0),0),0)</f>
        <v>0</v>
      </c>
      <c r="R258" s="63"/>
    </row>
    <row r="259" spans="1:18" hidden="1" x14ac:dyDescent="0.25">
      <c r="A259" s="106">
        <v>251</v>
      </c>
      <c r="B259" s="8" t="s">
        <v>453</v>
      </c>
      <c r="C259" s="8" t="s">
        <v>437</v>
      </c>
      <c r="D259" s="17"/>
      <c r="E259" s="17"/>
      <c r="G259" s="17"/>
      <c r="H259" s="62"/>
      <c r="I259" s="37">
        <f>IFERROR(VLOOKUP(B259,'TB '!$A:$G,7,),0)</f>
        <v>0</v>
      </c>
      <c r="J259" s="37">
        <f>IFERROR(VLOOKUP($B259,'TB '!$4:$1048576,MATCH('List of Ledgers '!J$4,'TB '!$4:$4,0),0),0)</f>
        <v>0</v>
      </c>
      <c r="K259" s="37">
        <f>IFERROR(VLOOKUP($B259,'TB '!$4:$1048576,MATCH('List of Ledgers '!K$4,'TB '!$4:$4,0),0),0)</f>
        <v>0</v>
      </c>
      <c r="L259" s="37">
        <f>IFERROR(VLOOKUP(B259,'TB '!$A:$J,10,),0)</f>
        <v>0</v>
      </c>
      <c r="M259" s="71"/>
      <c r="N259" s="63">
        <f>IFERROR(VLOOKUP($B259,'TB YTD'!$4:$1048576,MATCH('List of Ledgers '!N$4,'TB YTD'!$4:$4,0),0),0)</f>
        <v>0</v>
      </c>
      <c r="O259" s="63">
        <f>IFERROR(VLOOKUP($B259,'TB YTD'!$4:$1048576,MATCH('List of Ledgers '!O$4,'TB YTD'!$4:$4,0),0),0)</f>
        <v>0</v>
      </c>
      <c r="P259" s="63">
        <f>IFERROR(VLOOKUP($B259,'TB YTD'!$4:$1048576,MATCH('List of Ledgers '!P$4,'TB YTD'!$4:$4,0),0),0)</f>
        <v>0</v>
      </c>
      <c r="Q259" s="63">
        <f>IFERROR(VLOOKUP($B259,'TB YTD'!$4:$1048576,MATCH('List of Ledgers '!Q$4,'TB YTD'!$4:$4,0),0),0)</f>
        <v>0</v>
      </c>
      <c r="R259" s="63"/>
    </row>
    <row r="260" spans="1:18" hidden="1" x14ac:dyDescent="0.25">
      <c r="A260" s="106">
        <v>252</v>
      </c>
      <c r="B260" s="8" t="s">
        <v>454</v>
      </c>
      <c r="C260" s="8" t="s">
        <v>437</v>
      </c>
      <c r="D260" s="17"/>
      <c r="E260" s="17"/>
      <c r="G260" s="17"/>
      <c r="H260" s="62"/>
      <c r="I260" s="37">
        <f>IFERROR(VLOOKUP(B260,'TB '!$A:$G,7,),0)</f>
        <v>-16459</v>
      </c>
      <c r="J260" s="37">
        <f>IFERROR(VLOOKUP($B260,'TB '!$4:$1048576,MATCH('List of Ledgers '!J$4,'TB '!$4:$4,0),0),0)</f>
        <v>0</v>
      </c>
      <c r="K260" s="37">
        <f>IFERROR(VLOOKUP($B260,'TB '!$4:$1048576,MATCH('List of Ledgers '!K$4,'TB '!$4:$4,0),0),0)</f>
        <v>0</v>
      </c>
      <c r="L260" s="37">
        <f>IFERROR(VLOOKUP(B260,'TB '!$A:$J,10,),0)</f>
        <v>-16459</v>
      </c>
      <c r="M260" s="71"/>
      <c r="N260" s="63">
        <f>IFERROR(VLOOKUP($B260,'TB YTD'!$4:$1048576,MATCH('List of Ledgers '!N$4,'TB YTD'!$4:$4,0),0),0)</f>
        <v>756052</v>
      </c>
      <c r="O260" s="63">
        <f>IFERROR(VLOOKUP($B260,'TB YTD'!$4:$1048576,MATCH('List of Ledgers '!O$4,'TB YTD'!$4:$4,0),0),0)</f>
        <v>0</v>
      </c>
      <c r="P260" s="63">
        <f>IFERROR(VLOOKUP($B260,'TB YTD'!$4:$1048576,MATCH('List of Ledgers '!P$4,'TB YTD'!$4:$4,0),0),0)</f>
        <v>772511</v>
      </c>
      <c r="Q260" s="63">
        <f>IFERROR(VLOOKUP($B260,'TB YTD'!$4:$1048576,MATCH('List of Ledgers '!Q$4,'TB YTD'!$4:$4,0),0),0)</f>
        <v>-16459</v>
      </c>
      <c r="R260" s="63"/>
    </row>
    <row r="261" spans="1:18" hidden="1" x14ac:dyDescent="0.25">
      <c r="A261" s="106">
        <v>253</v>
      </c>
      <c r="B261" s="8" t="s">
        <v>455</v>
      </c>
      <c r="C261" s="8" t="s">
        <v>437</v>
      </c>
      <c r="D261" s="17"/>
      <c r="E261" s="17"/>
      <c r="G261" s="17"/>
      <c r="H261" s="62"/>
      <c r="I261" s="37">
        <f>IFERROR(VLOOKUP(B261,'TB '!$A:$G,7,),0)</f>
        <v>2210</v>
      </c>
      <c r="J261" s="37">
        <f>IFERROR(VLOOKUP($B261,'TB '!$4:$1048576,MATCH('List of Ledgers '!J$4,'TB '!$4:$4,0),0),0)</f>
        <v>0</v>
      </c>
      <c r="K261" s="37">
        <f>IFERROR(VLOOKUP($B261,'TB '!$4:$1048576,MATCH('List of Ledgers '!K$4,'TB '!$4:$4,0),0),0)</f>
        <v>0</v>
      </c>
      <c r="L261" s="37">
        <f>IFERROR(VLOOKUP(B261,'TB '!$A:$J,10,),0)</f>
        <v>2210</v>
      </c>
      <c r="M261" s="71"/>
      <c r="N261" s="63">
        <f>IFERROR(VLOOKUP($B261,'TB YTD'!$4:$1048576,MATCH('List of Ledgers '!N$4,'TB YTD'!$4:$4,0),0),0)</f>
        <v>500347.67</v>
      </c>
      <c r="O261" s="63">
        <f>IFERROR(VLOOKUP($B261,'TB YTD'!$4:$1048576,MATCH('List of Ledgers '!O$4,'TB YTD'!$4:$4,0),0),0)</f>
        <v>0</v>
      </c>
      <c r="P261" s="63">
        <f>IFERROR(VLOOKUP($B261,'TB YTD'!$4:$1048576,MATCH('List of Ledgers '!P$4,'TB YTD'!$4:$4,0),0),0)</f>
        <v>498137.67</v>
      </c>
      <c r="Q261" s="63">
        <f>IFERROR(VLOOKUP($B261,'TB YTD'!$4:$1048576,MATCH('List of Ledgers '!Q$4,'TB YTD'!$4:$4,0),0),0)</f>
        <v>2210</v>
      </c>
      <c r="R261" s="63"/>
    </row>
    <row r="262" spans="1:18" hidden="1" x14ac:dyDescent="0.25">
      <c r="A262" s="106">
        <v>254</v>
      </c>
      <c r="B262" s="8" t="s">
        <v>456</v>
      </c>
      <c r="C262" s="8" t="s">
        <v>437</v>
      </c>
      <c r="D262" s="17"/>
      <c r="G262" s="17"/>
      <c r="H262" s="62"/>
      <c r="I262" s="37">
        <f>IFERROR(VLOOKUP(B262,'TB '!$A:$G,7,),0)</f>
        <v>0</v>
      </c>
      <c r="J262" s="37">
        <f>IFERROR(VLOOKUP($B262,'TB '!$4:$1048576,MATCH('List of Ledgers '!J$4,'TB '!$4:$4,0),0),0)</f>
        <v>0</v>
      </c>
      <c r="K262" s="37">
        <f>IFERROR(VLOOKUP($B262,'TB '!$4:$1048576,MATCH('List of Ledgers '!K$4,'TB '!$4:$4,0),0),0)</f>
        <v>0</v>
      </c>
      <c r="L262" s="37">
        <f>IFERROR(VLOOKUP(B262,'TB '!$A:$J,10,),0)</f>
        <v>0</v>
      </c>
      <c r="M262" s="71"/>
      <c r="N262" s="63">
        <f>IFERROR(VLOOKUP($B262,'TB YTD'!$4:$1048576,MATCH('List of Ledgers '!N$4,'TB YTD'!$4:$4,0),0),0)</f>
        <v>0</v>
      </c>
      <c r="O262" s="63">
        <f>IFERROR(VLOOKUP($B262,'TB YTD'!$4:$1048576,MATCH('List of Ledgers '!O$4,'TB YTD'!$4:$4,0),0),0)</f>
        <v>0</v>
      </c>
      <c r="P262" s="63">
        <f>IFERROR(VLOOKUP($B262,'TB YTD'!$4:$1048576,MATCH('List of Ledgers '!P$4,'TB YTD'!$4:$4,0),0),0)</f>
        <v>0</v>
      </c>
      <c r="Q262" s="63">
        <f>IFERROR(VLOOKUP($B262,'TB YTD'!$4:$1048576,MATCH('List of Ledgers '!Q$4,'TB YTD'!$4:$4,0),0),0)</f>
        <v>0</v>
      </c>
      <c r="R262" s="63"/>
    </row>
    <row r="263" spans="1:18" hidden="1" x14ac:dyDescent="0.25">
      <c r="A263" s="106">
        <v>255</v>
      </c>
      <c r="B263" s="8" t="s">
        <v>457</v>
      </c>
      <c r="C263" s="8" t="s">
        <v>458</v>
      </c>
      <c r="D263" s="17"/>
      <c r="E263" s="17"/>
      <c r="G263" s="17"/>
      <c r="H263" s="62"/>
      <c r="I263" s="37">
        <f>IFERROR(VLOOKUP(B263,'TB '!$A:$G,7,),0)</f>
        <v>0</v>
      </c>
      <c r="J263" s="37">
        <f>IFERROR(VLOOKUP($B263,'TB '!$4:$1048576,MATCH('List of Ledgers '!J$4,'TB '!$4:$4,0),0),0)</f>
        <v>0</v>
      </c>
      <c r="K263" s="37">
        <f>IFERROR(VLOOKUP($B263,'TB '!$4:$1048576,MATCH('List of Ledgers '!K$4,'TB '!$4:$4,0),0),0)</f>
        <v>0</v>
      </c>
      <c r="L263" s="37">
        <f>IFERROR(VLOOKUP(B263,'TB '!$A:$J,10,),0)</f>
        <v>0</v>
      </c>
      <c r="M263" s="71"/>
      <c r="N263" s="63">
        <f>IFERROR(VLOOKUP($B263,'TB YTD'!$4:$1048576,MATCH('List of Ledgers '!N$4,'TB YTD'!$4:$4,0),0),0)</f>
        <v>4557</v>
      </c>
      <c r="O263" s="63">
        <f>IFERROR(VLOOKUP($B263,'TB YTD'!$4:$1048576,MATCH('List of Ledgers '!O$4,'TB YTD'!$4:$4,0),0),0)</f>
        <v>0</v>
      </c>
      <c r="P263" s="63">
        <f>IFERROR(VLOOKUP($B263,'TB YTD'!$4:$1048576,MATCH('List of Ledgers '!P$4,'TB YTD'!$4:$4,0),0),0)</f>
        <v>4557</v>
      </c>
      <c r="Q263" s="63">
        <f>IFERROR(VLOOKUP($B263,'TB YTD'!$4:$1048576,MATCH('List of Ledgers '!Q$4,'TB YTD'!$4:$4,0),0),0)</f>
        <v>0</v>
      </c>
      <c r="R263" s="63"/>
    </row>
    <row r="264" spans="1:18" hidden="1" x14ac:dyDescent="0.25">
      <c r="A264" s="106">
        <v>256</v>
      </c>
      <c r="B264" s="8" t="s">
        <v>459</v>
      </c>
      <c r="C264" s="8" t="s">
        <v>458</v>
      </c>
      <c r="D264" s="17"/>
      <c r="E264" s="17"/>
      <c r="G264" s="17"/>
      <c r="H264" s="62"/>
      <c r="I264" s="37">
        <f>IFERROR(VLOOKUP(B264,'TB '!$A:$G,7,),0)</f>
        <v>0</v>
      </c>
      <c r="J264" s="37">
        <f>IFERROR(VLOOKUP($B264,'TB '!$4:$1048576,MATCH('List of Ledgers '!J$4,'TB '!$4:$4,0),0),0)</f>
        <v>0</v>
      </c>
      <c r="K264" s="37">
        <f>IFERROR(VLOOKUP($B264,'TB '!$4:$1048576,MATCH('List of Ledgers '!K$4,'TB '!$4:$4,0),0),0)</f>
        <v>0</v>
      </c>
      <c r="L264" s="37">
        <f>IFERROR(VLOOKUP(B264,'TB '!$A:$J,10,),0)</f>
        <v>0</v>
      </c>
      <c r="M264" s="71"/>
      <c r="N264" s="63">
        <f>IFERROR(VLOOKUP($B264,'TB YTD'!$4:$1048576,MATCH('List of Ledgers '!N$4,'TB YTD'!$4:$4,0),0),0)</f>
        <v>55038</v>
      </c>
      <c r="O264" s="63">
        <f>IFERROR(VLOOKUP($B264,'TB YTD'!$4:$1048576,MATCH('List of Ledgers '!O$4,'TB YTD'!$4:$4,0),0),0)</f>
        <v>0</v>
      </c>
      <c r="P264" s="63">
        <f>IFERROR(VLOOKUP($B264,'TB YTD'!$4:$1048576,MATCH('List of Ledgers '!P$4,'TB YTD'!$4:$4,0),0),0)</f>
        <v>55038</v>
      </c>
      <c r="Q264" s="63">
        <f>IFERROR(VLOOKUP($B264,'TB YTD'!$4:$1048576,MATCH('List of Ledgers '!Q$4,'TB YTD'!$4:$4,0),0),0)</f>
        <v>0</v>
      </c>
      <c r="R264" s="63"/>
    </row>
    <row r="265" spans="1:18" hidden="1" x14ac:dyDescent="0.25">
      <c r="A265" s="106">
        <v>257</v>
      </c>
      <c r="B265" s="8" t="s">
        <v>460</v>
      </c>
      <c r="C265" s="8" t="s">
        <v>461</v>
      </c>
      <c r="D265" s="17"/>
      <c r="E265" s="17"/>
      <c r="G265" s="17"/>
      <c r="H265" s="62"/>
      <c r="I265" s="37">
        <f>IFERROR(VLOOKUP(B265,'TB '!$A:$G,7,),0)</f>
        <v>0</v>
      </c>
      <c r="J265" s="37">
        <f>IFERROR(VLOOKUP($B265,'TB '!$4:$1048576,MATCH('List of Ledgers '!J$4,'TB '!$4:$4,0),0),0)</f>
        <v>0</v>
      </c>
      <c r="K265" s="37">
        <f>IFERROR(VLOOKUP($B265,'TB '!$4:$1048576,MATCH('List of Ledgers '!K$4,'TB '!$4:$4,0),0),0)</f>
        <v>0</v>
      </c>
      <c r="L265" s="37">
        <f>IFERROR(VLOOKUP(B265,'TB '!$A:$J,10,),0)</f>
        <v>0</v>
      </c>
      <c r="M265" s="71"/>
      <c r="N265" s="63">
        <f>IFERROR(VLOOKUP($B265,'TB YTD'!$4:$1048576,MATCH('List of Ledgers '!N$4,'TB YTD'!$4:$4,0),0),0)</f>
        <v>0</v>
      </c>
      <c r="O265" s="63">
        <f>IFERROR(VLOOKUP($B265,'TB YTD'!$4:$1048576,MATCH('List of Ledgers '!O$4,'TB YTD'!$4:$4,0),0),0)</f>
        <v>0</v>
      </c>
      <c r="P265" s="63">
        <f>IFERROR(VLOOKUP($B265,'TB YTD'!$4:$1048576,MATCH('List of Ledgers '!P$4,'TB YTD'!$4:$4,0),0),0)</f>
        <v>0</v>
      </c>
      <c r="Q265" s="63">
        <f>IFERROR(VLOOKUP($B265,'TB YTD'!$4:$1048576,MATCH('List of Ledgers '!Q$4,'TB YTD'!$4:$4,0),0),0)</f>
        <v>0</v>
      </c>
      <c r="R265" s="63"/>
    </row>
    <row r="266" spans="1:18" hidden="1" x14ac:dyDescent="0.25">
      <c r="A266" s="106">
        <v>258</v>
      </c>
      <c r="B266" s="8" t="s">
        <v>462</v>
      </c>
      <c r="C266" s="8" t="s">
        <v>461</v>
      </c>
      <c r="D266" s="17"/>
      <c r="E266" s="17"/>
      <c r="G266" s="17"/>
      <c r="H266" s="62"/>
      <c r="I266" s="37">
        <f>IFERROR(VLOOKUP(B266,'TB '!$A:$G,7,),0)</f>
        <v>0</v>
      </c>
      <c r="J266" s="37">
        <f>IFERROR(VLOOKUP($B266,'TB '!$4:$1048576,MATCH('List of Ledgers '!J$4,'TB '!$4:$4,0),0),0)</f>
        <v>0</v>
      </c>
      <c r="K266" s="37">
        <f>IFERROR(VLOOKUP($B266,'TB '!$4:$1048576,MATCH('List of Ledgers '!K$4,'TB '!$4:$4,0),0),0)</f>
        <v>0</v>
      </c>
      <c r="L266" s="37">
        <f>IFERROR(VLOOKUP(B266,'TB '!$A:$J,10,),0)</f>
        <v>0</v>
      </c>
      <c r="M266" s="71"/>
      <c r="N266" s="63">
        <f>IFERROR(VLOOKUP($B266,'TB YTD'!$4:$1048576,MATCH('List of Ledgers '!N$4,'TB YTD'!$4:$4,0),0),0)</f>
        <v>0</v>
      </c>
      <c r="O266" s="63">
        <f>IFERROR(VLOOKUP($B266,'TB YTD'!$4:$1048576,MATCH('List of Ledgers '!O$4,'TB YTD'!$4:$4,0),0),0)</f>
        <v>0</v>
      </c>
      <c r="P266" s="63">
        <f>IFERROR(VLOOKUP($B266,'TB YTD'!$4:$1048576,MATCH('List of Ledgers '!P$4,'TB YTD'!$4:$4,0),0),0)</f>
        <v>0</v>
      </c>
      <c r="Q266" s="63">
        <f>IFERROR(VLOOKUP($B266,'TB YTD'!$4:$1048576,MATCH('List of Ledgers '!Q$4,'TB YTD'!$4:$4,0),0),0)</f>
        <v>0</v>
      </c>
      <c r="R266" s="63"/>
    </row>
    <row r="267" spans="1:18" hidden="1" x14ac:dyDescent="0.25">
      <c r="A267" s="106">
        <v>259</v>
      </c>
      <c r="B267" s="8" t="s">
        <v>463</v>
      </c>
      <c r="C267" s="8" t="s">
        <v>461</v>
      </c>
      <c r="D267" s="17"/>
      <c r="E267" s="17"/>
      <c r="G267" s="17"/>
      <c r="H267" s="62"/>
      <c r="I267" s="37">
        <f>IFERROR(VLOOKUP(B267,'TB '!$A:$G,7,),0)</f>
        <v>0</v>
      </c>
      <c r="J267" s="37">
        <f>IFERROR(VLOOKUP($B267,'TB '!$4:$1048576,MATCH('List of Ledgers '!J$4,'TB '!$4:$4,0),0),0)</f>
        <v>0</v>
      </c>
      <c r="K267" s="37">
        <f>IFERROR(VLOOKUP($B267,'TB '!$4:$1048576,MATCH('List of Ledgers '!K$4,'TB '!$4:$4,0),0),0)</f>
        <v>0</v>
      </c>
      <c r="L267" s="37">
        <f>IFERROR(VLOOKUP(B267,'TB '!$A:$J,10,),0)</f>
        <v>0</v>
      </c>
      <c r="M267" s="71"/>
      <c r="N267" s="63">
        <f>IFERROR(VLOOKUP($B267,'TB YTD'!$4:$1048576,MATCH('List of Ledgers '!N$4,'TB YTD'!$4:$4,0),0),0)</f>
        <v>0</v>
      </c>
      <c r="O267" s="63">
        <f>IFERROR(VLOOKUP($B267,'TB YTD'!$4:$1048576,MATCH('List of Ledgers '!O$4,'TB YTD'!$4:$4,0),0),0)</f>
        <v>0</v>
      </c>
      <c r="P267" s="63">
        <f>IFERROR(VLOOKUP($B267,'TB YTD'!$4:$1048576,MATCH('List of Ledgers '!P$4,'TB YTD'!$4:$4,0),0),0)</f>
        <v>0</v>
      </c>
      <c r="Q267" s="63">
        <f>IFERROR(VLOOKUP($B267,'TB YTD'!$4:$1048576,MATCH('List of Ledgers '!Q$4,'TB YTD'!$4:$4,0),0),0)</f>
        <v>0</v>
      </c>
      <c r="R267" s="63"/>
    </row>
    <row r="268" spans="1:18" hidden="1" x14ac:dyDescent="0.25">
      <c r="A268" s="106">
        <v>260</v>
      </c>
      <c r="B268" s="8" t="s">
        <v>464</v>
      </c>
      <c r="C268" s="8" t="s">
        <v>461</v>
      </c>
      <c r="D268" s="17"/>
      <c r="E268" s="17"/>
      <c r="G268" s="17"/>
      <c r="H268" s="62"/>
      <c r="I268" s="37">
        <f>IFERROR(VLOOKUP(B268,'TB '!$A:$G,7,),0)</f>
        <v>-4294453.88</v>
      </c>
      <c r="J268" s="37">
        <f>IFERROR(VLOOKUP($B268,'TB '!$4:$1048576,MATCH('List of Ledgers '!J$4,'TB '!$4:$4,0),0),0)</f>
        <v>0</v>
      </c>
      <c r="K268" s="37">
        <f>IFERROR(VLOOKUP($B268,'TB '!$4:$1048576,MATCH('List of Ledgers '!K$4,'TB '!$4:$4,0),0),0)</f>
        <v>0</v>
      </c>
      <c r="L268" s="37">
        <f>IFERROR(VLOOKUP(B268,'TB '!$A:$J,10,),0)</f>
        <v>-4294453.88</v>
      </c>
      <c r="M268" s="71"/>
      <c r="N268" s="63">
        <f>IFERROR(VLOOKUP($B268,'TB YTD'!$4:$1048576,MATCH('List of Ledgers '!N$4,'TB YTD'!$4:$4,0),0),0)</f>
        <v>0</v>
      </c>
      <c r="O268" s="63">
        <f>IFERROR(VLOOKUP($B268,'TB YTD'!$4:$1048576,MATCH('List of Ledgers '!O$4,'TB YTD'!$4:$4,0),0),0)</f>
        <v>0</v>
      </c>
      <c r="P268" s="63">
        <f>IFERROR(VLOOKUP($B268,'TB YTD'!$4:$1048576,MATCH('List of Ledgers '!P$4,'TB YTD'!$4:$4,0),0),0)</f>
        <v>4294453.88</v>
      </c>
      <c r="Q268" s="63">
        <f>IFERROR(VLOOKUP($B268,'TB YTD'!$4:$1048576,MATCH('List of Ledgers '!Q$4,'TB YTD'!$4:$4,0),0),0)</f>
        <v>-4294453.88</v>
      </c>
      <c r="R268" s="63"/>
    </row>
    <row r="269" spans="1:18" hidden="1" x14ac:dyDescent="0.25">
      <c r="A269" s="106">
        <v>261</v>
      </c>
      <c r="B269" s="8" t="s">
        <v>465</v>
      </c>
      <c r="C269" s="8" t="s">
        <v>461</v>
      </c>
      <c r="D269" s="17"/>
      <c r="E269" s="17"/>
      <c r="G269" s="17"/>
      <c r="H269" s="62"/>
      <c r="I269" s="37">
        <f>IFERROR(VLOOKUP(B269,'TB '!$A:$G,7,),0)</f>
        <v>0</v>
      </c>
      <c r="J269" s="37">
        <f>IFERROR(VLOOKUP($B269,'TB '!$4:$1048576,MATCH('List of Ledgers '!J$4,'TB '!$4:$4,0),0),0)</f>
        <v>0</v>
      </c>
      <c r="K269" s="37">
        <f>IFERROR(VLOOKUP($B269,'TB '!$4:$1048576,MATCH('List of Ledgers '!K$4,'TB '!$4:$4,0),0),0)</f>
        <v>0</v>
      </c>
      <c r="L269" s="37">
        <f>IFERROR(VLOOKUP(B269,'TB '!$A:$J,10,),0)</f>
        <v>0</v>
      </c>
      <c r="M269" s="71"/>
      <c r="N269" s="63">
        <f>IFERROR(VLOOKUP($B269,'TB YTD'!$4:$1048576,MATCH('List of Ledgers '!N$4,'TB YTD'!$4:$4,0),0),0)</f>
        <v>0</v>
      </c>
      <c r="O269" s="63">
        <f>IFERROR(VLOOKUP($B269,'TB YTD'!$4:$1048576,MATCH('List of Ledgers '!O$4,'TB YTD'!$4:$4,0),0),0)</f>
        <v>0</v>
      </c>
      <c r="P269" s="63">
        <f>IFERROR(VLOOKUP($B269,'TB YTD'!$4:$1048576,MATCH('List of Ledgers '!P$4,'TB YTD'!$4:$4,0),0),0)</f>
        <v>0</v>
      </c>
      <c r="Q269" s="63">
        <f>IFERROR(VLOOKUP($B269,'TB YTD'!$4:$1048576,MATCH('List of Ledgers '!Q$4,'TB YTD'!$4:$4,0),0),0)</f>
        <v>0</v>
      </c>
      <c r="R269" s="63"/>
    </row>
    <row r="270" spans="1:18" hidden="1" x14ac:dyDescent="0.25">
      <c r="A270" s="106">
        <v>262</v>
      </c>
      <c r="B270" s="8" t="s">
        <v>466</v>
      </c>
      <c r="C270" s="8" t="s">
        <v>461</v>
      </c>
      <c r="D270" s="17"/>
      <c r="E270" s="17"/>
      <c r="G270" s="17"/>
      <c r="H270" s="62"/>
      <c r="I270" s="37">
        <f>IFERROR(VLOOKUP(B270,'TB '!$A:$G,7,),0)</f>
        <v>0</v>
      </c>
      <c r="J270" s="37">
        <f>IFERROR(VLOOKUP($B270,'TB '!$4:$1048576,MATCH('List of Ledgers '!J$4,'TB '!$4:$4,0),0),0)</f>
        <v>0</v>
      </c>
      <c r="K270" s="37">
        <f>IFERROR(VLOOKUP($B270,'TB '!$4:$1048576,MATCH('List of Ledgers '!K$4,'TB '!$4:$4,0),0),0)</f>
        <v>0</v>
      </c>
      <c r="L270" s="37">
        <f>IFERROR(VLOOKUP(B270,'TB '!$A:$J,10,),0)</f>
        <v>0</v>
      </c>
      <c r="M270" s="71"/>
      <c r="N270" s="63">
        <f>IFERROR(VLOOKUP($B270,'TB YTD'!$4:$1048576,MATCH('List of Ledgers '!N$4,'TB YTD'!$4:$4,0),0),0)</f>
        <v>0</v>
      </c>
      <c r="O270" s="63">
        <f>IFERROR(VLOOKUP($B270,'TB YTD'!$4:$1048576,MATCH('List of Ledgers '!O$4,'TB YTD'!$4:$4,0),0),0)</f>
        <v>0</v>
      </c>
      <c r="P270" s="63">
        <f>IFERROR(VLOOKUP($B270,'TB YTD'!$4:$1048576,MATCH('List of Ledgers '!P$4,'TB YTD'!$4:$4,0),0),0)</f>
        <v>0</v>
      </c>
      <c r="Q270" s="63">
        <f>IFERROR(VLOOKUP($B270,'TB YTD'!$4:$1048576,MATCH('List of Ledgers '!Q$4,'TB YTD'!$4:$4,0),0),0)</f>
        <v>0</v>
      </c>
      <c r="R270" s="63"/>
    </row>
    <row r="271" spans="1:18" hidden="1" x14ac:dyDescent="0.25">
      <c r="A271" s="106">
        <v>263</v>
      </c>
      <c r="B271" s="8" t="s">
        <v>467</v>
      </c>
      <c r="C271" s="8" t="s">
        <v>461</v>
      </c>
      <c r="D271" s="17"/>
      <c r="E271" s="17"/>
      <c r="G271" s="17"/>
      <c r="H271" s="62"/>
      <c r="I271" s="37">
        <f>IFERROR(VLOOKUP(B271,'TB '!$A:$G,7,),0)</f>
        <v>0</v>
      </c>
      <c r="J271" s="37">
        <f>IFERROR(VLOOKUP($B271,'TB '!$4:$1048576,MATCH('List of Ledgers '!J$4,'TB '!$4:$4,0),0),0)</f>
        <v>0</v>
      </c>
      <c r="K271" s="37">
        <f>IFERROR(VLOOKUP($B271,'TB '!$4:$1048576,MATCH('List of Ledgers '!K$4,'TB '!$4:$4,0),0),0)</f>
        <v>0</v>
      </c>
      <c r="L271" s="37">
        <f>IFERROR(VLOOKUP(B271,'TB '!$A:$J,10,),0)</f>
        <v>0</v>
      </c>
      <c r="M271" s="71"/>
      <c r="N271" s="63">
        <f>IFERROR(VLOOKUP($B271,'TB YTD'!$4:$1048576,MATCH('List of Ledgers '!N$4,'TB YTD'!$4:$4,0),0),0)</f>
        <v>0</v>
      </c>
      <c r="O271" s="63">
        <f>IFERROR(VLOOKUP($B271,'TB YTD'!$4:$1048576,MATCH('List of Ledgers '!O$4,'TB YTD'!$4:$4,0),0),0)</f>
        <v>0</v>
      </c>
      <c r="P271" s="63">
        <f>IFERROR(VLOOKUP($B271,'TB YTD'!$4:$1048576,MATCH('List of Ledgers '!P$4,'TB YTD'!$4:$4,0),0),0)</f>
        <v>0</v>
      </c>
      <c r="Q271" s="63">
        <f>IFERROR(VLOOKUP($B271,'TB YTD'!$4:$1048576,MATCH('List of Ledgers '!Q$4,'TB YTD'!$4:$4,0),0),0)</f>
        <v>0</v>
      </c>
      <c r="R271" s="63"/>
    </row>
    <row r="272" spans="1:18" hidden="1" x14ac:dyDescent="0.25">
      <c r="A272" s="106">
        <v>264</v>
      </c>
      <c r="B272" s="8" t="s">
        <v>468</v>
      </c>
      <c r="C272" s="8" t="s">
        <v>461</v>
      </c>
      <c r="D272" s="17"/>
      <c r="E272" s="17"/>
      <c r="G272" s="17"/>
      <c r="H272" s="62"/>
      <c r="I272" s="37">
        <f>IFERROR(VLOOKUP(B272,'TB '!$A:$G,7,),0)</f>
        <v>0</v>
      </c>
      <c r="J272" s="37">
        <f>IFERROR(VLOOKUP($B272,'TB '!$4:$1048576,MATCH('List of Ledgers '!J$4,'TB '!$4:$4,0),0),0)</f>
        <v>0</v>
      </c>
      <c r="K272" s="37">
        <f>IFERROR(VLOOKUP($B272,'TB '!$4:$1048576,MATCH('List of Ledgers '!K$4,'TB '!$4:$4,0),0),0)</f>
        <v>0</v>
      </c>
      <c r="L272" s="37">
        <f>IFERROR(VLOOKUP(B272,'TB '!$A:$J,10,),0)</f>
        <v>0</v>
      </c>
      <c r="M272" s="71"/>
      <c r="N272" s="63">
        <f>IFERROR(VLOOKUP($B272,'TB YTD'!$4:$1048576,MATCH('List of Ledgers '!N$4,'TB YTD'!$4:$4,0),0),0)</f>
        <v>0</v>
      </c>
      <c r="O272" s="63">
        <f>IFERROR(VLOOKUP($B272,'TB YTD'!$4:$1048576,MATCH('List of Ledgers '!O$4,'TB YTD'!$4:$4,0),0),0)</f>
        <v>0</v>
      </c>
      <c r="P272" s="63">
        <f>IFERROR(VLOOKUP($B272,'TB YTD'!$4:$1048576,MATCH('List of Ledgers '!P$4,'TB YTD'!$4:$4,0),0),0)</f>
        <v>0</v>
      </c>
      <c r="Q272" s="63">
        <f>IFERROR(VLOOKUP($B272,'TB YTD'!$4:$1048576,MATCH('List of Ledgers '!Q$4,'TB YTD'!$4:$4,0),0),0)</f>
        <v>0</v>
      </c>
      <c r="R272" s="63"/>
    </row>
    <row r="273" spans="1:18" hidden="1" x14ac:dyDescent="0.25">
      <c r="A273" s="106">
        <v>265</v>
      </c>
      <c r="B273" s="8" t="s">
        <v>469</v>
      </c>
      <c r="C273" s="8" t="s">
        <v>158</v>
      </c>
      <c r="D273" s="17" t="s">
        <v>128</v>
      </c>
      <c r="E273" s="17" t="s">
        <v>131</v>
      </c>
      <c r="G273" s="17" t="s">
        <v>4</v>
      </c>
      <c r="H273" s="62"/>
      <c r="I273" s="37">
        <f>IFERROR(VLOOKUP(B273,'TB '!$A:$G,7,),0)</f>
        <v>0</v>
      </c>
      <c r="J273" s="37">
        <f>IFERROR(VLOOKUP($B273,'TB '!$4:$1048576,MATCH('List of Ledgers '!J$4,'TB '!$4:$4,0),0),0)</f>
        <v>0</v>
      </c>
      <c r="K273" s="37">
        <f>IFERROR(VLOOKUP($B273,'TB '!$4:$1048576,MATCH('List of Ledgers '!K$4,'TB '!$4:$4,0),0),0)</f>
        <v>0</v>
      </c>
      <c r="L273" s="37">
        <f>IFERROR(VLOOKUP(B273,'TB '!$A:$J,10,),0)</f>
        <v>0</v>
      </c>
      <c r="M273" s="71"/>
      <c r="N273" s="63">
        <f>IFERROR(VLOOKUP($B273,'TB YTD'!$4:$1048576,MATCH('List of Ledgers '!N$4,'TB YTD'!$4:$4,0),0),0)</f>
        <v>0</v>
      </c>
      <c r="O273" s="63">
        <f>IFERROR(VLOOKUP($B273,'TB YTD'!$4:$1048576,MATCH('List of Ledgers '!O$4,'TB YTD'!$4:$4,0),0),0)</f>
        <v>17995</v>
      </c>
      <c r="P273" s="63">
        <f>IFERROR(VLOOKUP($B273,'TB YTD'!$4:$1048576,MATCH('List of Ledgers '!P$4,'TB YTD'!$4:$4,0),0),0)</f>
        <v>17995</v>
      </c>
      <c r="Q273" s="63">
        <f>IFERROR(VLOOKUP($B273,'TB YTD'!$4:$1048576,MATCH('List of Ledgers '!Q$4,'TB YTD'!$4:$4,0),0),0)</f>
        <v>0</v>
      </c>
      <c r="R273" s="63"/>
    </row>
    <row r="274" spans="1:18" hidden="1" x14ac:dyDescent="0.25">
      <c r="A274" s="106">
        <v>266</v>
      </c>
      <c r="B274" s="8" t="s">
        <v>470</v>
      </c>
      <c r="C274" s="8" t="s">
        <v>140</v>
      </c>
      <c r="D274" s="17" t="s">
        <v>128</v>
      </c>
      <c r="E274" s="17" t="s">
        <v>131</v>
      </c>
      <c r="G274" s="17" t="s">
        <v>7</v>
      </c>
      <c r="H274" s="62"/>
      <c r="I274" s="37">
        <f>IFERROR(VLOOKUP(B274,'TB '!$A:$G,7,),0)</f>
        <v>0</v>
      </c>
      <c r="J274" s="37">
        <f>IFERROR(VLOOKUP($B274,'TB '!$4:$1048576,MATCH('List of Ledgers '!J$4,'TB '!$4:$4,0),0),0)</f>
        <v>0</v>
      </c>
      <c r="K274" s="37">
        <f>IFERROR(VLOOKUP($B274,'TB '!$4:$1048576,MATCH('List of Ledgers '!K$4,'TB '!$4:$4,0),0),0)</f>
        <v>0</v>
      </c>
      <c r="L274" s="37">
        <f>IFERROR(VLOOKUP(B274,'TB '!$A:$J,10,),0)</f>
        <v>0</v>
      </c>
      <c r="M274" s="71"/>
      <c r="N274" s="63">
        <f>IFERROR(VLOOKUP($B274,'TB YTD'!$4:$1048576,MATCH('List of Ledgers '!N$4,'TB YTD'!$4:$4,0),0),0)</f>
        <v>-3395</v>
      </c>
      <c r="O274" s="63">
        <f>IFERROR(VLOOKUP($B274,'TB YTD'!$4:$1048576,MATCH('List of Ledgers '!O$4,'TB YTD'!$4:$4,0),0),0)</f>
        <v>3395</v>
      </c>
      <c r="P274" s="63">
        <f>IFERROR(VLOOKUP($B274,'TB YTD'!$4:$1048576,MATCH('List of Ledgers '!P$4,'TB YTD'!$4:$4,0),0),0)</f>
        <v>0</v>
      </c>
      <c r="Q274" s="63">
        <f>IFERROR(VLOOKUP($B274,'TB YTD'!$4:$1048576,MATCH('List of Ledgers '!Q$4,'TB YTD'!$4:$4,0),0),0)</f>
        <v>0</v>
      </c>
      <c r="R274" s="63"/>
    </row>
    <row r="275" spans="1:18" hidden="1" x14ac:dyDescent="0.25">
      <c r="A275" s="106">
        <v>267</v>
      </c>
      <c r="B275" s="8" t="s">
        <v>471</v>
      </c>
      <c r="C275" s="8" t="s">
        <v>166</v>
      </c>
      <c r="D275" s="17" t="s">
        <v>151</v>
      </c>
      <c r="E275" s="17" t="s">
        <v>152</v>
      </c>
      <c r="F275" s="12" t="s">
        <v>50</v>
      </c>
      <c r="G275" s="17" t="s">
        <v>4</v>
      </c>
      <c r="H275" s="62"/>
      <c r="I275" s="37">
        <f>IFERROR(VLOOKUP(B275,'TB '!$A:$G,7,),0)</f>
        <v>0</v>
      </c>
      <c r="J275" s="37">
        <f>IFERROR(VLOOKUP($B275,'TB '!$4:$1048576,MATCH('List of Ledgers '!J$4,'TB '!$4:$4,0),0),0)</f>
        <v>0</v>
      </c>
      <c r="K275" s="37">
        <f>IFERROR(VLOOKUP($B275,'TB '!$4:$1048576,MATCH('List of Ledgers '!K$4,'TB '!$4:$4,0),0),0)</f>
        <v>0</v>
      </c>
      <c r="L275" s="37">
        <f>IFERROR(VLOOKUP(B275,'TB '!$A:$J,10,),0)</f>
        <v>0</v>
      </c>
      <c r="M275" s="71"/>
      <c r="N275" s="63">
        <f>IFERROR(VLOOKUP($B275,'TB YTD'!$4:$1048576,MATCH('List of Ledgers '!N$4,'TB YTD'!$4:$4,0),0),0)</f>
        <v>0</v>
      </c>
      <c r="O275" s="63">
        <f>IFERROR(VLOOKUP($B275,'TB YTD'!$4:$1048576,MATCH('List of Ledgers '!O$4,'TB YTD'!$4:$4,0),0),0)</f>
        <v>0</v>
      </c>
      <c r="P275" s="63">
        <f>IFERROR(VLOOKUP($B275,'TB YTD'!$4:$1048576,MATCH('List of Ledgers '!P$4,'TB YTD'!$4:$4,0),0),0)</f>
        <v>0</v>
      </c>
      <c r="Q275" s="63">
        <f>IFERROR(VLOOKUP($B275,'TB YTD'!$4:$1048576,MATCH('List of Ledgers '!Q$4,'TB YTD'!$4:$4,0),0),0)</f>
        <v>0</v>
      </c>
      <c r="R275" s="63"/>
    </row>
    <row r="276" spans="1:18" hidden="1" x14ac:dyDescent="0.25">
      <c r="A276" s="106">
        <v>268</v>
      </c>
      <c r="B276" s="8" t="s">
        <v>472</v>
      </c>
      <c r="C276" s="8" t="s">
        <v>271</v>
      </c>
      <c r="D276" s="17" t="s">
        <v>151</v>
      </c>
      <c r="E276" s="17" t="s">
        <v>272</v>
      </c>
      <c r="F276" s="180" t="s">
        <v>472</v>
      </c>
      <c r="G276" s="17" t="s">
        <v>7</v>
      </c>
      <c r="H276" s="62"/>
      <c r="I276" s="37">
        <f>IFERROR(VLOOKUP(B276,'TB '!$A:$G,7,),0)</f>
        <v>0</v>
      </c>
      <c r="J276" s="37">
        <f>IFERROR(VLOOKUP($B276,'TB '!$4:$1048576,MATCH('List of Ledgers '!J$4,'TB '!$4:$4,0),0),0)</f>
        <v>0</v>
      </c>
      <c r="K276" s="37">
        <f>IFERROR(VLOOKUP($B276,'TB '!$4:$1048576,MATCH('List of Ledgers '!K$4,'TB '!$4:$4,0),0),0)</f>
        <v>0</v>
      </c>
      <c r="L276" s="37">
        <f>IFERROR(VLOOKUP(B276,'TB '!$A:$J,10,),0)</f>
        <v>0</v>
      </c>
      <c r="M276" s="71"/>
      <c r="N276" s="63">
        <f>IFERROR(VLOOKUP($B276,'TB YTD'!$4:$1048576,MATCH('List of Ledgers '!N$4,'TB YTD'!$4:$4,0),0),0)</f>
        <v>0</v>
      </c>
      <c r="O276" s="63">
        <f>IFERROR(VLOOKUP($B276,'TB YTD'!$4:$1048576,MATCH('List of Ledgers '!O$4,'TB YTD'!$4:$4,0),0),0)</f>
        <v>0</v>
      </c>
      <c r="P276" s="63">
        <f>IFERROR(VLOOKUP($B276,'TB YTD'!$4:$1048576,MATCH('List of Ledgers '!P$4,'TB YTD'!$4:$4,0),0),0)</f>
        <v>566542.43999999994</v>
      </c>
      <c r="Q276" s="175">
        <f>IFERROR(VLOOKUP($B276,'TB YTD'!$4:$1048576,MATCH('List of Ledgers '!Q$4,'TB YTD'!$4:$4,0),0),0)</f>
        <v>-566542.43999999994</v>
      </c>
      <c r="R276" s="63"/>
    </row>
    <row r="277" spans="1:18" hidden="1" x14ac:dyDescent="0.25">
      <c r="A277" s="106">
        <v>269</v>
      </c>
      <c r="B277" s="8" t="s">
        <v>473</v>
      </c>
      <c r="C277" s="8" t="s">
        <v>166</v>
      </c>
      <c r="D277" s="17" t="s">
        <v>151</v>
      </c>
      <c r="E277" s="17" t="s">
        <v>152</v>
      </c>
      <c r="F277" s="12" t="s">
        <v>38</v>
      </c>
      <c r="G277" s="17" t="s">
        <v>4</v>
      </c>
      <c r="H277" s="62"/>
      <c r="I277" s="37">
        <f>IFERROR(VLOOKUP(B277,'TB '!$A:$G,7,),0)</f>
        <v>0</v>
      </c>
      <c r="J277" s="37">
        <f>IFERROR(VLOOKUP($B277,'TB '!$4:$1048576,MATCH('List of Ledgers '!J$4,'TB '!$4:$4,0),0),0)</f>
        <v>81813.94</v>
      </c>
      <c r="K277" s="37">
        <f>IFERROR(VLOOKUP($B277,'TB '!$4:$1048576,MATCH('List of Ledgers '!K$4,'TB '!$4:$4,0),0),0)</f>
        <v>0</v>
      </c>
      <c r="L277" s="37">
        <f>IFERROR(VLOOKUP(B277,'TB '!$A:$J,10,),0)</f>
        <v>81813.94</v>
      </c>
      <c r="M277" s="71"/>
      <c r="N277" s="63">
        <f>IFERROR(VLOOKUP($B277,'TB YTD'!$4:$1048576,MATCH('List of Ledgers '!N$4,'TB YTD'!$4:$4,0),0),0)</f>
        <v>0</v>
      </c>
      <c r="O277" s="63">
        <f>IFERROR(VLOOKUP($B277,'TB YTD'!$4:$1048576,MATCH('List of Ledgers '!O$4,'TB YTD'!$4:$4,0),0),0)</f>
        <v>299599.94</v>
      </c>
      <c r="P277" s="63">
        <f>IFERROR(VLOOKUP($B277,'TB YTD'!$4:$1048576,MATCH('List of Ledgers '!P$4,'TB YTD'!$4:$4,0),0),0)</f>
        <v>0</v>
      </c>
      <c r="Q277" s="63">
        <f>IFERROR(VLOOKUP($B277,'TB YTD'!$4:$1048576,MATCH('List of Ledgers '!Q$4,'TB YTD'!$4:$4,0),0),0)</f>
        <v>299599.94</v>
      </c>
      <c r="R277" s="63"/>
    </row>
    <row r="278" spans="1:18" hidden="1" x14ac:dyDescent="0.25">
      <c r="A278" s="106">
        <v>270</v>
      </c>
      <c r="B278" s="8" t="s">
        <v>474</v>
      </c>
      <c r="C278" s="8" t="s">
        <v>166</v>
      </c>
      <c r="D278" s="17" t="s">
        <v>151</v>
      </c>
      <c r="E278" s="17" t="s">
        <v>152</v>
      </c>
      <c r="F278" s="12" t="s">
        <v>69</v>
      </c>
      <c r="G278" s="17" t="s">
        <v>4</v>
      </c>
      <c r="H278" s="62"/>
      <c r="I278" s="37">
        <f>IFERROR(VLOOKUP(B278,'TB '!$A:$G,7,),0)</f>
        <v>0</v>
      </c>
      <c r="J278" s="37">
        <f>IFERROR(VLOOKUP($B278,'TB '!$4:$1048576,MATCH('List of Ledgers '!J$4,'TB '!$4:$4,0),0),0)</f>
        <v>0</v>
      </c>
      <c r="K278" s="37">
        <f>IFERROR(VLOOKUP($B278,'TB '!$4:$1048576,MATCH('List of Ledgers '!K$4,'TB '!$4:$4,0),0),0)</f>
        <v>0</v>
      </c>
      <c r="L278" s="37">
        <f>IFERROR(VLOOKUP(B278,'TB '!$A:$J,10,),0)</f>
        <v>0</v>
      </c>
      <c r="M278" s="71"/>
      <c r="N278" s="63">
        <f>IFERROR(VLOOKUP($B278,'TB YTD'!$4:$1048576,MATCH('List of Ledgers '!N$4,'TB YTD'!$4:$4,0),0),0)</f>
        <v>0</v>
      </c>
      <c r="O278" s="63">
        <f>IFERROR(VLOOKUP($B278,'TB YTD'!$4:$1048576,MATCH('List of Ledgers '!O$4,'TB YTD'!$4:$4,0),0),0)</f>
        <v>183869</v>
      </c>
      <c r="P278" s="63">
        <f>IFERROR(VLOOKUP($B278,'TB YTD'!$4:$1048576,MATCH('List of Ledgers '!P$4,'TB YTD'!$4:$4,0),0),0)</f>
        <v>0</v>
      </c>
      <c r="Q278" s="63">
        <f>IFERROR(VLOOKUP($B278,'TB YTD'!$4:$1048576,MATCH('List of Ledgers '!Q$4,'TB YTD'!$4:$4,0),0),0)</f>
        <v>183869</v>
      </c>
      <c r="R278" s="63"/>
    </row>
    <row r="279" spans="1:18" hidden="1" x14ac:dyDescent="0.25">
      <c r="A279" s="106">
        <v>271</v>
      </c>
      <c r="B279" s="8" t="s">
        <v>475</v>
      </c>
      <c r="C279" s="8" t="s">
        <v>275</v>
      </c>
      <c r="D279" s="17" t="s">
        <v>151</v>
      </c>
      <c r="E279" s="17" t="s">
        <v>152</v>
      </c>
      <c r="F279" s="12" t="s">
        <v>69</v>
      </c>
      <c r="G279" s="17" t="s">
        <v>7</v>
      </c>
      <c r="H279" s="62"/>
      <c r="I279" s="37">
        <f>IFERROR(VLOOKUP(B279,'TB '!$A:$G,7,),0)</f>
        <v>0</v>
      </c>
      <c r="J279" s="37">
        <f>IFERROR(VLOOKUP($B279,'TB '!$4:$1048576,MATCH('List of Ledgers '!J$4,'TB '!$4:$4,0),0),0)</f>
        <v>0</v>
      </c>
      <c r="K279" s="37">
        <f>IFERROR(VLOOKUP($B279,'TB '!$4:$1048576,MATCH('List of Ledgers '!K$4,'TB '!$4:$4,0),0),0)</f>
        <v>0</v>
      </c>
      <c r="L279" s="37">
        <f>IFERROR(VLOOKUP(B279,'TB '!$A:$J,10,),0)</f>
        <v>0</v>
      </c>
      <c r="M279" s="71"/>
      <c r="N279" s="63">
        <f>IFERROR(VLOOKUP($B279,'TB YTD'!$4:$1048576,MATCH('List of Ledgers '!N$4,'TB YTD'!$4:$4,0),0),0)</f>
        <v>0</v>
      </c>
      <c r="O279" s="63">
        <f>IFERROR(VLOOKUP($B279,'TB YTD'!$4:$1048576,MATCH('List of Ledgers '!O$4,'TB YTD'!$4:$4,0),0),0)</f>
        <v>0</v>
      </c>
      <c r="P279" s="63">
        <f>IFERROR(VLOOKUP($B279,'TB YTD'!$4:$1048576,MATCH('List of Ledgers '!P$4,'TB YTD'!$4:$4,0),0),0)</f>
        <v>0</v>
      </c>
      <c r="Q279" s="63">
        <f>IFERROR(VLOOKUP($B279,'TB YTD'!$4:$1048576,MATCH('List of Ledgers '!Q$4,'TB YTD'!$4:$4,0),0),0)</f>
        <v>0</v>
      </c>
      <c r="R279" s="63"/>
    </row>
    <row r="280" spans="1:18" hidden="1" x14ac:dyDescent="0.25">
      <c r="A280" s="106">
        <v>272</v>
      </c>
      <c r="B280" s="8" t="s">
        <v>476</v>
      </c>
      <c r="C280" s="8" t="s">
        <v>142</v>
      </c>
      <c r="D280" s="17"/>
      <c r="E280" s="17"/>
      <c r="G280" s="17"/>
      <c r="H280" s="62"/>
      <c r="I280" s="37">
        <f>IFERROR(VLOOKUP(B280,'TB '!$A:$G,7,),0)</f>
        <v>-33366666.66</v>
      </c>
      <c r="J280" s="37">
        <f>IFERROR(VLOOKUP($B280,'TB '!$4:$1048576,MATCH('List of Ledgers '!J$4,'TB '!$4:$4,0),0),0)</f>
        <v>1184951</v>
      </c>
      <c r="K280" s="37">
        <f>IFERROR(VLOOKUP($B280,'TB '!$4:$1048576,MATCH('List of Ledgers '!K$4,'TB '!$4:$4,0),0),0)</f>
        <v>1184951</v>
      </c>
      <c r="L280" s="37">
        <f>IFERROR(VLOOKUP(B280,'TB '!$A:$J,10,),0)</f>
        <v>-33366666.66</v>
      </c>
      <c r="M280" s="71"/>
      <c r="N280" s="63">
        <f>IFERROR(VLOOKUP($B280,'TB YTD'!$4:$1048576,MATCH('List of Ledgers '!N$4,'TB YTD'!$4:$4,0),0),0)</f>
        <v>-3366666.66</v>
      </c>
      <c r="O280" s="63">
        <f>IFERROR(VLOOKUP($B280,'TB YTD'!$4:$1048576,MATCH('List of Ledgers '!O$4,'TB YTD'!$4:$4,0),0),0)</f>
        <v>1184951</v>
      </c>
      <c r="P280" s="63">
        <f>IFERROR(VLOOKUP($B280,'TB YTD'!$4:$1048576,MATCH('List of Ledgers '!P$4,'TB YTD'!$4:$4,0),0),0)</f>
        <v>31184951</v>
      </c>
      <c r="Q280" s="63">
        <f>IFERROR(VLOOKUP($B280,'TB YTD'!$4:$1048576,MATCH('List of Ledgers '!Q$4,'TB YTD'!$4:$4,0),0),0)</f>
        <v>-33366666.66</v>
      </c>
      <c r="R280" s="63"/>
    </row>
    <row r="281" spans="1:18" hidden="1" x14ac:dyDescent="0.25">
      <c r="A281" s="106">
        <v>273</v>
      </c>
      <c r="B281" s="8" t="s">
        <v>477</v>
      </c>
      <c r="C281" s="8" t="s">
        <v>130</v>
      </c>
      <c r="D281" s="17" t="s">
        <v>128</v>
      </c>
      <c r="E281" s="17" t="s">
        <v>131</v>
      </c>
      <c r="G281" s="17" t="s">
        <v>7</v>
      </c>
      <c r="H281" s="62"/>
      <c r="I281" s="37">
        <f>IFERROR(VLOOKUP(B281,'TB '!$A:$G,7,),0)</f>
        <v>0</v>
      </c>
      <c r="J281" s="37">
        <f>IFERROR(VLOOKUP($B281,'TB '!$4:$1048576,MATCH('List of Ledgers '!J$4,'TB '!$4:$4,0),0),0)</f>
        <v>211869</v>
      </c>
      <c r="K281" s="37">
        <f>IFERROR(VLOOKUP($B281,'TB '!$4:$1048576,MATCH('List of Ledgers '!K$4,'TB '!$4:$4,0),0),0)</f>
        <v>211869</v>
      </c>
      <c r="L281" s="37">
        <f>IFERROR(VLOOKUP(B281,'TB '!$A:$J,10,),0)</f>
        <v>0</v>
      </c>
      <c r="M281" s="71"/>
      <c r="N281" s="63">
        <f>IFERROR(VLOOKUP($B281,'TB YTD'!$4:$1048576,MATCH('List of Ledgers '!N$4,'TB YTD'!$4:$4,0),0),0)</f>
        <v>0</v>
      </c>
      <c r="O281" s="63">
        <f>IFERROR(VLOOKUP($B281,'TB YTD'!$4:$1048576,MATCH('List of Ledgers '!O$4,'TB YTD'!$4:$4,0),0),0)</f>
        <v>2507257</v>
      </c>
      <c r="P281" s="63">
        <f>IFERROR(VLOOKUP($B281,'TB YTD'!$4:$1048576,MATCH('List of Ledgers '!P$4,'TB YTD'!$4:$4,0),0),0)</f>
        <v>2507257</v>
      </c>
      <c r="Q281" s="63">
        <f>IFERROR(VLOOKUP($B281,'TB YTD'!$4:$1048576,MATCH('List of Ledgers '!Q$4,'TB YTD'!$4:$4,0),0),0)</f>
        <v>0</v>
      </c>
      <c r="R281" s="63"/>
    </row>
    <row r="282" spans="1:18" hidden="1" x14ac:dyDescent="0.25">
      <c r="A282" s="106">
        <v>274</v>
      </c>
      <c r="B282" s="8" t="s">
        <v>478</v>
      </c>
      <c r="C282" s="8" t="s">
        <v>124</v>
      </c>
      <c r="D282" s="17"/>
      <c r="E282" s="17"/>
      <c r="G282" s="17"/>
      <c r="H282" s="62"/>
      <c r="I282" s="37">
        <f>IFERROR(VLOOKUP(B282,'TB '!$A:$G,7,),0)</f>
        <v>11500</v>
      </c>
      <c r="J282" s="37">
        <f>IFERROR(VLOOKUP($B282,'TB '!$4:$1048576,MATCH('List of Ledgers '!J$4,'TB '!$4:$4,0),0),0)</f>
        <v>0</v>
      </c>
      <c r="K282" s="37">
        <f>IFERROR(VLOOKUP($B282,'TB '!$4:$1048576,MATCH('List of Ledgers '!K$4,'TB '!$4:$4,0),0),0)</f>
        <v>0</v>
      </c>
      <c r="L282" s="37">
        <f>IFERROR(VLOOKUP(B282,'TB '!$A:$J,10,),0)</f>
        <v>11500</v>
      </c>
      <c r="M282" s="71"/>
      <c r="N282" s="63">
        <f>IFERROR(VLOOKUP($B282,'TB YTD'!$4:$1048576,MATCH('List of Ledgers '!N$4,'TB YTD'!$4:$4,0),0),0)</f>
        <v>11500</v>
      </c>
      <c r="O282" s="63">
        <f>IFERROR(VLOOKUP($B282,'TB YTD'!$4:$1048576,MATCH('List of Ledgers '!O$4,'TB YTD'!$4:$4,0),0),0)</f>
        <v>0</v>
      </c>
      <c r="P282" s="63">
        <f>IFERROR(VLOOKUP($B282,'TB YTD'!$4:$1048576,MATCH('List of Ledgers '!P$4,'TB YTD'!$4:$4,0),0),0)</f>
        <v>0</v>
      </c>
      <c r="Q282" s="63">
        <f>IFERROR(VLOOKUP($B282,'TB YTD'!$4:$1048576,MATCH('List of Ledgers '!Q$4,'TB YTD'!$4:$4,0),0),0)</f>
        <v>11500</v>
      </c>
      <c r="R282" s="63"/>
    </row>
    <row r="283" spans="1:18" hidden="1" x14ac:dyDescent="0.25">
      <c r="A283" s="106">
        <v>275</v>
      </c>
      <c r="B283" s="8" t="s">
        <v>479</v>
      </c>
      <c r="C283" s="8" t="s">
        <v>124</v>
      </c>
      <c r="D283" s="17"/>
      <c r="E283" s="17"/>
      <c r="G283" s="17"/>
      <c r="H283" s="62"/>
      <c r="I283" s="37">
        <f>IFERROR(VLOOKUP(B283,'TB '!$A:$G,7,),0)</f>
        <v>13500</v>
      </c>
      <c r="J283" s="37">
        <f>IFERROR(VLOOKUP($B283,'TB '!$4:$1048576,MATCH('List of Ledgers '!J$4,'TB '!$4:$4,0),0),0)</f>
        <v>0</v>
      </c>
      <c r="K283" s="37">
        <f>IFERROR(VLOOKUP($B283,'TB '!$4:$1048576,MATCH('List of Ledgers '!K$4,'TB '!$4:$4,0),0),0)</f>
        <v>0</v>
      </c>
      <c r="L283" s="37">
        <f>IFERROR(VLOOKUP(B283,'TB '!$A:$J,10,),0)</f>
        <v>13500</v>
      </c>
      <c r="M283" s="71"/>
      <c r="N283" s="63">
        <f>IFERROR(VLOOKUP($B283,'TB YTD'!$4:$1048576,MATCH('List of Ledgers '!N$4,'TB YTD'!$4:$4,0),0),0)</f>
        <v>13500</v>
      </c>
      <c r="O283" s="63">
        <f>IFERROR(VLOOKUP($B283,'TB YTD'!$4:$1048576,MATCH('List of Ledgers '!O$4,'TB YTD'!$4:$4,0),0),0)</f>
        <v>0</v>
      </c>
      <c r="P283" s="63">
        <f>IFERROR(VLOOKUP($B283,'TB YTD'!$4:$1048576,MATCH('List of Ledgers '!P$4,'TB YTD'!$4:$4,0),0),0)</f>
        <v>0</v>
      </c>
      <c r="Q283" s="63">
        <f>IFERROR(VLOOKUP($B283,'TB YTD'!$4:$1048576,MATCH('List of Ledgers '!Q$4,'TB YTD'!$4:$4,0),0),0)</f>
        <v>13500</v>
      </c>
      <c r="R283" s="63"/>
    </row>
    <row r="284" spans="1:18" hidden="1" x14ac:dyDescent="0.25">
      <c r="A284" s="106">
        <v>276</v>
      </c>
      <c r="B284" s="8" t="s">
        <v>480</v>
      </c>
      <c r="C284" s="8" t="s">
        <v>361</v>
      </c>
      <c r="D284" s="17" t="s">
        <v>151</v>
      </c>
      <c r="E284" s="17" t="s">
        <v>1291</v>
      </c>
      <c r="F284" s="12" t="s">
        <v>1290</v>
      </c>
      <c r="G284" s="17" t="s">
        <v>3</v>
      </c>
      <c r="H284" s="62"/>
      <c r="I284" s="37">
        <f>IFERROR(VLOOKUP(B284,'TB '!$A:$G,7,),0)</f>
        <v>0</v>
      </c>
      <c r="J284" s="37">
        <f>IFERROR(VLOOKUP($B284,'TB '!$4:$1048576,MATCH('List of Ledgers '!J$4,'TB '!$4:$4,0),0),0)</f>
        <v>0</v>
      </c>
      <c r="K284" s="37">
        <f>IFERROR(VLOOKUP($B284,'TB '!$4:$1048576,MATCH('List of Ledgers '!K$4,'TB '!$4:$4,0),0),0)</f>
        <v>0</v>
      </c>
      <c r="L284" s="37">
        <f>IFERROR(VLOOKUP(B284,'TB '!$A:$J,10,),0)</f>
        <v>0</v>
      </c>
      <c r="M284" s="71"/>
      <c r="N284" s="63">
        <f>IFERROR(VLOOKUP($B284,'TB YTD'!$4:$1048576,MATCH('List of Ledgers '!N$4,'TB YTD'!$4:$4,0),0),0)</f>
        <v>0</v>
      </c>
      <c r="O284" s="63">
        <f>IFERROR(VLOOKUP($B284,'TB YTD'!$4:$1048576,MATCH('List of Ledgers '!O$4,'TB YTD'!$4:$4,0),0),0)</f>
        <v>0</v>
      </c>
      <c r="P284" s="63">
        <f>IFERROR(VLOOKUP($B284,'TB YTD'!$4:$1048576,MATCH('List of Ledgers '!P$4,'TB YTD'!$4:$4,0),0),0)</f>
        <v>0</v>
      </c>
      <c r="Q284" s="63">
        <f>IFERROR(VLOOKUP($B284,'TB YTD'!$4:$1048576,MATCH('List of Ledgers '!Q$4,'TB YTD'!$4:$4,0),0),0)</f>
        <v>0</v>
      </c>
      <c r="R284" s="63"/>
    </row>
    <row r="285" spans="1:18" hidden="1" x14ac:dyDescent="0.25">
      <c r="A285" s="106">
        <v>277</v>
      </c>
      <c r="B285" s="8" t="s">
        <v>481</v>
      </c>
      <c r="C285" s="8" t="s">
        <v>150</v>
      </c>
      <c r="D285" s="17" t="s">
        <v>151</v>
      </c>
      <c r="E285" s="17" t="s">
        <v>1291</v>
      </c>
      <c r="F285" s="12" t="s">
        <v>1290</v>
      </c>
      <c r="G285" s="17" t="s">
        <v>2</v>
      </c>
      <c r="H285" s="62"/>
      <c r="I285" s="37">
        <f>IFERROR(VLOOKUP(B285,'TB '!$A:$G,7,),0)</f>
        <v>0</v>
      </c>
      <c r="J285" s="37">
        <f>IFERROR(VLOOKUP($B285,'TB '!$4:$1048576,MATCH('List of Ledgers '!J$4,'TB '!$4:$4,0),0),0)</f>
        <v>0</v>
      </c>
      <c r="K285" s="37">
        <f>IFERROR(VLOOKUP($B285,'TB '!$4:$1048576,MATCH('List of Ledgers '!K$4,'TB '!$4:$4,0),0),0)</f>
        <v>0</v>
      </c>
      <c r="L285" s="37">
        <f>IFERROR(VLOOKUP(B285,'TB '!$A:$J,10,),0)</f>
        <v>0</v>
      </c>
      <c r="M285" s="71"/>
      <c r="N285" s="63">
        <f>IFERROR(VLOOKUP($B285,'TB YTD'!$4:$1048576,MATCH('List of Ledgers '!N$4,'TB YTD'!$4:$4,0),0),0)</f>
        <v>0</v>
      </c>
      <c r="O285" s="63">
        <f>IFERROR(VLOOKUP($B285,'TB YTD'!$4:$1048576,MATCH('List of Ledgers '!O$4,'TB YTD'!$4:$4,0),0),0)</f>
        <v>0</v>
      </c>
      <c r="P285" s="63">
        <f>IFERROR(VLOOKUP($B285,'TB YTD'!$4:$1048576,MATCH('List of Ledgers '!P$4,'TB YTD'!$4:$4,0),0),0)</f>
        <v>0</v>
      </c>
      <c r="Q285" s="63">
        <f>IFERROR(VLOOKUP($B285,'TB YTD'!$4:$1048576,MATCH('List of Ledgers '!Q$4,'TB YTD'!$4:$4,0),0),0)</f>
        <v>0</v>
      </c>
      <c r="R285" s="63"/>
    </row>
    <row r="286" spans="1:18" hidden="1" x14ac:dyDescent="0.25">
      <c r="A286" s="106">
        <v>278</v>
      </c>
      <c r="B286" s="8" t="s">
        <v>482</v>
      </c>
      <c r="C286" s="8" t="s">
        <v>267</v>
      </c>
      <c r="D286" s="17" t="s">
        <v>128</v>
      </c>
      <c r="E286" s="17" t="s">
        <v>134</v>
      </c>
      <c r="G286" s="17" t="s">
        <v>2</v>
      </c>
      <c r="H286" s="62"/>
      <c r="I286" s="37">
        <f>IFERROR(VLOOKUP(B286,'TB '!$A:$G,7,),0)</f>
        <v>0</v>
      </c>
      <c r="J286" s="37">
        <f>IFERROR(VLOOKUP($B286,'TB '!$4:$1048576,MATCH('List of Ledgers '!J$4,'TB '!$4:$4,0),0),0)</f>
        <v>0</v>
      </c>
      <c r="K286" s="37">
        <f>IFERROR(VLOOKUP($B286,'TB '!$4:$1048576,MATCH('List of Ledgers '!K$4,'TB '!$4:$4,0),0),0)</f>
        <v>0</v>
      </c>
      <c r="L286" s="37">
        <f>IFERROR(VLOOKUP(B286,'TB '!$A:$J,10,),0)</f>
        <v>0</v>
      </c>
      <c r="M286" s="71"/>
      <c r="N286" s="63">
        <f>IFERROR(VLOOKUP($B286,'TB YTD'!$4:$1048576,MATCH('List of Ledgers '!N$4,'TB YTD'!$4:$4,0),0),0)</f>
        <v>0</v>
      </c>
      <c r="O286" s="63">
        <f>IFERROR(VLOOKUP($B286,'TB YTD'!$4:$1048576,MATCH('List of Ledgers '!O$4,'TB YTD'!$4:$4,0),0),0)</f>
        <v>0</v>
      </c>
      <c r="P286" s="63">
        <f>IFERROR(VLOOKUP($B286,'TB YTD'!$4:$1048576,MATCH('List of Ledgers '!P$4,'TB YTD'!$4:$4,0),0),0)</f>
        <v>0</v>
      </c>
      <c r="Q286" s="63">
        <f>IFERROR(VLOOKUP($B286,'TB YTD'!$4:$1048576,MATCH('List of Ledgers '!Q$4,'TB YTD'!$4:$4,0),0),0)</f>
        <v>0</v>
      </c>
      <c r="R286" s="63"/>
    </row>
    <row r="287" spans="1:18" hidden="1" x14ac:dyDescent="0.25">
      <c r="A287" s="106">
        <v>279</v>
      </c>
      <c r="B287" s="8" t="s">
        <v>483</v>
      </c>
      <c r="C287" s="8" t="s">
        <v>275</v>
      </c>
      <c r="D287" s="17" t="s">
        <v>151</v>
      </c>
      <c r="E287" s="17" t="s">
        <v>152</v>
      </c>
      <c r="F287" s="12" t="s">
        <v>51</v>
      </c>
      <c r="G287" s="17" t="s">
        <v>7</v>
      </c>
      <c r="H287" s="62"/>
      <c r="I287" s="37">
        <f>IFERROR(VLOOKUP(B287,'TB '!$A:$G,7,),0)</f>
        <v>0</v>
      </c>
      <c r="J287" s="37">
        <f>IFERROR(VLOOKUP($B287,'TB '!$4:$1048576,MATCH('List of Ledgers '!J$4,'TB '!$4:$4,0),0),0)</f>
        <v>5000</v>
      </c>
      <c r="K287" s="37">
        <f>IFERROR(VLOOKUP($B287,'TB '!$4:$1048576,MATCH('List of Ledgers '!K$4,'TB '!$4:$4,0),0),0)</f>
        <v>0</v>
      </c>
      <c r="L287" s="37">
        <f>IFERROR(VLOOKUP(B287,'TB '!$A:$J,10,),0)</f>
        <v>5000</v>
      </c>
      <c r="M287" s="71"/>
      <c r="N287" s="63">
        <f>IFERROR(VLOOKUP($B287,'TB YTD'!$4:$1048576,MATCH('List of Ledgers '!N$4,'TB YTD'!$4:$4,0),0),0)</f>
        <v>0</v>
      </c>
      <c r="O287" s="63">
        <f>IFERROR(VLOOKUP($B287,'TB YTD'!$4:$1048576,MATCH('List of Ledgers '!O$4,'TB YTD'!$4:$4,0),0),0)</f>
        <v>35542</v>
      </c>
      <c r="P287" s="63">
        <f>IFERROR(VLOOKUP($B287,'TB YTD'!$4:$1048576,MATCH('List of Ledgers '!P$4,'TB YTD'!$4:$4,0),0),0)</f>
        <v>0</v>
      </c>
      <c r="Q287" s="63">
        <f>IFERROR(VLOOKUP($B287,'TB YTD'!$4:$1048576,MATCH('List of Ledgers '!Q$4,'TB YTD'!$4:$4,0),0),0)</f>
        <v>35542</v>
      </c>
      <c r="R287" s="63"/>
    </row>
    <row r="288" spans="1:18" hidden="1" x14ac:dyDescent="0.25">
      <c r="A288" s="106">
        <v>280</v>
      </c>
      <c r="B288" s="8" t="s">
        <v>484</v>
      </c>
      <c r="C288" s="8" t="s">
        <v>328</v>
      </c>
      <c r="D288" s="17"/>
      <c r="E288" s="17"/>
      <c r="G288" s="17"/>
      <c r="H288" s="62"/>
      <c r="I288" s="37">
        <f>IFERROR(VLOOKUP(B288,'TB '!$A:$G,7,),0)</f>
        <v>25623.87</v>
      </c>
      <c r="J288" s="37">
        <f>IFERROR(VLOOKUP($B288,'TB '!$4:$1048576,MATCH('List of Ledgers '!J$4,'TB '!$4:$4,0),0),0)</f>
        <v>0</v>
      </c>
      <c r="K288" s="37">
        <f>IFERROR(VLOOKUP($B288,'TB '!$4:$1048576,MATCH('List of Ledgers '!K$4,'TB '!$4:$4,0),0),0)</f>
        <v>0</v>
      </c>
      <c r="L288" s="37">
        <f>IFERROR(VLOOKUP(B288,'TB '!$A:$J,10,),0)</f>
        <v>25623.87</v>
      </c>
      <c r="M288" s="71"/>
      <c r="N288" s="63">
        <f>IFERROR(VLOOKUP($B288,'TB YTD'!$4:$1048576,MATCH('List of Ledgers '!N$4,'TB YTD'!$4:$4,0),0),0)</f>
        <v>25623.87</v>
      </c>
      <c r="O288" s="63">
        <f>IFERROR(VLOOKUP($B288,'TB YTD'!$4:$1048576,MATCH('List of Ledgers '!O$4,'TB YTD'!$4:$4,0),0),0)</f>
        <v>0</v>
      </c>
      <c r="P288" s="63">
        <f>IFERROR(VLOOKUP($B288,'TB YTD'!$4:$1048576,MATCH('List of Ledgers '!P$4,'TB YTD'!$4:$4,0),0),0)</f>
        <v>0</v>
      </c>
      <c r="Q288" s="63">
        <f>IFERROR(VLOOKUP($B288,'TB YTD'!$4:$1048576,MATCH('List of Ledgers '!Q$4,'TB YTD'!$4:$4,0),0),0)</f>
        <v>25623.87</v>
      </c>
      <c r="R288" s="63"/>
    </row>
    <row r="289" spans="1:18" hidden="1" x14ac:dyDescent="0.25">
      <c r="A289" s="106">
        <v>281</v>
      </c>
      <c r="B289" s="8" t="s">
        <v>485</v>
      </c>
      <c r="C289" s="8" t="s">
        <v>267</v>
      </c>
      <c r="D289" s="17" t="s">
        <v>128</v>
      </c>
      <c r="E289" s="17" t="s">
        <v>134</v>
      </c>
      <c r="G289" s="17" t="s">
        <v>2</v>
      </c>
      <c r="H289" s="62"/>
      <c r="I289" s="37">
        <f>IFERROR(VLOOKUP(B289,'TB '!$A:$G,7,),0)</f>
        <v>0</v>
      </c>
      <c r="J289" s="37">
        <f>IFERROR(VLOOKUP($B289,'TB '!$4:$1048576,MATCH('List of Ledgers '!J$4,'TB '!$4:$4,0),0),0)</f>
        <v>0</v>
      </c>
      <c r="K289" s="37">
        <f>IFERROR(VLOOKUP($B289,'TB '!$4:$1048576,MATCH('List of Ledgers '!K$4,'TB '!$4:$4,0),0),0)</f>
        <v>0</v>
      </c>
      <c r="L289" s="37">
        <f>IFERROR(VLOOKUP(B289,'TB '!$A:$J,10,),0)</f>
        <v>0</v>
      </c>
      <c r="M289" s="71"/>
      <c r="N289" s="63">
        <f>IFERROR(VLOOKUP($B289,'TB YTD'!$4:$1048576,MATCH('List of Ledgers '!N$4,'TB YTD'!$4:$4,0),0),0)</f>
        <v>0</v>
      </c>
      <c r="O289" s="63">
        <f>IFERROR(VLOOKUP($B289,'TB YTD'!$4:$1048576,MATCH('List of Ledgers '!O$4,'TB YTD'!$4:$4,0),0),0)</f>
        <v>0</v>
      </c>
      <c r="P289" s="63">
        <f>IFERROR(VLOOKUP($B289,'TB YTD'!$4:$1048576,MATCH('List of Ledgers '!P$4,'TB YTD'!$4:$4,0),0),0)</f>
        <v>0</v>
      </c>
      <c r="Q289" s="63">
        <f>IFERROR(VLOOKUP($B289,'TB YTD'!$4:$1048576,MATCH('List of Ledgers '!Q$4,'TB YTD'!$4:$4,0),0),0)</f>
        <v>0</v>
      </c>
      <c r="R289" s="63"/>
    </row>
    <row r="290" spans="1:18" hidden="1" x14ac:dyDescent="0.25">
      <c r="A290" s="106">
        <v>282</v>
      </c>
      <c r="B290" s="8" t="s">
        <v>486</v>
      </c>
      <c r="C290" s="8" t="s">
        <v>140</v>
      </c>
      <c r="D290" s="17" t="s">
        <v>128</v>
      </c>
      <c r="E290" s="17" t="s">
        <v>131</v>
      </c>
      <c r="G290" s="17" t="s">
        <v>7</v>
      </c>
      <c r="H290" s="62"/>
      <c r="I290" s="37">
        <f>IFERROR(VLOOKUP(B290,'TB '!$A:$G,7,),0)</f>
        <v>0</v>
      </c>
      <c r="J290" s="37">
        <f>IFERROR(VLOOKUP($B290,'TB '!$4:$1048576,MATCH('List of Ledgers '!J$4,'TB '!$4:$4,0),0),0)</f>
        <v>0</v>
      </c>
      <c r="K290" s="37">
        <f>IFERROR(VLOOKUP($B290,'TB '!$4:$1048576,MATCH('List of Ledgers '!K$4,'TB '!$4:$4,0),0),0)</f>
        <v>0</v>
      </c>
      <c r="L290" s="37">
        <f>IFERROR(VLOOKUP(B290,'TB '!$A:$J,10,),0)</f>
        <v>0</v>
      </c>
      <c r="M290" s="71"/>
      <c r="N290" s="63">
        <f>IFERROR(VLOOKUP($B290,'TB YTD'!$4:$1048576,MATCH('List of Ledgers '!N$4,'TB YTD'!$4:$4,0),0),0)</f>
        <v>0</v>
      </c>
      <c r="O290" s="63">
        <f>IFERROR(VLOOKUP($B290,'TB YTD'!$4:$1048576,MATCH('List of Ledgers '!O$4,'TB YTD'!$4:$4,0),0),0)</f>
        <v>0</v>
      </c>
      <c r="P290" s="63">
        <f>IFERROR(VLOOKUP($B290,'TB YTD'!$4:$1048576,MATCH('List of Ledgers '!P$4,'TB YTD'!$4:$4,0),0),0)</f>
        <v>0</v>
      </c>
      <c r="Q290" s="63">
        <f>IFERROR(VLOOKUP($B290,'TB YTD'!$4:$1048576,MATCH('List of Ledgers '!Q$4,'TB YTD'!$4:$4,0),0),0)</f>
        <v>0</v>
      </c>
      <c r="R290" s="63"/>
    </row>
    <row r="291" spans="1:18" hidden="1" x14ac:dyDescent="0.25">
      <c r="A291" s="106">
        <v>283</v>
      </c>
      <c r="B291" s="8" t="s">
        <v>487</v>
      </c>
      <c r="C291" s="8" t="s">
        <v>488</v>
      </c>
      <c r="D291" s="17" t="s">
        <v>128</v>
      </c>
      <c r="E291" s="17" t="s">
        <v>134</v>
      </c>
      <c r="G291" s="17" t="s">
        <v>2</v>
      </c>
      <c r="H291" s="62"/>
      <c r="I291" s="37">
        <f>IFERROR(VLOOKUP(B291,'TB '!$A:$G,7,),0)</f>
        <v>0</v>
      </c>
      <c r="J291" s="37">
        <f>IFERROR(VLOOKUP($B291,'TB '!$4:$1048576,MATCH('List of Ledgers '!J$4,'TB '!$4:$4,0),0),0)</f>
        <v>0</v>
      </c>
      <c r="K291" s="37">
        <f>IFERROR(VLOOKUP($B291,'TB '!$4:$1048576,MATCH('List of Ledgers '!K$4,'TB '!$4:$4,0),0),0)</f>
        <v>0</v>
      </c>
      <c r="L291" s="37">
        <f>IFERROR(VLOOKUP(B291,'TB '!$A:$J,10,),0)</f>
        <v>0</v>
      </c>
      <c r="M291" s="71"/>
      <c r="N291" s="63">
        <f>IFERROR(VLOOKUP($B291,'TB YTD'!$4:$1048576,MATCH('List of Ledgers '!N$4,'TB YTD'!$4:$4,0),0),0)</f>
        <v>0</v>
      </c>
      <c r="O291" s="63">
        <f>IFERROR(VLOOKUP($B291,'TB YTD'!$4:$1048576,MATCH('List of Ledgers '!O$4,'TB YTD'!$4:$4,0),0),0)</f>
        <v>0</v>
      </c>
      <c r="P291" s="63">
        <f>IFERROR(VLOOKUP($B291,'TB YTD'!$4:$1048576,MATCH('List of Ledgers '!P$4,'TB YTD'!$4:$4,0),0),0)</f>
        <v>0</v>
      </c>
      <c r="Q291" s="63">
        <f>IFERROR(VLOOKUP($B291,'TB YTD'!$4:$1048576,MATCH('List of Ledgers '!Q$4,'TB YTD'!$4:$4,0),0),0)</f>
        <v>0</v>
      </c>
      <c r="R291" s="63"/>
    </row>
    <row r="292" spans="1:18" hidden="1" x14ac:dyDescent="0.25">
      <c r="A292" s="106">
        <v>284</v>
      </c>
      <c r="B292" s="8" t="s">
        <v>489</v>
      </c>
      <c r="C292" s="8" t="s">
        <v>207</v>
      </c>
      <c r="D292" s="17" t="s">
        <v>128</v>
      </c>
      <c r="E292" s="17" t="s">
        <v>131</v>
      </c>
      <c r="G292" s="17" t="s">
        <v>3</v>
      </c>
      <c r="H292" s="62"/>
      <c r="I292" s="37">
        <f>IFERROR(VLOOKUP(B292,'TB '!$A:$G,7,),0)</f>
        <v>-23345</v>
      </c>
      <c r="J292" s="37">
        <f>IFERROR(VLOOKUP($B292,'TB '!$4:$1048576,MATCH('List of Ledgers '!J$4,'TB '!$4:$4,0),0),0)</f>
        <v>0</v>
      </c>
      <c r="K292" s="37">
        <f>IFERROR(VLOOKUP($B292,'TB '!$4:$1048576,MATCH('List of Ledgers '!K$4,'TB '!$4:$4,0),0),0)</f>
        <v>0</v>
      </c>
      <c r="L292" s="37">
        <f>IFERROR(VLOOKUP(B292,'TB '!$A:$J,10,),0)</f>
        <v>-23345</v>
      </c>
      <c r="M292" s="71"/>
      <c r="N292" s="63">
        <f>IFERROR(VLOOKUP($B292,'TB YTD'!$4:$1048576,MATCH('List of Ledgers '!N$4,'TB YTD'!$4:$4,0),0),0)</f>
        <v>-23345</v>
      </c>
      <c r="O292" s="63">
        <f>IFERROR(VLOOKUP($B292,'TB YTD'!$4:$1048576,MATCH('List of Ledgers '!O$4,'TB YTD'!$4:$4,0),0),0)</f>
        <v>0</v>
      </c>
      <c r="P292" s="63">
        <f>IFERROR(VLOOKUP($B292,'TB YTD'!$4:$1048576,MATCH('List of Ledgers '!P$4,'TB YTD'!$4:$4,0),0),0)</f>
        <v>0</v>
      </c>
      <c r="Q292" s="63">
        <f>IFERROR(VLOOKUP($B292,'TB YTD'!$4:$1048576,MATCH('List of Ledgers '!Q$4,'TB YTD'!$4:$4,0),0),0)</f>
        <v>-23345</v>
      </c>
      <c r="R292" s="63"/>
    </row>
    <row r="293" spans="1:18" hidden="1" x14ac:dyDescent="0.25">
      <c r="A293" s="106">
        <v>285</v>
      </c>
      <c r="B293" s="8" t="s">
        <v>490</v>
      </c>
      <c r="C293" s="8" t="s">
        <v>172</v>
      </c>
      <c r="D293" s="17"/>
      <c r="E293" s="17"/>
      <c r="G293" s="17"/>
      <c r="H293" s="62"/>
      <c r="I293" s="37">
        <f>IFERROR(VLOOKUP(B293,'TB '!$A:$G,7,),0)</f>
        <v>220600</v>
      </c>
      <c r="J293" s="37">
        <f>IFERROR(VLOOKUP($B293,'TB '!$4:$1048576,MATCH('List of Ledgers '!J$4,'TB '!$4:$4,0),0),0)</f>
        <v>0</v>
      </c>
      <c r="K293" s="37">
        <f>IFERROR(VLOOKUP($B293,'TB '!$4:$1048576,MATCH('List of Ledgers '!K$4,'TB '!$4:$4,0),0),0)</f>
        <v>0</v>
      </c>
      <c r="L293" s="37">
        <f>IFERROR(VLOOKUP(B293,'TB '!$A:$J,10,),0)</f>
        <v>220600</v>
      </c>
      <c r="M293" s="71"/>
      <c r="N293" s="63">
        <f>IFERROR(VLOOKUP($B293,'TB YTD'!$4:$1048576,MATCH('List of Ledgers '!N$4,'TB YTD'!$4:$4,0),0),0)</f>
        <v>220600</v>
      </c>
      <c r="O293" s="63">
        <f>IFERROR(VLOOKUP($B293,'TB YTD'!$4:$1048576,MATCH('List of Ledgers '!O$4,'TB YTD'!$4:$4,0),0),0)</f>
        <v>0</v>
      </c>
      <c r="P293" s="63">
        <f>IFERROR(VLOOKUP($B293,'TB YTD'!$4:$1048576,MATCH('List of Ledgers '!P$4,'TB YTD'!$4:$4,0),0),0)</f>
        <v>0</v>
      </c>
      <c r="Q293" s="63">
        <f>IFERROR(VLOOKUP($B293,'TB YTD'!$4:$1048576,MATCH('List of Ledgers '!Q$4,'TB YTD'!$4:$4,0),0),0)</f>
        <v>220600</v>
      </c>
      <c r="R293" s="63"/>
    </row>
    <row r="294" spans="1:18" hidden="1" x14ac:dyDescent="0.25">
      <c r="A294" s="106">
        <v>286</v>
      </c>
      <c r="B294" s="2" t="s">
        <v>491</v>
      </c>
      <c r="C294" s="2" t="s">
        <v>158</v>
      </c>
      <c r="D294" s="17" t="s">
        <v>128</v>
      </c>
      <c r="E294" s="17" t="s">
        <v>131</v>
      </c>
      <c r="G294" s="17" t="s">
        <v>4</v>
      </c>
      <c r="I294" s="37">
        <f>IFERROR(VLOOKUP(B294,'TB '!$A:$G,7,),0)</f>
        <v>1433</v>
      </c>
      <c r="J294" s="37">
        <f>IFERROR(VLOOKUP($B294,'TB '!$4:$1048576,MATCH('List of Ledgers '!J$4,'TB '!$4:$4,0),0),0)</f>
        <v>0</v>
      </c>
      <c r="K294" s="37">
        <f>IFERROR(VLOOKUP($B294,'TB '!$4:$1048576,MATCH('List of Ledgers '!K$4,'TB '!$4:$4,0),0),0)</f>
        <v>9603</v>
      </c>
      <c r="L294" s="37">
        <f>IFERROR(VLOOKUP(B294,'TB '!$A:$J,10,),0)</f>
        <v>-8170</v>
      </c>
      <c r="M294" s="71"/>
      <c r="N294" s="63">
        <f>IFERROR(VLOOKUP($B294,'TB YTD'!$4:$1048576,MATCH('List of Ledgers '!N$4,'TB YTD'!$4:$4,0),0),0)</f>
        <v>0</v>
      </c>
      <c r="O294" s="63">
        <f>IFERROR(VLOOKUP($B294,'TB YTD'!$4:$1048576,MATCH('List of Ledgers '!O$4,'TB YTD'!$4:$4,0),0),0)</f>
        <v>28246533</v>
      </c>
      <c r="P294" s="63">
        <f>IFERROR(VLOOKUP($B294,'TB YTD'!$4:$1048576,MATCH('List of Ledgers '!P$4,'TB YTD'!$4:$4,0),0),0)</f>
        <v>28254703</v>
      </c>
      <c r="Q294" s="63">
        <f>IFERROR(VLOOKUP($B294,'TB YTD'!$4:$1048576,MATCH('List of Ledgers '!Q$4,'TB YTD'!$4:$4,0),0),0)</f>
        <v>-8170</v>
      </c>
    </row>
    <row r="295" spans="1:18" hidden="1" x14ac:dyDescent="0.25">
      <c r="A295" s="106">
        <v>287</v>
      </c>
      <c r="B295" s="8" t="s">
        <v>492</v>
      </c>
      <c r="C295" s="8" t="s">
        <v>140</v>
      </c>
      <c r="D295" s="17" t="s">
        <v>128</v>
      </c>
      <c r="E295" s="17" t="s">
        <v>131</v>
      </c>
      <c r="G295" s="17" t="s">
        <v>7</v>
      </c>
      <c r="H295" s="62"/>
      <c r="I295" s="37">
        <f>IFERROR(VLOOKUP(B295,'TB '!$A:$G,7,),0)</f>
        <v>0</v>
      </c>
      <c r="J295" s="37">
        <f>IFERROR(VLOOKUP($B295,'TB '!$4:$1048576,MATCH('List of Ledgers '!J$4,'TB '!$4:$4,0),0),0)</f>
        <v>0</v>
      </c>
      <c r="K295" s="37">
        <f>IFERROR(VLOOKUP($B295,'TB '!$4:$1048576,MATCH('List of Ledgers '!K$4,'TB '!$4:$4,0),0),0)</f>
        <v>0</v>
      </c>
      <c r="L295" s="37">
        <f>IFERROR(VLOOKUP(B295,'TB '!$A:$J,10,),0)</f>
        <v>0</v>
      </c>
      <c r="M295" s="71"/>
      <c r="N295" s="63">
        <f>IFERROR(VLOOKUP($B295,'TB YTD'!$4:$1048576,MATCH('List of Ledgers '!N$4,'TB YTD'!$4:$4,0),0),0)</f>
        <v>0</v>
      </c>
      <c r="O295" s="63">
        <f>IFERROR(VLOOKUP($B295,'TB YTD'!$4:$1048576,MATCH('List of Ledgers '!O$4,'TB YTD'!$4:$4,0),0),0)</f>
        <v>0</v>
      </c>
      <c r="P295" s="63">
        <f>IFERROR(VLOOKUP($B295,'TB YTD'!$4:$1048576,MATCH('List of Ledgers '!P$4,'TB YTD'!$4:$4,0),0),0)</f>
        <v>0</v>
      </c>
      <c r="Q295" s="63">
        <f>IFERROR(VLOOKUP($B295,'TB YTD'!$4:$1048576,MATCH('List of Ledgers '!Q$4,'TB YTD'!$4:$4,0),0),0)</f>
        <v>0</v>
      </c>
      <c r="R295" s="63"/>
    </row>
    <row r="296" spans="1:18" hidden="1" x14ac:dyDescent="0.25">
      <c r="A296" s="106">
        <v>288</v>
      </c>
      <c r="B296" s="8" t="s">
        <v>493</v>
      </c>
      <c r="C296" s="8" t="s">
        <v>322</v>
      </c>
      <c r="D296" s="17" t="s">
        <v>151</v>
      </c>
      <c r="E296" s="17" t="s">
        <v>152</v>
      </c>
      <c r="F296" s="12" t="s">
        <v>63</v>
      </c>
      <c r="G296" s="17" t="s">
        <v>7</v>
      </c>
      <c r="H296" s="62"/>
      <c r="I296" s="37">
        <f>IFERROR(VLOOKUP(B296,'TB '!$A:$G,7,),0)</f>
        <v>0</v>
      </c>
      <c r="J296" s="37">
        <f>IFERROR(VLOOKUP($B296,'TB '!$4:$1048576,MATCH('List of Ledgers '!J$4,'TB '!$4:$4,0),0),0)</f>
        <v>0</v>
      </c>
      <c r="K296" s="37">
        <f>IFERROR(VLOOKUP($B296,'TB '!$4:$1048576,MATCH('List of Ledgers '!K$4,'TB '!$4:$4,0),0),0)</f>
        <v>0</v>
      </c>
      <c r="L296" s="37">
        <f>IFERROR(VLOOKUP(B296,'TB '!$A:$J,10,),0)</f>
        <v>0</v>
      </c>
      <c r="M296" s="71"/>
      <c r="N296" s="63">
        <f>IFERROR(VLOOKUP($B296,'TB YTD'!$4:$1048576,MATCH('List of Ledgers '!N$4,'TB YTD'!$4:$4,0),0),0)</f>
        <v>0</v>
      </c>
      <c r="O296" s="63">
        <f>IFERROR(VLOOKUP($B296,'TB YTD'!$4:$1048576,MATCH('List of Ledgers '!O$4,'TB YTD'!$4:$4,0),0),0)</f>
        <v>80480</v>
      </c>
      <c r="P296" s="63">
        <f>IFERROR(VLOOKUP($B296,'TB YTD'!$4:$1048576,MATCH('List of Ledgers '!P$4,'TB YTD'!$4:$4,0),0),0)</f>
        <v>0</v>
      </c>
      <c r="Q296" s="63">
        <f>IFERROR(VLOOKUP($B296,'TB YTD'!$4:$1048576,MATCH('List of Ledgers '!Q$4,'TB YTD'!$4:$4,0),0),0)</f>
        <v>80480</v>
      </c>
      <c r="R296" s="63"/>
    </row>
    <row r="297" spans="1:18" hidden="1" x14ac:dyDescent="0.25">
      <c r="A297" s="106">
        <v>289</v>
      </c>
      <c r="B297" s="8" t="s">
        <v>494</v>
      </c>
      <c r="C297" s="8" t="s">
        <v>495</v>
      </c>
      <c r="D297" s="17" t="s">
        <v>128</v>
      </c>
      <c r="E297" s="17" t="s">
        <v>134</v>
      </c>
      <c r="G297" s="17" t="s">
        <v>7</v>
      </c>
      <c r="H297" s="62"/>
      <c r="I297" s="37">
        <f>IFERROR(VLOOKUP(B297,'TB '!$A:$G,7,),0)</f>
        <v>0</v>
      </c>
      <c r="J297" s="37">
        <f>IFERROR(VLOOKUP($B297,'TB '!$4:$1048576,MATCH('List of Ledgers '!J$4,'TB '!$4:$4,0),0),0)</f>
        <v>0</v>
      </c>
      <c r="K297" s="37">
        <f>IFERROR(VLOOKUP($B297,'TB '!$4:$1048576,MATCH('List of Ledgers '!K$4,'TB '!$4:$4,0),0),0)</f>
        <v>0</v>
      </c>
      <c r="L297" s="37">
        <f>IFERROR(VLOOKUP(B297,'TB '!$A:$J,10,),0)</f>
        <v>0</v>
      </c>
      <c r="M297" s="71"/>
      <c r="N297" s="63">
        <f>IFERROR(VLOOKUP($B297,'TB YTD'!$4:$1048576,MATCH('List of Ledgers '!N$4,'TB YTD'!$4:$4,0),0),0)</f>
        <v>0</v>
      </c>
      <c r="O297" s="63">
        <f>IFERROR(VLOOKUP($B297,'TB YTD'!$4:$1048576,MATCH('List of Ledgers '!O$4,'TB YTD'!$4:$4,0),0),0)</f>
        <v>0</v>
      </c>
      <c r="P297" s="63">
        <f>IFERROR(VLOOKUP($B297,'TB YTD'!$4:$1048576,MATCH('List of Ledgers '!P$4,'TB YTD'!$4:$4,0),0),0)</f>
        <v>0</v>
      </c>
      <c r="Q297" s="63">
        <f>IFERROR(VLOOKUP($B297,'TB YTD'!$4:$1048576,MATCH('List of Ledgers '!Q$4,'TB YTD'!$4:$4,0),0),0)</f>
        <v>0</v>
      </c>
      <c r="R297" s="63"/>
    </row>
    <row r="298" spans="1:18" hidden="1" x14ac:dyDescent="0.25">
      <c r="A298" s="106">
        <v>290</v>
      </c>
      <c r="B298" s="8" t="s">
        <v>496</v>
      </c>
      <c r="C298" s="8" t="s">
        <v>495</v>
      </c>
      <c r="D298" s="17" t="s">
        <v>128</v>
      </c>
      <c r="E298" s="17" t="s">
        <v>134</v>
      </c>
      <c r="G298" s="17" t="s">
        <v>7</v>
      </c>
      <c r="H298" s="62"/>
      <c r="I298" s="37">
        <f>IFERROR(VLOOKUP(B298,'TB '!$A:$G,7,),0)</f>
        <v>0</v>
      </c>
      <c r="J298" s="37">
        <f>IFERROR(VLOOKUP($B298,'TB '!$4:$1048576,MATCH('List of Ledgers '!J$4,'TB '!$4:$4,0),0),0)</f>
        <v>0</v>
      </c>
      <c r="K298" s="37">
        <f>IFERROR(VLOOKUP($B298,'TB '!$4:$1048576,MATCH('List of Ledgers '!K$4,'TB '!$4:$4,0),0),0)</f>
        <v>0</v>
      </c>
      <c r="L298" s="37">
        <f>IFERROR(VLOOKUP(B298,'TB '!$A:$J,10,),0)</f>
        <v>0</v>
      </c>
      <c r="M298" s="71"/>
      <c r="N298" s="63">
        <f>IFERROR(VLOOKUP($B298,'TB YTD'!$4:$1048576,MATCH('List of Ledgers '!N$4,'TB YTD'!$4:$4,0),0),0)</f>
        <v>237010</v>
      </c>
      <c r="O298" s="63">
        <f>IFERROR(VLOOKUP($B298,'TB YTD'!$4:$1048576,MATCH('List of Ledgers '!O$4,'TB YTD'!$4:$4,0),0),0)</f>
        <v>655048</v>
      </c>
      <c r="P298" s="63">
        <f>IFERROR(VLOOKUP($B298,'TB YTD'!$4:$1048576,MATCH('List of Ledgers '!P$4,'TB YTD'!$4:$4,0),0),0)</f>
        <v>892058</v>
      </c>
      <c r="Q298" s="63">
        <f>IFERROR(VLOOKUP($B298,'TB YTD'!$4:$1048576,MATCH('List of Ledgers '!Q$4,'TB YTD'!$4:$4,0),0),0)</f>
        <v>0</v>
      </c>
      <c r="R298" s="63"/>
    </row>
    <row r="299" spans="1:18" hidden="1" x14ac:dyDescent="0.25">
      <c r="A299" s="106">
        <v>291</v>
      </c>
      <c r="B299" s="8" t="s">
        <v>497</v>
      </c>
      <c r="C299" s="8" t="s">
        <v>140</v>
      </c>
      <c r="D299" s="17" t="s">
        <v>128</v>
      </c>
      <c r="E299" s="17" t="s">
        <v>131</v>
      </c>
      <c r="G299" s="17" t="s">
        <v>7</v>
      </c>
      <c r="H299" s="62"/>
      <c r="I299" s="37">
        <f>IFERROR(VLOOKUP(B299,'TB '!$A:$G,7,),0)</f>
        <v>0</v>
      </c>
      <c r="J299" s="37">
        <f>IFERROR(VLOOKUP($B299,'TB '!$4:$1048576,MATCH('List of Ledgers '!J$4,'TB '!$4:$4,0),0),0)</f>
        <v>0</v>
      </c>
      <c r="K299" s="37">
        <f>IFERROR(VLOOKUP($B299,'TB '!$4:$1048576,MATCH('List of Ledgers '!K$4,'TB '!$4:$4,0),0),0)</f>
        <v>0</v>
      </c>
      <c r="L299" s="37">
        <f>IFERROR(VLOOKUP(B299,'TB '!$A:$J,10,),0)</f>
        <v>0</v>
      </c>
      <c r="M299" s="71"/>
      <c r="N299" s="63">
        <f>IFERROR(VLOOKUP($B299,'TB YTD'!$4:$1048576,MATCH('List of Ledgers '!N$4,'TB YTD'!$4:$4,0),0),0)</f>
        <v>0</v>
      </c>
      <c r="O299" s="63">
        <f>IFERROR(VLOOKUP($B299,'TB YTD'!$4:$1048576,MATCH('List of Ledgers '!O$4,'TB YTD'!$4:$4,0),0),0)</f>
        <v>0</v>
      </c>
      <c r="P299" s="63">
        <f>IFERROR(VLOOKUP($B299,'TB YTD'!$4:$1048576,MATCH('List of Ledgers '!P$4,'TB YTD'!$4:$4,0),0),0)</f>
        <v>0</v>
      </c>
      <c r="Q299" s="63">
        <f>IFERROR(VLOOKUP($B299,'TB YTD'!$4:$1048576,MATCH('List of Ledgers '!Q$4,'TB YTD'!$4:$4,0),0),0)</f>
        <v>0</v>
      </c>
      <c r="R299" s="63"/>
    </row>
    <row r="300" spans="1:18" hidden="1" x14ac:dyDescent="0.25">
      <c r="A300" s="106">
        <v>292</v>
      </c>
      <c r="B300" s="8" t="s">
        <v>498</v>
      </c>
      <c r="C300" s="8" t="s">
        <v>293</v>
      </c>
      <c r="D300" s="17"/>
      <c r="E300" s="17"/>
      <c r="G300" s="17"/>
      <c r="H300" s="62"/>
      <c r="I300" s="37">
        <f>IFERROR(VLOOKUP(B300,'TB '!$A:$G,7,),0)</f>
        <v>-1382189.58</v>
      </c>
      <c r="J300" s="37">
        <f>IFERROR(VLOOKUP($B300,'TB '!$4:$1048576,MATCH('List of Ledgers '!J$4,'TB '!$4:$4,0),0),0)</f>
        <v>0</v>
      </c>
      <c r="K300" s="37">
        <f>IFERROR(VLOOKUP($B300,'TB '!$4:$1048576,MATCH('List of Ledgers '!K$4,'TB '!$4:$4,0),0),0)</f>
        <v>0</v>
      </c>
      <c r="L300" s="37">
        <f>IFERROR(VLOOKUP(B300,'TB '!$A:$J,10,),0)</f>
        <v>-1382189.58</v>
      </c>
      <c r="M300" s="71"/>
      <c r="N300" s="63">
        <f>IFERROR(VLOOKUP($B300,'TB YTD'!$4:$1048576,MATCH('List of Ledgers '!N$4,'TB YTD'!$4:$4,0),0),0)</f>
        <v>-35868.97</v>
      </c>
      <c r="O300" s="63">
        <f>IFERROR(VLOOKUP($B300,'TB YTD'!$4:$1048576,MATCH('List of Ledgers '!O$4,'TB YTD'!$4:$4,0),0),0)</f>
        <v>208010</v>
      </c>
      <c r="P300" s="63">
        <f>IFERROR(VLOOKUP($B300,'TB YTD'!$4:$1048576,MATCH('List of Ledgers '!P$4,'TB YTD'!$4:$4,0),0),0)</f>
        <v>1554330.61</v>
      </c>
      <c r="Q300" s="63">
        <f>IFERROR(VLOOKUP($B300,'TB YTD'!$4:$1048576,MATCH('List of Ledgers '!Q$4,'TB YTD'!$4:$4,0),0),0)</f>
        <v>-1382189.58</v>
      </c>
      <c r="R300" s="63"/>
    </row>
    <row r="301" spans="1:18" hidden="1" x14ac:dyDescent="0.25">
      <c r="A301" s="106">
        <v>293</v>
      </c>
      <c r="B301" s="8" t="s">
        <v>499</v>
      </c>
      <c r="C301" s="8" t="s">
        <v>275</v>
      </c>
      <c r="D301" s="17" t="s">
        <v>151</v>
      </c>
      <c r="E301" s="17" t="s">
        <v>152</v>
      </c>
      <c r="G301" s="17" t="s">
        <v>7</v>
      </c>
      <c r="H301" s="62"/>
      <c r="I301" s="37">
        <f>IFERROR(VLOOKUP(B301,'TB '!$A:$G,7,),0)</f>
        <v>0</v>
      </c>
      <c r="J301" s="37">
        <f>IFERROR(VLOOKUP($B301,'TB '!$4:$1048576,MATCH('List of Ledgers '!J$4,'TB '!$4:$4,0),0),0)</f>
        <v>0</v>
      </c>
      <c r="K301" s="37">
        <f>IFERROR(VLOOKUP($B301,'TB '!$4:$1048576,MATCH('List of Ledgers '!K$4,'TB '!$4:$4,0),0),0)</f>
        <v>0</v>
      </c>
      <c r="L301" s="37">
        <f>IFERROR(VLOOKUP(B301,'TB '!$A:$J,10,),0)</f>
        <v>0</v>
      </c>
      <c r="M301" s="71"/>
      <c r="N301" s="63">
        <f>IFERROR(VLOOKUP($B301,'TB YTD'!$4:$1048576,MATCH('List of Ledgers '!N$4,'TB YTD'!$4:$4,0),0),0)</f>
        <v>0</v>
      </c>
      <c r="O301" s="63">
        <f>IFERROR(VLOOKUP($B301,'TB YTD'!$4:$1048576,MATCH('List of Ledgers '!O$4,'TB YTD'!$4:$4,0),0),0)</f>
        <v>0</v>
      </c>
      <c r="P301" s="63">
        <f>IFERROR(VLOOKUP($B301,'TB YTD'!$4:$1048576,MATCH('List of Ledgers '!P$4,'TB YTD'!$4:$4,0),0),0)</f>
        <v>0</v>
      </c>
      <c r="Q301" s="63">
        <f>IFERROR(VLOOKUP($B301,'TB YTD'!$4:$1048576,MATCH('List of Ledgers '!Q$4,'TB YTD'!$4:$4,0),0),0)</f>
        <v>0</v>
      </c>
      <c r="R301" s="63"/>
    </row>
    <row r="302" spans="1:18" hidden="1" x14ac:dyDescent="0.25">
      <c r="A302" s="106">
        <v>294</v>
      </c>
      <c r="B302" s="8" t="s">
        <v>500</v>
      </c>
      <c r="C302" s="8" t="s">
        <v>374</v>
      </c>
      <c r="D302" s="17"/>
      <c r="E302" s="17"/>
      <c r="G302" s="17"/>
      <c r="H302" s="62"/>
      <c r="I302" s="37">
        <f>IFERROR(VLOOKUP(B302,'TB '!$A:$G,7,),0)</f>
        <v>1649918.95</v>
      </c>
      <c r="J302" s="37">
        <f>IFERROR(VLOOKUP($B302,'TB '!$4:$1048576,MATCH('List of Ledgers '!J$4,'TB '!$4:$4,0),0),0)</f>
        <v>0</v>
      </c>
      <c r="K302" s="37">
        <f>IFERROR(VLOOKUP($B302,'TB '!$4:$1048576,MATCH('List of Ledgers '!K$4,'TB '!$4:$4,0),0),0)</f>
        <v>0</v>
      </c>
      <c r="L302" s="37">
        <f>IFERROR(VLOOKUP(B302,'TB '!$A:$J,10,),0)</f>
        <v>1649918.95</v>
      </c>
      <c r="M302" s="71"/>
      <c r="N302" s="63">
        <f>IFERROR(VLOOKUP($B302,'TB YTD'!$4:$1048576,MATCH('List of Ledgers '!N$4,'TB YTD'!$4:$4,0),0),0)</f>
        <v>0</v>
      </c>
      <c r="O302" s="63">
        <f>IFERROR(VLOOKUP($B302,'TB YTD'!$4:$1048576,MATCH('List of Ledgers '!O$4,'TB YTD'!$4:$4,0),0),0)</f>
        <v>11624395.949999999</v>
      </c>
      <c r="P302" s="63">
        <f>IFERROR(VLOOKUP($B302,'TB YTD'!$4:$1048576,MATCH('List of Ledgers '!P$4,'TB YTD'!$4:$4,0),0),0)</f>
        <v>9974477</v>
      </c>
      <c r="Q302" s="63">
        <f>IFERROR(VLOOKUP($B302,'TB YTD'!$4:$1048576,MATCH('List of Ledgers '!Q$4,'TB YTD'!$4:$4,0),0),0)</f>
        <v>1649918.95</v>
      </c>
      <c r="R302" s="63"/>
    </row>
    <row r="303" spans="1:18" hidden="1" x14ac:dyDescent="0.25">
      <c r="A303" s="106">
        <v>295</v>
      </c>
      <c r="B303" s="8" t="s">
        <v>501</v>
      </c>
      <c r="C303" s="8" t="s">
        <v>502</v>
      </c>
      <c r="D303" s="17"/>
      <c r="E303" s="17"/>
      <c r="G303" s="17"/>
      <c r="H303" s="62"/>
      <c r="I303" s="37">
        <f>IFERROR(VLOOKUP(B303,'TB '!$A:$G,7,),0)</f>
        <v>120000</v>
      </c>
      <c r="J303" s="37">
        <f>IFERROR(VLOOKUP($B303,'TB '!$4:$1048576,MATCH('List of Ledgers '!J$4,'TB '!$4:$4,0),0),0)</f>
        <v>0</v>
      </c>
      <c r="K303" s="37">
        <f>IFERROR(VLOOKUP($B303,'TB '!$4:$1048576,MATCH('List of Ledgers '!K$4,'TB '!$4:$4,0),0),0)</f>
        <v>0</v>
      </c>
      <c r="L303" s="37">
        <f>IFERROR(VLOOKUP(B303,'TB '!$A:$J,10,),0)</f>
        <v>120000</v>
      </c>
      <c r="M303" s="71"/>
      <c r="N303" s="63">
        <f>IFERROR(VLOOKUP($B303,'TB YTD'!$4:$1048576,MATCH('List of Ledgers '!N$4,'TB YTD'!$4:$4,0),0),0)</f>
        <v>120000</v>
      </c>
      <c r="O303" s="63">
        <f>IFERROR(VLOOKUP($B303,'TB YTD'!$4:$1048576,MATCH('List of Ledgers '!O$4,'TB YTD'!$4:$4,0),0),0)</f>
        <v>0</v>
      </c>
      <c r="P303" s="63">
        <f>IFERROR(VLOOKUP($B303,'TB YTD'!$4:$1048576,MATCH('List of Ledgers '!P$4,'TB YTD'!$4:$4,0),0),0)</f>
        <v>0</v>
      </c>
      <c r="Q303" s="63">
        <f>IFERROR(VLOOKUP($B303,'TB YTD'!$4:$1048576,MATCH('List of Ledgers '!Q$4,'TB YTD'!$4:$4,0),0),0)</f>
        <v>120000</v>
      </c>
      <c r="R303" s="63"/>
    </row>
    <row r="304" spans="1:18" hidden="1" x14ac:dyDescent="0.25">
      <c r="A304" s="106">
        <v>296</v>
      </c>
      <c r="B304" s="8" t="s">
        <v>503</v>
      </c>
      <c r="C304" s="8" t="s">
        <v>176</v>
      </c>
      <c r="D304" s="17" t="s">
        <v>128</v>
      </c>
      <c r="E304" s="17" t="s">
        <v>131</v>
      </c>
      <c r="G304" s="17" t="s">
        <v>7</v>
      </c>
      <c r="H304" s="62"/>
      <c r="I304" s="37">
        <f>IFERROR(VLOOKUP(B304,'TB '!$A:$G,7,),0)</f>
        <v>-50009</v>
      </c>
      <c r="J304" s="37">
        <f>IFERROR(VLOOKUP($B304,'TB '!$4:$1048576,MATCH('List of Ledgers '!J$4,'TB '!$4:$4,0),0),0)</f>
        <v>54640</v>
      </c>
      <c r="K304" s="37">
        <f>IFERROR(VLOOKUP($B304,'TB '!$4:$1048576,MATCH('List of Ledgers '!K$4,'TB '!$4:$4,0),0),0)</f>
        <v>54640</v>
      </c>
      <c r="L304" s="37">
        <f>IFERROR(VLOOKUP(B304,'TB '!$A:$J,10,),0)</f>
        <v>-50009</v>
      </c>
      <c r="M304" s="71"/>
      <c r="N304" s="63">
        <f>IFERROR(VLOOKUP($B304,'TB YTD'!$4:$1048576,MATCH('List of Ledgers '!N$4,'TB YTD'!$4:$4,0),0),0)</f>
        <v>-52164</v>
      </c>
      <c r="O304" s="63">
        <f>IFERROR(VLOOKUP($B304,'TB YTD'!$4:$1048576,MATCH('List of Ledgers '!O$4,'TB YTD'!$4:$4,0),0),0)</f>
        <v>632063</v>
      </c>
      <c r="P304" s="63">
        <f>IFERROR(VLOOKUP($B304,'TB YTD'!$4:$1048576,MATCH('List of Ledgers '!P$4,'TB YTD'!$4:$4,0),0),0)</f>
        <v>629908</v>
      </c>
      <c r="Q304" s="63">
        <f>IFERROR(VLOOKUP($B304,'TB YTD'!$4:$1048576,MATCH('List of Ledgers '!Q$4,'TB YTD'!$4:$4,0),0),0)</f>
        <v>-50009</v>
      </c>
      <c r="R304" s="63"/>
    </row>
    <row r="305" spans="1:18" hidden="1" x14ac:dyDescent="0.25">
      <c r="A305" s="106">
        <v>297</v>
      </c>
      <c r="B305" s="8" t="s">
        <v>504</v>
      </c>
      <c r="C305" s="8" t="s">
        <v>124</v>
      </c>
      <c r="D305" s="17"/>
      <c r="E305" s="17"/>
      <c r="G305" s="17"/>
      <c r="H305" s="62"/>
      <c r="I305" s="37">
        <f>IFERROR(VLOOKUP(B305,'TB '!$A:$G,7,),0)</f>
        <v>5241.51</v>
      </c>
      <c r="J305" s="37">
        <f>IFERROR(VLOOKUP($B305,'TB '!$4:$1048576,MATCH('List of Ledgers '!J$4,'TB '!$4:$4,0),0),0)</f>
        <v>0</v>
      </c>
      <c r="K305" s="37">
        <f>IFERROR(VLOOKUP($B305,'TB '!$4:$1048576,MATCH('List of Ledgers '!K$4,'TB '!$4:$4,0),0),0)</f>
        <v>0</v>
      </c>
      <c r="L305" s="37">
        <f>IFERROR(VLOOKUP(B305,'TB '!$A:$J,10,),0)</f>
        <v>5241.51</v>
      </c>
      <c r="M305" s="71"/>
      <c r="N305" s="63">
        <f>IFERROR(VLOOKUP($B305,'TB YTD'!$4:$1048576,MATCH('List of Ledgers '!N$4,'TB YTD'!$4:$4,0),0),0)</f>
        <v>5241.51</v>
      </c>
      <c r="O305" s="63">
        <f>IFERROR(VLOOKUP($B305,'TB YTD'!$4:$1048576,MATCH('List of Ledgers '!O$4,'TB YTD'!$4:$4,0),0),0)</f>
        <v>0</v>
      </c>
      <c r="P305" s="63">
        <f>IFERROR(VLOOKUP($B305,'TB YTD'!$4:$1048576,MATCH('List of Ledgers '!P$4,'TB YTD'!$4:$4,0),0),0)</f>
        <v>0</v>
      </c>
      <c r="Q305" s="63">
        <f>IFERROR(VLOOKUP($B305,'TB YTD'!$4:$1048576,MATCH('List of Ledgers '!Q$4,'TB YTD'!$4:$4,0),0),0)</f>
        <v>5241.51</v>
      </c>
      <c r="R305" s="63"/>
    </row>
    <row r="306" spans="1:18" x14ac:dyDescent="0.25">
      <c r="A306" s="165">
        <f>A305+1</f>
        <v>298</v>
      </c>
      <c r="B306" s="2" t="s">
        <v>1250</v>
      </c>
      <c r="C306" s="2" t="s">
        <v>876</v>
      </c>
      <c r="D306" s="17" t="s">
        <v>151</v>
      </c>
      <c r="E306" s="17" t="s">
        <v>1291</v>
      </c>
      <c r="F306" s="12" t="s">
        <v>71</v>
      </c>
      <c r="G306" s="17" t="s">
        <v>9</v>
      </c>
      <c r="I306" s="37">
        <f>IFERROR(VLOOKUP(B306,'TB '!$A:$G,7,),0)</f>
        <v>0</v>
      </c>
      <c r="J306" s="37">
        <f>IFERROR(VLOOKUP($B306,'TB '!$4:$1048576,MATCH('List of Ledgers '!J$4,'TB '!$4:$4,0),0),0)</f>
        <v>9500</v>
      </c>
      <c r="K306" s="37">
        <f>IFERROR(VLOOKUP($B306,'TB '!$4:$1048576,MATCH('List of Ledgers '!K$4,'TB '!$4:$4,0),0),0)</f>
        <v>0</v>
      </c>
      <c r="L306" s="37">
        <f>IFERROR(VLOOKUP(B306,'TB '!$A:$J,10,),0)</f>
        <v>9500</v>
      </c>
      <c r="M306" s="71"/>
      <c r="N306" s="63">
        <f>IFERROR(VLOOKUP($B306,'TB YTD'!$4:$1048576,MATCH('List of Ledgers '!N$4,'TB YTD'!$4:$4,0),0),0)</f>
        <v>0</v>
      </c>
      <c r="O306" s="63">
        <f>IFERROR(VLOOKUP($B306,'TB YTD'!$4:$1048576,MATCH('List of Ledgers '!O$4,'TB YTD'!$4:$4,0),0),0)</f>
        <v>30700</v>
      </c>
      <c r="P306" s="63">
        <f>IFERROR(VLOOKUP($B306,'TB YTD'!$4:$1048576,MATCH('List of Ledgers '!P$4,'TB YTD'!$4:$4,0),0),0)</f>
        <v>0</v>
      </c>
      <c r="Q306" s="63">
        <f>IFERROR(VLOOKUP($B306,'TB YTD'!$4:$1048576,MATCH('List of Ledgers '!Q$4,'TB YTD'!$4:$4,0),0),0)</f>
        <v>30700</v>
      </c>
      <c r="R306" s="63"/>
    </row>
    <row r="307" spans="1:18" hidden="1" x14ac:dyDescent="0.25">
      <c r="A307" s="106">
        <v>298</v>
      </c>
      <c r="B307" s="8" t="s">
        <v>505</v>
      </c>
      <c r="C307" s="8" t="s">
        <v>124</v>
      </c>
      <c r="D307" s="17"/>
      <c r="E307" s="17"/>
      <c r="H307" s="62"/>
      <c r="I307" s="37">
        <f>IFERROR(VLOOKUP(B307,'TB '!$A:$G,7,),0)</f>
        <v>70583.740000000005</v>
      </c>
      <c r="J307" s="37">
        <f>IFERROR(VLOOKUP($B307,'TB '!$4:$1048576,MATCH('List of Ledgers '!J$4,'TB '!$4:$4,0),0),0)</f>
        <v>0</v>
      </c>
      <c r="K307" s="37">
        <f>IFERROR(VLOOKUP($B307,'TB '!$4:$1048576,MATCH('List of Ledgers '!K$4,'TB '!$4:$4,0),0),0)</f>
        <v>0</v>
      </c>
      <c r="L307" s="37">
        <f>IFERROR(VLOOKUP(B307,'TB '!$A:$J,10,),0)</f>
        <v>70583.740000000005</v>
      </c>
      <c r="M307" s="71"/>
      <c r="N307" s="63">
        <f>IFERROR(VLOOKUP($B307,'TB YTD'!$4:$1048576,MATCH('List of Ledgers '!N$4,'TB YTD'!$4:$4,0),0),0)</f>
        <v>70583.740000000005</v>
      </c>
      <c r="O307" s="63">
        <f>IFERROR(VLOOKUP($B307,'TB YTD'!$4:$1048576,MATCH('List of Ledgers '!O$4,'TB YTD'!$4:$4,0),0),0)</f>
        <v>0</v>
      </c>
      <c r="P307" s="63">
        <f>IFERROR(VLOOKUP($B307,'TB YTD'!$4:$1048576,MATCH('List of Ledgers '!P$4,'TB YTD'!$4:$4,0),0),0)</f>
        <v>0</v>
      </c>
      <c r="Q307" s="63">
        <f>IFERROR(VLOOKUP($B307,'TB YTD'!$4:$1048576,MATCH('List of Ledgers '!Q$4,'TB YTD'!$4:$4,0),0),0)</f>
        <v>70583.740000000005</v>
      </c>
      <c r="R307" s="63"/>
    </row>
    <row r="308" spans="1:18" hidden="1" x14ac:dyDescent="0.25">
      <c r="A308" s="165">
        <f>A307+1</f>
        <v>299</v>
      </c>
      <c r="B308" s="2" t="s">
        <v>1251</v>
      </c>
      <c r="C308" s="2" t="s">
        <v>1032</v>
      </c>
      <c r="D308" s="17" t="s">
        <v>128</v>
      </c>
      <c r="E308" s="17" t="s">
        <v>131</v>
      </c>
      <c r="G308" s="17" t="s">
        <v>9</v>
      </c>
      <c r="I308" s="37">
        <f>IFERROR(VLOOKUP(B308,'TB '!$A:$G,7,),0)</f>
        <v>-17246</v>
      </c>
      <c r="J308" s="37">
        <f>IFERROR(VLOOKUP($B308,'TB '!$4:$1048576,MATCH('List of Ledgers '!J$4,'TB '!$4:$4,0),0),0)</f>
        <v>402716</v>
      </c>
      <c r="K308" s="37">
        <f>IFERROR(VLOOKUP($B308,'TB '!$4:$1048576,MATCH('List of Ledgers '!K$4,'TB '!$4:$4,0),0),0)</f>
        <v>2319667.73</v>
      </c>
      <c r="L308" s="37">
        <f>IFERROR(VLOOKUP(B308,'TB '!$A:$J,10,),0)</f>
        <v>-1934197.73</v>
      </c>
      <c r="M308" s="71"/>
      <c r="N308" s="63">
        <f>IFERROR(VLOOKUP($B308,'TB YTD'!$4:$1048576,MATCH('List of Ledgers '!N$4,'TB YTD'!$4:$4,0),0),0)</f>
        <v>0</v>
      </c>
      <c r="O308" s="63">
        <f>IFERROR(VLOOKUP($B308,'TB YTD'!$4:$1048576,MATCH('List of Ledgers '!O$4,'TB YTD'!$4:$4,0),0),0)</f>
        <v>1513808</v>
      </c>
      <c r="P308" s="63">
        <f>IFERROR(VLOOKUP($B308,'TB YTD'!$4:$1048576,MATCH('List of Ledgers '!P$4,'TB YTD'!$4:$4,0),0),0)</f>
        <v>3448005.73</v>
      </c>
      <c r="Q308" s="63">
        <f>IFERROR(VLOOKUP($B308,'TB YTD'!$4:$1048576,MATCH('List of Ledgers '!Q$4,'TB YTD'!$4:$4,0),0),0)</f>
        <v>-1934197.73</v>
      </c>
      <c r="R308" s="63"/>
    </row>
    <row r="309" spans="1:18" hidden="1" x14ac:dyDescent="0.25">
      <c r="A309" s="106">
        <v>299</v>
      </c>
      <c r="B309" s="8" t="s">
        <v>506</v>
      </c>
      <c r="C309" s="8" t="s">
        <v>124</v>
      </c>
      <c r="D309" s="17"/>
      <c r="E309" s="17"/>
      <c r="H309" s="62"/>
      <c r="I309" s="37">
        <f>IFERROR(VLOOKUP(B309,'TB '!$A:$G,7,),0)</f>
        <v>11265.99</v>
      </c>
      <c r="J309" s="37">
        <f>IFERROR(VLOOKUP($B309,'TB '!$4:$1048576,MATCH('List of Ledgers '!J$4,'TB '!$4:$4,0),0),0)</f>
        <v>0</v>
      </c>
      <c r="K309" s="37">
        <f>IFERROR(VLOOKUP($B309,'TB '!$4:$1048576,MATCH('List of Ledgers '!K$4,'TB '!$4:$4,0),0),0)</f>
        <v>0</v>
      </c>
      <c r="L309" s="37">
        <f>IFERROR(VLOOKUP(B309,'TB '!$A:$J,10,),0)</f>
        <v>11265.99</v>
      </c>
      <c r="M309" s="71"/>
      <c r="N309" s="63">
        <f>IFERROR(VLOOKUP($B309,'TB YTD'!$4:$1048576,MATCH('List of Ledgers '!N$4,'TB YTD'!$4:$4,0),0),0)</f>
        <v>11265.99</v>
      </c>
      <c r="O309" s="63">
        <f>IFERROR(VLOOKUP($B309,'TB YTD'!$4:$1048576,MATCH('List of Ledgers '!O$4,'TB YTD'!$4:$4,0),0),0)</f>
        <v>0</v>
      </c>
      <c r="P309" s="63">
        <f>IFERROR(VLOOKUP($B309,'TB YTD'!$4:$1048576,MATCH('List of Ledgers '!P$4,'TB YTD'!$4:$4,0),0),0)</f>
        <v>0</v>
      </c>
      <c r="Q309" s="63">
        <f>IFERROR(VLOOKUP($B309,'TB YTD'!$4:$1048576,MATCH('List of Ledgers '!Q$4,'TB YTD'!$4:$4,0),0),0)</f>
        <v>11265.99</v>
      </c>
      <c r="R309" s="63"/>
    </row>
    <row r="310" spans="1:18" hidden="1" x14ac:dyDescent="0.25">
      <c r="A310" s="165">
        <f>A309+1</f>
        <v>300</v>
      </c>
      <c r="B310" s="2" t="s">
        <v>1274</v>
      </c>
      <c r="C310" s="2" t="s">
        <v>1277</v>
      </c>
      <c r="D310" s="17" t="s">
        <v>151</v>
      </c>
      <c r="E310" s="17" t="s">
        <v>362</v>
      </c>
      <c r="F310" s="12" t="s">
        <v>93</v>
      </c>
      <c r="G310" s="17" t="s">
        <v>9</v>
      </c>
      <c r="I310" s="37">
        <f>IFERROR(VLOOKUP(B310,'TB '!$A:$G,7,),0)</f>
        <v>0</v>
      </c>
      <c r="J310" s="37">
        <f>IFERROR(VLOOKUP($B310,'TB '!$4:$1048576,MATCH('List of Ledgers '!J$4,'TB '!$4:$4,0),0),0)</f>
        <v>0</v>
      </c>
      <c r="K310" s="37">
        <f>IFERROR(VLOOKUP($B310,'TB '!$4:$1048576,MATCH('List of Ledgers '!K$4,'TB '!$4:$4,0),0),0)</f>
        <v>0</v>
      </c>
      <c r="L310" s="37">
        <f>IFERROR(VLOOKUP(B310,'TB '!$A:$J,10,),0)</f>
        <v>0</v>
      </c>
      <c r="M310" s="71"/>
      <c r="N310" s="63">
        <f>IFERROR(VLOOKUP($B310,'TB YTD'!$4:$1048576,MATCH('List of Ledgers '!N$4,'TB YTD'!$4:$4,0),0),0)</f>
        <v>0</v>
      </c>
      <c r="O310" s="63">
        <f>IFERROR(VLOOKUP($B310,'TB YTD'!$4:$1048576,MATCH('List of Ledgers '!O$4,'TB YTD'!$4:$4,0),0),0)</f>
        <v>0</v>
      </c>
      <c r="P310" s="63">
        <f>IFERROR(VLOOKUP($B310,'TB YTD'!$4:$1048576,MATCH('List of Ledgers '!P$4,'TB YTD'!$4:$4,0),0),0)</f>
        <v>0</v>
      </c>
      <c r="Q310" s="63">
        <f>IFERROR(VLOOKUP($B310,'TB YTD'!$4:$1048576,MATCH('List of Ledgers '!Q$4,'TB YTD'!$4:$4,0),0),0)</f>
        <v>0</v>
      </c>
      <c r="R310" s="63"/>
    </row>
    <row r="311" spans="1:18" hidden="1" x14ac:dyDescent="0.25">
      <c r="A311" s="106">
        <v>300</v>
      </c>
      <c r="B311" s="151" t="s">
        <v>507</v>
      </c>
      <c r="C311" s="151" t="s">
        <v>140</v>
      </c>
      <c r="D311" s="12" t="s">
        <v>128</v>
      </c>
      <c r="E311" s="12" t="s">
        <v>131</v>
      </c>
      <c r="G311" s="17" t="s">
        <v>7</v>
      </c>
      <c r="I311" s="37">
        <f>IFERROR(VLOOKUP(B311,'TB '!$A:$G,7,),0)</f>
        <v>199900</v>
      </c>
      <c r="J311" s="37">
        <f>IFERROR(VLOOKUP($B311,'TB '!$4:$1048576,MATCH('List of Ledgers '!J$4,'TB '!$4:$4,0),0),0)</f>
        <v>0</v>
      </c>
      <c r="K311" s="37">
        <f>IFERROR(VLOOKUP($B311,'TB '!$4:$1048576,MATCH('List of Ledgers '!K$4,'TB '!$4:$4,0),0),0)</f>
        <v>100000</v>
      </c>
      <c r="L311" s="37">
        <f>IFERROR(VLOOKUP(B311,'TB '!$A:$J,10,),0)</f>
        <v>99900</v>
      </c>
      <c r="M311" s="71"/>
      <c r="N311" s="63">
        <f>IFERROR(VLOOKUP($B311,'TB YTD'!$4:$1048576,MATCH('List of Ledgers '!N$4,'TB YTD'!$4:$4,0),0),0)</f>
        <v>0</v>
      </c>
      <c r="O311" s="63">
        <f>IFERROR(VLOOKUP($B311,'TB YTD'!$4:$1048576,MATCH('List of Ledgers '!O$4,'TB YTD'!$4:$4,0),0),0)</f>
        <v>300000</v>
      </c>
      <c r="P311" s="63">
        <f>IFERROR(VLOOKUP($B311,'TB YTD'!$4:$1048576,MATCH('List of Ledgers '!P$4,'TB YTD'!$4:$4,0),0),0)</f>
        <v>200100</v>
      </c>
      <c r="Q311" s="63">
        <f>IFERROR(VLOOKUP($B311,'TB YTD'!$4:$1048576,MATCH('List of Ledgers '!Q$4,'TB YTD'!$4:$4,0),0),0)</f>
        <v>99900</v>
      </c>
    </row>
    <row r="312" spans="1:18" hidden="1" x14ac:dyDescent="0.25">
      <c r="A312" s="165">
        <f>A311+1</f>
        <v>301</v>
      </c>
      <c r="B312" s="2" t="s">
        <v>1219</v>
      </c>
      <c r="C312" s="2" t="s">
        <v>395</v>
      </c>
      <c r="D312" s="17"/>
      <c r="E312" s="17"/>
      <c r="I312" s="37">
        <f>IFERROR(VLOOKUP(B312,'TB '!$A:$G,7,),0)</f>
        <v>1375</v>
      </c>
      <c r="J312" s="37">
        <f>IFERROR(VLOOKUP($B312,'TB '!$4:$1048576,MATCH('List of Ledgers '!J$4,'TB '!$4:$4,0),0),0)</f>
        <v>0</v>
      </c>
      <c r="K312" s="37">
        <f>IFERROR(VLOOKUP($B312,'TB '!$4:$1048576,MATCH('List of Ledgers '!K$4,'TB '!$4:$4,0),0),0)</f>
        <v>0</v>
      </c>
      <c r="L312" s="37">
        <f>IFERROR(VLOOKUP(B312,'TB '!$A:$J,10,),0)</f>
        <v>1375</v>
      </c>
      <c r="M312" s="71"/>
      <c r="N312" s="63">
        <f>IFERROR(VLOOKUP($B312,'TB YTD'!$4:$1048576,MATCH('List of Ledgers '!N$4,'TB YTD'!$4:$4,0),0),0)</f>
        <v>0</v>
      </c>
      <c r="O312" s="63">
        <f>IFERROR(VLOOKUP($B312,'TB YTD'!$4:$1048576,MATCH('List of Ledgers '!O$4,'TB YTD'!$4:$4,0),0),0)</f>
        <v>1375</v>
      </c>
      <c r="P312" s="63">
        <f>IFERROR(VLOOKUP($B312,'TB YTD'!$4:$1048576,MATCH('List of Ledgers '!P$4,'TB YTD'!$4:$4,0),0),0)</f>
        <v>0</v>
      </c>
      <c r="Q312" s="63">
        <f>IFERROR(VLOOKUP($B312,'TB YTD'!$4:$1048576,MATCH('List of Ledgers '!Q$4,'TB YTD'!$4:$4,0),0),0)</f>
        <v>1375</v>
      </c>
      <c r="R312" s="63"/>
    </row>
    <row r="313" spans="1:18" hidden="1" x14ac:dyDescent="0.25">
      <c r="A313" s="106">
        <v>301</v>
      </c>
      <c r="B313" s="8" t="s">
        <v>508</v>
      </c>
      <c r="C313" s="8" t="s">
        <v>189</v>
      </c>
      <c r="D313" s="17" t="s">
        <v>128</v>
      </c>
      <c r="E313" s="17" t="s">
        <v>131</v>
      </c>
      <c r="G313" s="17"/>
      <c r="H313" s="62"/>
      <c r="I313" s="37">
        <f>IFERROR(VLOOKUP(B313,'TB '!$A:$G,7,),0)</f>
        <v>0</v>
      </c>
      <c r="J313" s="37">
        <f>IFERROR(VLOOKUP($B313,'TB '!$4:$1048576,MATCH('List of Ledgers '!J$4,'TB '!$4:$4,0),0),0)</f>
        <v>13176</v>
      </c>
      <c r="K313" s="37">
        <f>IFERROR(VLOOKUP($B313,'TB '!$4:$1048576,MATCH('List of Ledgers '!K$4,'TB '!$4:$4,0),0),0)</f>
        <v>0</v>
      </c>
      <c r="L313" s="37">
        <f>IFERROR(VLOOKUP(B313,'TB '!$A:$J,10,),0)</f>
        <v>13176</v>
      </c>
      <c r="M313" s="71"/>
      <c r="N313" s="63">
        <f>IFERROR(VLOOKUP($B313,'TB YTD'!$4:$1048576,MATCH('List of Ledgers '!N$4,'TB YTD'!$4:$4,0),0),0)</f>
        <v>0</v>
      </c>
      <c r="O313" s="63">
        <f>IFERROR(VLOOKUP($B313,'TB YTD'!$4:$1048576,MATCH('List of Ledgers '!O$4,'TB YTD'!$4:$4,0),0),0)</f>
        <v>144073</v>
      </c>
      <c r="P313" s="63">
        <f>IFERROR(VLOOKUP($B313,'TB YTD'!$4:$1048576,MATCH('List of Ledgers '!P$4,'TB YTD'!$4:$4,0),0),0)</f>
        <v>130897</v>
      </c>
      <c r="Q313" s="63">
        <f>IFERROR(VLOOKUP($B313,'TB YTD'!$4:$1048576,MATCH('List of Ledgers '!Q$4,'TB YTD'!$4:$4,0),0),0)</f>
        <v>13176</v>
      </c>
      <c r="R313" s="63"/>
    </row>
    <row r="314" spans="1:18" hidden="1" x14ac:dyDescent="0.25">
      <c r="A314" s="106">
        <v>302</v>
      </c>
      <c r="B314" s="8" t="s">
        <v>509</v>
      </c>
      <c r="C314" s="8" t="s">
        <v>510</v>
      </c>
      <c r="D314" s="17"/>
      <c r="E314" s="17"/>
      <c r="G314" s="17" t="s">
        <v>4</v>
      </c>
      <c r="H314" s="62"/>
      <c r="I314" s="37">
        <f>IFERROR(VLOOKUP(B314,'TB '!$A:$G,7,),0)</f>
        <v>0</v>
      </c>
      <c r="J314" s="37">
        <f>IFERROR(VLOOKUP($B314,'TB '!$4:$1048576,MATCH('List of Ledgers '!J$4,'TB '!$4:$4,0),0),0)</f>
        <v>0</v>
      </c>
      <c r="K314" s="37">
        <f>IFERROR(VLOOKUP($B314,'TB '!$4:$1048576,MATCH('List of Ledgers '!K$4,'TB '!$4:$4,0),0),0)</f>
        <v>0</v>
      </c>
      <c r="L314" s="37">
        <f>IFERROR(VLOOKUP(B314,'TB '!$A:$J,10,),0)</f>
        <v>0</v>
      </c>
      <c r="M314" s="71"/>
      <c r="N314" s="63">
        <f>IFERROR(VLOOKUP($B314,'TB YTD'!$4:$1048576,MATCH('List of Ledgers '!N$4,'TB YTD'!$4:$4,0),0),0)</f>
        <v>13200</v>
      </c>
      <c r="O314" s="63">
        <f>IFERROR(VLOOKUP($B314,'TB YTD'!$4:$1048576,MATCH('List of Ledgers '!O$4,'TB YTD'!$4:$4,0),0),0)</f>
        <v>0</v>
      </c>
      <c r="P314" s="63">
        <f>IFERROR(VLOOKUP($B314,'TB YTD'!$4:$1048576,MATCH('List of Ledgers '!P$4,'TB YTD'!$4:$4,0),0),0)</f>
        <v>13200</v>
      </c>
      <c r="Q314" s="63">
        <f>IFERROR(VLOOKUP($B314,'TB YTD'!$4:$1048576,MATCH('List of Ledgers '!Q$4,'TB YTD'!$4:$4,0),0),0)</f>
        <v>0</v>
      </c>
      <c r="R314" s="63"/>
    </row>
    <row r="315" spans="1:18" hidden="1" x14ac:dyDescent="0.25">
      <c r="A315" s="106">
        <v>303</v>
      </c>
      <c r="B315" s="8" t="s">
        <v>511</v>
      </c>
      <c r="C315" s="8" t="s">
        <v>140</v>
      </c>
      <c r="D315" s="17" t="s">
        <v>128</v>
      </c>
      <c r="E315" s="17" t="s">
        <v>131</v>
      </c>
      <c r="G315" s="17" t="s">
        <v>7</v>
      </c>
      <c r="H315" s="62"/>
      <c r="I315" s="37">
        <f>IFERROR(VLOOKUP(B315,'TB '!$A:$G,7,),0)</f>
        <v>7796</v>
      </c>
      <c r="J315" s="37">
        <f>IFERROR(VLOOKUP($B315,'TB '!$4:$1048576,MATCH('List of Ledgers '!J$4,'TB '!$4:$4,0),0),0)</f>
        <v>0</v>
      </c>
      <c r="K315" s="37">
        <f>IFERROR(VLOOKUP($B315,'TB '!$4:$1048576,MATCH('List of Ledgers '!K$4,'TB '!$4:$4,0),0),0)</f>
        <v>0</v>
      </c>
      <c r="L315" s="37">
        <f>IFERROR(VLOOKUP(B315,'TB '!$A:$J,10,),0)</f>
        <v>7796</v>
      </c>
      <c r="M315" s="71"/>
      <c r="N315" s="63">
        <f>IFERROR(VLOOKUP($B315,'TB YTD'!$4:$1048576,MATCH('List of Ledgers '!N$4,'TB YTD'!$4:$4,0),0),0)</f>
        <v>0</v>
      </c>
      <c r="O315" s="63">
        <f>IFERROR(VLOOKUP($B315,'TB YTD'!$4:$1048576,MATCH('List of Ledgers '!O$4,'TB YTD'!$4:$4,0),0),0)</f>
        <v>7796</v>
      </c>
      <c r="P315" s="63">
        <f>IFERROR(VLOOKUP($B315,'TB YTD'!$4:$1048576,MATCH('List of Ledgers '!P$4,'TB YTD'!$4:$4,0),0),0)</f>
        <v>0</v>
      </c>
      <c r="Q315" s="63">
        <f>IFERROR(VLOOKUP($B315,'TB YTD'!$4:$1048576,MATCH('List of Ledgers '!Q$4,'TB YTD'!$4:$4,0),0),0)</f>
        <v>7796</v>
      </c>
      <c r="R315" s="63"/>
    </row>
    <row r="316" spans="1:18" hidden="1" x14ac:dyDescent="0.25">
      <c r="A316" s="106">
        <v>304</v>
      </c>
      <c r="B316" s="8" t="s">
        <v>512</v>
      </c>
      <c r="C316" s="8" t="s">
        <v>189</v>
      </c>
      <c r="D316" s="17" t="s">
        <v>128</v>
      </c>
      <c r="E316" s="17" t="s">
        <v>131</v>
      </c>
      <c r="G316" s="17" t="s">
        <v>7</v>
      </c>
      <c r="H316" s="62"/>
      <c r="I316" s="37">
        <f>IFERROR(VLOOKUP(B316,'TB '!$A:$G,7,),0)</f>
        <v>93</v>
      </c>
      <c r="J316" s="37">
        <f>IFERROR(VLOOKUP($B316,'TB '!$4:$1048576,MATCH('List of Ledgers '!J$4,'TB '!$4:$4,0),0),0)</f>
        <v>29207</v>
      </c>
      <c r="K316" s="37">
        <f>IFERROR(VLOOKUP($B316,'TB '!$4:$1048576,MATCH('List of Ledgers '!K$4,'TB '!$4:$4,0),0),0)</f>
        <v>29300</v>
      </c>
      <c r="L316" s="37">
        <f>IFERROR(VLOOKUP(B316,'TB '!$A:$J,10,),0)</f>
        <v>0</v>
      </c>
      <c r="M316" s="71"/>
      <c r="N316" s="63">
        <f>IFERROR(VLOOKUP($B316,'TB YTD'!$4:$1048576,MATCH('List of Ledgers '!N$4,'TB YTD'!$4:$4,0),0),0)</f>
        <v>16750</v>
      </c>
      <c r="O316" s="63">
        <f>IFERROR(VLOOKUP($B316,'TB YTD'!$4:$1048576,MATCH('List of Ledgers '!O$4,'TB YTD'!$4:$4,0),0),0)</f>
        <v>248193</v>
      </c>
      <c r="P316" s="63">
        <f>IFERROR(VLOOKUP($B316,'TB YTD'!$4:$1048576,MATCH('List of Ledgers '!P$4,'TB YTD'!$4:$4,0),0),0)</f>
        <v>264943</v>
      </c>
      <c r="Q316" s="63">
        <f>IFERROR(VLOOKUP($B316,'TB YTD'!$4:$1048576,MATCH('List of Ledgers '!Q$4,'TB YTD'!$4:$4,0),0),0)</f>
        <v>0</v>
      </c>
      <c r="R316" s="63"/>
    </row>
    <row r="317" spans="1:18" hidden="1" x14ac:dyDescent="0.25">
      <c r="A317" s="106">
        <v>305</v>
      </c>
      <c r="B317" s="8" t="s">
        <v>513</v>
      </c>
      <c r="C317" s="8" t="s">
        <v>189</v>
      </c>
      <c r="D317" s="17" t="s">
        <v>128</v>
      </c>
      <c r="E317" s="17" t="s">
        <v>131</v>
      </c>
      <c r="G317" s="17" t="s">
        <v>7</v>
      </c>
      <c r="H317" s="62"/>
      <c r="I317" s="37">
        <f>IFERROR(VLOOKUP(B317,'TB '!$A:$G,7,),0)</f>
        <v>0</v>
      </c>
      <c r="J317" s="37">
        <f>IFERROR(VLOOKUP($B317,'TB '!$4:$1048576,MATCH('List of Ledgers '!J$4,'TB '!$4:$4,0),0),0)</f>
        <v>0</v>
      </c>
      <c r="K317" s="37">
        <f>IFERROR(VLOOKUP($B317,'TB '!$4:$1048576,MATCH('List of Ledgers '!K$4,'TB '!$4:$4,0),0),0)</f>
        <v>0</v>
      </c>
      <c r="L317" s="37">
        <f>IFERROR(VLOOKUP(B317,'TB '!$A:$J,10,),0)</f>
        <v>0</v>
      </c>
      <c r="M317" s="71"/>
      <c r="N317" s="63">
        <f>IFERROR(VLOOKUP($B317,'TB YTD'!$4:$1048576,MATCH('List of Ledgers '!N$4,'TB YTD'!$4:$4,0),0),0)</f>
        <v>0</v>
      </c>
      <c r="O317" s="63">
        <f>IFERROR(VLOOKUP($B317,'TB YTD'!$4:$1048576,MATCH('List of Ledgers '!O$4,'TB YTD'!$4:$4,0),0),0)</f>
        <v>0</v>
      </c>
      <c r="P317" s="63">
        <f>IFERROR(VLOOKUP($B317,'TB YTD'!$4:$1048576,MATCH('List of Ledgers '!P$4,'TB YTD'!$4:$4,0),0),0)</f>
        <v>0</v>
      </c>
      <c r="Q317" s="63">
        <f>IFERROR(VLOOKUP($B317,'TB YTD'!$4:$1048576,MATCH('List of Ledgers '!Q$4,'TB YTD'!$4:$4,0),0),0)</f>
        <v>0</v>
      </c>
      <c r="R317" s="63"/>
    </row>
    <row r="318" spans="1:18" hidden="1" x14ac:dyDescent="0.25">
      <c r="A318" s="106">
        <v>306</v>
      </c>
      <c r="B318" s="8" t="s">
        <v>514</v>
      </c>
      <c r="C318" s="8" t="s">
        <v>189</v>
      </c>
      <c r="D318" s="17" t="s">
        <v>128</v>
      </c>
      <c r="E318" s="17" t="s">
        <v>131</v>
      </c>
      <c r="G318" s="17" t="s">
        <v>7</v>
      </c>
      <c r="H318" s="62"/>
      <c r="I318" s="37">
        <f>IFERROR(VLOOKUP(B318,'TB '!$A:$G,7,),0)</f>
        <v>0</v>
      </c>
      <c r="J318" s="37">
        <f>IFERROR(VLOOKUP($B318,'TB '!$4:$1048576,MATCH('List of Ledgers '!J$4,'TB '!$4:$4,0),0),0)</f>
        <v>0</v>
      </c>
      <c r="K318" s="37">
        <f>IFERROR(VLOOKUP($B318,'TB '!$4:$1048576,MATCH('List of Ledgers '!K$4,'TB '!$4:$4,0),0),0)</f>
        <v>0</v>
      </c>
      <c r="L318" s="37">
        <f>IFERROR(VLOOKUP(B318,'TB '!$A:$J,10,),0)</f>
        <v>0</v>
      </c>
      <c r="M318" s="71"/>
      <c r="N318" s="63">
        <f>IFERROR(VLOOKUP($B318,'TB YTD'!$4:$1048576,MATCH('List of Ledgers '!N$4,'TB YTD'!$4:$4,0),0),0)</f>
        <v>18</v>
      </c>
      <c r="O318" s="63">
        <f>IFERROR(VLOOKUP($B318,'TB YTD'!$4:$1048576,MATCH('List of Ledgers '!O$4,'TB YTD'!$4:$4,0),0),0)</f>
        <v>0</v>
      </c>
      <c r="P318" s="63">
        <f>IFERROR(VLOOKUP($B318,'TB YTD'!$4:$1048576,MATCH('List of Ledgers '!P$4,'TB YTD'!$4:$4,0),0),0)</f>
        <v>18</v>
      </c>
      <c r="Q318" s="63">
        <f>IFERROR(VLOOKUP($B318,'TB YTD'!$4:$1048576,MATCH('List of Ledgers '!Q$4,'TB YTD'!$4:$4,0),0),0)</f>
        <v>0</v>
      </c>
      <c r="R318" s="63"/>
    </row>
    <row r="319" spans="1:18" hidden="1" x14ac:dyDescent="0.25">
      <c r="A319" s="106">
        <v>307</v>
      </c>
      <c r="B319" s="8" t="s">
        <v>515</v>
      </c>
      <c r="C319" s="8" t="s">
        <v>140</v>
      </c>
      <c r="D319" s="17" t="s">
        <v>128</v>
      </c>
      <c r="E319" s="17" t="s">
        <v>131</v>
      </c>
      <c r="G319" s="17" t="s">
        <v>7</v>
      </c>
      <c r="H319" s="62"/>
      <c r="I319" s="37">
        <f>IFERROR(VLOOKUP(B319,'TB '!$A:$G,7,),0)</f>
        <v>0</v>
      </c>
      <c r="J319" s="37">
        <f>IFERROR(VLOOKUP($B319,'TB '!$4:$1048576,MATCH('List of Ledgers '!J$4,'TB '!$4:$4,0),0),0)</f>
        <v>0</v>
      </c>
      <c r="K319" s="37">
        <f>IFERROR(VLOOKUP($B319,'TB '!$4:$1048576,MATCH('List of Ledgers '!K$4,'TB '!$4:$4,0),0),0)</f>
        <v>0</v>
      </c>
      <c r="L319" s="37">
        <f>IFERROR(VLOOKUP(B319,'TB '!$A:$J,10,),0)</f>
        <v>0</v>
      </c>
      <c r="M319" s="71"/>
      <c r="N319" s="63">
        <f>IFERROR(VLOOKUP($B319,'TB YTD'!$4:$1048576,MATCH('List of Ledgers '!N$4,'TB YTD'!$4:$4,0),0),0)</f>
        <v>0</v>
      </c>
      <c r="O319" s="63">
        <f>IFERROR(VLOOKUP($B319,'TB YTD'!$4:$1048576,MATCH('List of Ledgers '!O$4,'TB YTD'!$4:$4,0),0),0)</f>
        <v>0</v>
      </c>
      <c r="P319" s="63">
        <f>IFERROR(VLOOKUP($B319,'TB YTD'!$4:$1048576,MATCH('List of Ledgers '!P$4,'TB YTD'!$4:$4,0),0),0)</f>
        <v>0</v>
      </c>
      <c r="Q319" s="63">
        <f>IFERROR(VLOOKUP($B319,'TB YTD'!$4:$1048576,MATCH('List of Ledgers '!Q$4,'TB YTD'!$4:$4,0),0),0)</f>
        <v>0</v>
      </c>
      <c r="R319" s="63"/>
    </row>
    <row r="320" spans="1:18" hidden="1" x14ac:dyDescent="0.25">
      <c r="A320" s="106">
        <v>308</v>
      </c>
      <c r="B320" s="8" t="s">
        <v>516</v>
      </c>
      <c r="C320" s="8" t="s">
        <v>140</v>
      </c>
      <c r="D320" s="17" t="s">
        <v>128</v>
      </c>
      <c r="E320" s="17" t="s">
        <v>131</v>
      </c>
      <c r="G320" s="17" t="s">
        <v>7</v>
      </c>
      <c r="H320" s="62"/>
      <c r="I320" s="37">
        <f>IFERROR(VLOOKUP(B320,'TB '!$A:$G,7,),0)</f>
        <v>0</v>
      </c>
      <c r="J320" s="37">
        <f>IFERROR(VLOOKUP($B320,'TB '!$4:$1048576,MATCH('List of Ledgers '!J$4,'TB '!$4:$4,0),0),0)</f>
        <v>0</v>
      </c>
      <c r="K320" s="37">
        <f>IFERROR(VLOOKUP($B320,'TB '!$4:$1048576,MATCH('List of Ledgers '!K$4,'TB '!$4:$4,0),0),0)</f>
        <v>0</v>
      </c>
      <c r="L320" s="37">
        <f>IFERROR(VLOOKUP(B320,'TB '!$A:$J,10,),0)</f>
        <v>0</v>
      </c>
      <c r="M320" s="71"/>
      <c r="N320" s="63">
        <f>IFERROR(VLOOKUP($B320,'TB YTD'!$4:$1048576,MATCH('List of Ledgers '!N$4,'TB YTD'!$4:$4,0),0),0)</f>
        <v>0</v>
      </c>
      <c r="O320" s="63">
        <f>IFERROR(VLOOKUP($B320,'TB YTD'!$4:$1048576,MATCH('List of Ledgers '!O$4,'TB YTD'!$4:$4,0),0),0)</f>
        <v>147415</v>
      </c>
      <c r="P320" s="63">
        <f>IFERROR(VLOOKUP($B320,'TB YTD'!$4:$1048576,MATCH('List of Ledgers '!P$4,'TB YTD'!$4:$4,0),0),0)</f>
        <v>147415</v>
      </c>
      <c r="Q320" s="63">
        <f>IFERROR(VLOOKUP($B320,'TB YTD'!$4:$1048576,MATCH('List of Ledgers '!Q$4,'TB YTD'!$4:$4,0),0),0)</f>
        <v>0</v>
      </c>
      <c r="R320" s="63"/>
    </row>
    <row r="321" spans="1:18" hidden="1" x14ac:dyDescent="0.25">
      <c r="A321" s="106">
        <v>309</v>
      </c>
      <c r="B321" s="8" t="s">
        <v>517</v>
      </c>
      <c r="C321" s="8" t="s">
        <v>130</v>
      </c>
      <c r="D321" s="17" t="s">
        <v>128</v>
      </c>
      <c r="E321" s="17" t="s">
        <v>131</v>
      </c>
      <c r="G321" s="17" t="s">
        <v>7</v>
      </c>
      <c r="H321" s="62"/>
      <c r="I321" s="37">
        <f>IFERROR(VLOOKUP(B321,'TB '!$A:$G,7,),0)</f>
        <v>0</v>
      </c>
      <c r="J321" s="37">
        <f>IFERROR(VLOOKUP($B321,'TB '!$4:$1048576,MATCH('List of Ledgers '!J$4,'TB '!$4:$4,0),0),0)</f>
        <v>0</v>
      </c>
      <c r="K321" s="37">
        <f>IFERROR(VLOOKUP($B321,'TB '!$4:$1048576,MATCH('List of Ledgers '!K$4,'TB '!$4:$4,0),0),0)</f>
        <v>0</v>
      </c>
      <c r="L321" s="37">
        <f>IFERROR(VLOOKUP(B321,'TB '!$A:$J,10,),0)</f>
        <v>0</v>
      </c>
      <c r="M321" s="71"/>
      <c r="N321" s="63">
        <f>IFERROR(VLOOKUP($B321,'TB YTD'!$4:$1048576,MATCH('List of Ledgers '!N$4,'TB YTD'!$4:$4,0),0),0)</f>
        <v>0</v>
      </c>
      <c r="O321" s="63">
        <f>IFERROR(VLOOKUP($B321,'TB YTD'!$4:$1048576,MATCH('List of Ledgers '!O$4,'TB YTD'!$4:$4,0),0),0)</f>
        <v>0</v>
      </c>
      <c r="P321" s="63">
        <f>IFERROR(VLOOKUP($B321,'TB YTD'!$4:$1048576,MATCH('List of Ledgers '!P$4,'TB YTD'!$4:$4,0),0),0)</f>
        <v>0</v>
      </c>
      <c r="Q321" s="63">
        <f>IFERROR(VLOOKUP($B321,'TB YTD'!$4:$1048576,MATCH('List of Ledgers '!Q$4,'TB YTD'!$4:$4,0),0),0)</f>
        <v>0</v>
      </c>
      <c r="R321" s="63"/>
    </row>
    <row r="322" spans="1:18" hidden="1" x14ac:dyDescent="0.25">
      <c r="A322" s="106">
        <v>310</v>
      </c>
      <c r="B322" s="8" t="s">
        <v>518</v>
      </c>
      <c r="C322" s="8" t="s">
        <v>140</v>
      </c>
      <c r="D322" s="17" t="s">
        <v>128</v>
      </c>
      <c r="E322" s="17" t="s">
        <v>131</v>
      </c>
      <c r="G322" s="17" t="s">
        <v>7</v>
      </c>
      <c r="H322" s="62"/>
      <c r="I322" s="37">
        <f>IFERROR(VLOOKUP(B322,'TB '!$A:$G,7,),0)</f>
        <v>0</v>
      </c>
      <c r="J322" s="37">
        <f>IFERROR(VLOOKUP($B322,'TB '!$4:$1048576,MATCH('List of Ledgers '!J$4,'TB '!$4:$4,0),0),0)</f>
        <v>0</v>
      </c>
      <c r="K322" s="37">
        <f>IFERROR(VLOOKUP($B322,'TB '!$4:$1048576,MATCH('List of Ledgers '!K$4,'TB '!$4:$4,0),0),0)</f>
        <v>0</v>
      </c>
      <c r="L322" s="37">
        <f>IFERROR(VLOOKUP(B322,'TB '!$A:$J,10,),0)</f>
        <v>0</v>
      </c>
      <c r="M322" s="71"/>
      <c r="N322" s="63">
        <f>IFERROR(VLOOKUP($B322,'TB YTD'!$4:$1048576,MATCH('List of Ledgers '!N$4,'TB YTD'!$4:$4,0),0),0)</f>
        <v>0</v>
      </c>
      <c r="O322" s="63">
        <f>IFERROR(VLOOKUP($B322,'TB YTD'!$4:$1048576,MATCH('List of Ledgers '!O$4,'TB YTD'!$4:$4,0),0),0)</f>
        <v>4594</v>
      </c>
      <c r="P322" s="63">
        <f>IFERROR(VLOOKUP($B322,'TB YTD'!$4:$1048576,MATCH('List of Ledgers '!P$4,'TB YTD'!$4:$4,0),0),0)</f>
        <v>4594</v>
      </c>
      <c r="Q322" s="63">
        <f>IFERROR(VLOOKUP($B322,'TB YTD'!$4:$1048576,MATCH('List of Ledgers '!Q$4,'TB YTD'!$4:$4,0),0),0)</f>
        <v>0</v>
      </c>
      <c r="R322" s="63"/>
    </row>
    <row r="323" spans="1:18" hidden="1" x14ac:dyDescent="0.25">
      <c r="A323" s="106">
        <v>311</v>
      </c>
      <c r="B323" s="8" t="s">
        <v>519</v>
      </c>
      <c r="C323" s="8" t="s">
        <v>176</v>
      </c>
      <c r="D323" s="17" t="s">
        <v>128</v>
      </c>
      <c r="E323" s="17" t="s">
        <v>131</v>
      </c>
      <c r="G323" s="17" t="s">
        <v>7</v>
      </c>
      <c r="H323" s="62"/>
      <c r="I323" s="37">
        <f>IFERROR(VLOOKUP(B323,'TB '!$A:$G,7,),0)</f>
        <v>0</v>
      </c>
      <c r="J323" s="37">
        <f>IFERROR(VLOOKUP($B323,'TB '!$4:$1048576,MATCH('List of Ledgers '!J$4,'TB '!$4:$4,0),0),0)</f>
        <v>0</v>
      </c>
      <c r="K323" s="37">
        <f>IFERROR(VLOOKUP($B323,'TB '!$4:$1048576,MATCH('List of Ledgers '!K$4,'TB '!$4:$4,0),0),0)</f>
        <v>0</v>
      </c>
      <c r="L323" s="37">
        <f>IFERROR(VLOOKUP(B323,'TB '!$A:$J,10,),0)</f>
        <v>0</v>
      </c>
      <c r="M323" s="71"/>
      <c r="N323" s="63">
        <f>IFERROR(VLOOKUP($B323,'TB YTD'!$4:$1048576,MATCH('List of Ledgers '!N$4,'TB YTD'!$4:$4,0),0),0)</f>
        <v>0</v>
      </c>
      <c r="O323" s="63">
        <f>IFERROR(VLOOKUP($B323,'TB YTD'!$4:$1048576,MATCH('List of Ledgers '!O$4,'TB YTD'!$4:$4,0),0),0)</f>
        <v>1215</v>
      </c>
      <c r="P323" s="63">
        <f>IFERROR(VLOOKUP($B323,'TB YTD'!$4:$1048576,MATCH('List of Ledgers '!P$4,'TB YTD'!$4:$4,0),0),0)</f>
        <v>1215</v>
      </c>
      <c r="Q323" s="63">
        <f>IFERROR(VLOOKUP($B323,'TB YTD'!$4:$1048576,MATCH('List of Ledgers '!Q$4,'TB YTD'!$4:$4,0),0),0)</f>
        <v>0</v>
      </c>
      <c r="R323" s="63"/>
    </row>
    <row r="324" spans="1:18" hidden="1" x14ac:dyDescent="0.25">
      <c r="A324" s="106">
        <v>312</v>
      </c>
      <c r="B324" s="8" t="s">
        <v>520</v>
      </c>
      <c r="C324" s="8" t="s">
        <v>158</v>
      </c>
      <c r="D324" s="17" t="s">
        <v>128</v>
      </c>
      <c r="E324" s="17" t="s">
        <v>131</v>
      </c>
      <c r="G324" s="17" t="s">
        <v>7</v>
      </c>
      <c r="H324" s="62"/>
      <c r="I324" s="37">
        <f>IFERROR(VLOOKUP(B324,'TB '!$A:$G,7,),0)</f>
        <v>0</v>
      </c>
      <c r="J324" s="37">
        <f>IFERROR(VLOOKUP($B324,'TB '!$4:$1048576,MATCH('List of Ledgers '!J$4,'TB '!$4:$4,0),0),0)</f>
        <v>0</v>
      </c>
      <c r="K324" s="37">
        <f>IFERROR(VLOOKUP($B324,'TB '!$4:$1048576,MATCH('List of Ledgers '!K$4,'TB '!$4:$4,0),0),0)</f>
        <v>0</v>
      </c>
      <c r="L324" s="37">
        <f>IFERROR(VLOOKUP(B324,'TB '!$A:$J,10,),0)</f>
        <v>0</v>
      </c>
      <c r="M324" s="71"/>
      <c r="N324" s="63">
        <f>IFERROR(VLOOKUP($B324,'TB YTD'!$4:$1048576,MATCH('List of Ledgers '!N$4,'TB YTD'!$4:$4,0),0),0)</f>
        <v>0</v>
      </c>
      <c r="O324" s="63">
        <f>IFERROR(VLOOKUP($B324,'TB YTD'!$4:$1048576,MATCH('List of Ledgers '!O$4,'TB YTD'!$4:$4,0),0),0)</f>
        <v>40120</v>
      </c>
      <c r="P324" s="63">
        <f>IFERROR(VLOOKUP($B324,'TB YTD'!$4:$1048576,MATCH('List of Ledgers '!P$4,'TB YTD'!$4:$4,0),0),0)</f>
        <v>40120</v>
      </c>
      <c r="Q324" s="63">
        <f>IFERROR(VLOOKUP($B324,'TB YTD'!$4:$1048576,MATCH('List of Ledgers '!Q$4,'TB YTD'!$4:$4,0),0),0)</f>
        <v>0</v>
      </c>
      <c r="R324" s="63"/>
    </row>
    <row r="325" spans="1:18" hidden="1" x14ac:dyDescent="0.25">
      <c r="A325" s="106">
        <v>313</v>
      </c>
      <c r="B325" s="8" t="s">
        <v>521</v>
      </c>
      <c r="C325" s="8" t="s">
        <v>236</v>
      </c>
      <c r="D325" s="17" t="s">
        <v>151</v>
      </c>
      <c r="E325" s="17" t="s">
        <v>152</v>
      </c>
      <c r="F325" s="12" t="s">
        <v>63</v>
      </c>
      <c r="G325" s="17" t="s">
        <v>7</v>
      </c>
      <c r="H325" s="62"/>
      <c r="I325" s="37">
        <f>IFERROR(VLOOKUP(B325,'TB '!$A:$G,7,),0)</f>
        <v>0</v>
      </c>
      <c r="J325" s="37">
        <f>IFERROR(VLOOKUP($B325,'TB '!$4:$1048576,MATCH('List of Ledgers '!J$4,'TB '!$4:$4,0),0),0)</f>
        <v>2925</v>
      </c>
      <c r="K325" s="37">
        <f>IFERROR(VLOOKUP($B325,'TB '!$4:$1048576,MATCH('List of Ledgers '!K$4,'TB '!$4:$4,0),0),0)</f>
        <v>0</v>
      </c>
      <c r="L325" s="37">
        <f>IFERROR(VLOOKUP(B325,'TB '!$A:$J,10,),0)</f>
        <v>2925</v>
      </c>
      <c r="M325" s="71"/>
      <c r="N325" s="63">
        <f>IFERROR(VLOOKUP($B325,'TB YTD'!$4:$1048576,MATCH('List of Ledgers '!N$4,'TB YTD'!$4:$4,0),0),0)</f>
        <v>0</v>
      </c>
      <c r="O325" s="63">
        <f>IFERROR(VLOOKUP($B325,'TB YTD'!$4:$1048576,MATCH('List of Ledgers '!O$4,'TB YTD'!$4:$4,0),0),0)</f>
        <v>29190</v>
      </c>
      <c r="P325" s="63">
        <f>IFERROR(VLOOKUP($B325,'TB YTD'!$4:$1048576,MATCH('List of Ledgers '!P$4,'TB YTD'!$4:$4,0),0),0)</f>
        <v>0</v>
      </c>
      <c r="Q325" s="63">
        <f>IFERROR(VLOOKUP($B325,'TB YTD'!$4:$1048576,MATCH('List of Ledgers '!Q$4,'TB YTD'!$4:$4,0),0),0)</f>
        <v>29190</v>
      </c>
      <c r="R325" s="63"/>
    </row>
    <row r="326" spans="1:18" hidden="1" x14ac:dyDescent="0.25">
      <c r="A326" s="106">
        <v>314</v>
      </c>
      <c r="B326" s="8" t="s">
        <v>522</v>
      </c>
      <c r="C326" s="8" t="s">
        <v>234</v>
      </c>
      <c r="D326" s="17" t="s">
        <v>151</v>
      </c>
      <c r="E326" s="17" t="s">
        <v>152</v>
      </c>
      <c r="F326" s="12" t="s">
        <v>63</v>
      </c>
      <c r="G326" s="17" t="s">
        <v>2</v>
      </c>
      <c r="H326" s="62"/>
      <c r="I326" s="37">
        <f>IFERROR(VLOOKUP(B326,'TB '!$A:$G,7,),0)</f>
        <v>0</v>
      </c>
      <c r="J326" s="37">
        <f>IFERROR(VLOOKUP($B326,'TB '!$4:$1048576,MATCH('List of Ledgers '!J$4,'TB '!$4:$4,0),0),0)</f>
        <v>0</v>
      </c>
      <c r="K326" s="37">
        <f>IFERROR(VLOOKUP($B326,'TB '!$4:$1048576,MATCH('List of Ledgers '!K$4,'TB '!$4:$4,0),0),0)</f>
        <v>0</v>
      </c>
      <c r="L326" s="37">
        <f>IFERROR(VLOOKUP(B326,'TB '!$A:$J,10,),0)</f>
        <v>0</v>
      </c>
      <c r="M326" s="71"/>
      <c r="N326" s="63">
        <f>IFERROR(VLOOKUP($B326,'TB YTD'!$4:$1048576,MATCH('List of Ledgers '!N$4,'TB YTD'!$4:$4,0),0),0)</f>
        <v>0</v>
      </c>
      <c r="O326" s="63">
        <f>IFERROR(VLOOKUP($B326,'TB YTD'!$4:$1048576,MATCH('List of Ledgers '!O$4,'TB YTD'!$4:$4,0),0),0)</f>
        <v>0</v>
      </c>
      <c r="P326" s="63">
        <f>IFERROR(VLOOKUP($B326,'TB YTD'!$4:$1048576,MATCH('List of Ledgers '!P$4,'TB YTD'!$4:$4,0),0),0)</f>
        <v>0</v>
      </c>
      <c r="Q326" s="63">
        <f>IFERROR(VLOOKUP($B326,'TB YTD'!$4:$1048576,MATCH('List of Ledgers '!Q$4,'TB YTD'!$4:$4,0),0),0)</f>
        <v>0</v>
      </c>
      <c r="R326" s="63"/>
    </row>
    <row r="327" spans="1:18" hidden="1" x14ac:dyDescent="0.25">
      <c r="A327" s="106">
        <v>315</v>
      </c>
      <c r="B327" s="8" t="s">
        <v>523</v>
      </c>
      <c r="C327" s="8" t="s">
        <v>240</v>
      </c>
      <c r="D327" s="17" t="s">
        <v>151</v>
      </c>
      <c r="E327" s="17" t="s">
        <v>152</v>
      </c>
      <c r="F327" s="12" t="s">
        <v>63</v>
      </c>
      <c r="G327" s="12" t="s">
        <v>3</v>
      </c>
      <c r="H327" s="62"/>
      <c r="I327" s="37">
        <f>IFERROR(VLOOKUP(B327,'TB '!$A:$G,7,),0)</f>
        <v>0</v>
      </c>
      <c r="J327" s="37">
        <f>IFERROR(VLOOKUP($B327,'TB '!$4:$1048576,MATCH('List of Ledgers '!J$4,'TB '!$4:$4,0),0),0)</f>
        <v>0</v>
      </c>
      <c r="K327" s="37">
        <f>IFERROR(VLOOKUP($B327,'TB '!$4:$1048576,MATCH('List of Ledgers '!K$4,'TB '!$4:$4,0),0),0)</f>
        <v>0</v>
      </c>
      <c r="L327" s="37">
        <f>IFERROR(VLOOKUP(B327,'TB '!$A:$J,10,),0)</f>
        <v>0</v>
      </c>
      <c r="M327" s="71"/>
      <c r="N327" s="63">
        <f>IFERROR(VLOOKUP($B327,'TB YTD'!$4:$1048576,MATCH('List of Ledgers '!N$4,'TB YTD'!$4:$4,0),0),0)</f>
        <v>0</v>
      </c>
      <c r="O327" s="63">
        <f>IFERROR(VLOOKUP($B327,'TB YTD'!$4:$1048576,MATCH('List of Ledgers '!O$4,'TB YTD'!$4:$4,0),0),0)</f>
        <v>13950</v>
      </c>
      <c r="P327" s="63">
        <f>IFERROR(VLOOKUP($B327,'TB YTD'!$4:$1048576,MATCH('List of Ledgers '!P$4,'TB YTD'!$4:$4,0),0),0)</f>
        <v>0</v>
      </c>
      <c r="Q327" s="63">
        <f>IFERROR(VLOOKUP($B327,'TB YTD'!$4:$1048576,MATCH('List of Ledgers '!Q$4,'TB YTD'!$4:$4,0),0),0)</f>
        <v>13950</v>
      </c>
      <c r="R327" s="63"/>
    </row>
    <row r="328" spans="1:18" hidden="1" x14ac:dyDescent="0.25">
      <c r="A328" s="106">
        <v>316</v>
      </c>
      <c r="B328" s="8" t="s">
        <v>524</v>
      </c>
      <c r="C328" s="8" t="s">
        <v>238</v>
      </c>
      <c r="D328" s="17" t="s">
        <v>151</v>
      </c>
      <c r="E328" s="17" t="s">
        <v>152</v>
      </c>
      <c r="F328" s="12" t="s">
        <v>63</v>
      </c>
      <c r="G328" s="17" t="s">
        <v>7</v>
      </c>
      <c r="H328" s="62"/>
      <c r="I328" s="37">
        <f>IFERROR(VLOOKUP(B328,'TB '!$A:$G,7,),0)</f>
        <v>0</v>
      </c>
      <c r="J328" s="37">
        <f>IFERROR(VLOOKUP($B328,'TB '!$4:$1048576,MATCH('List of Ledgers '!J$4,'TB '!$4:$4,0),0),0)</f>
        <v>22649</v>
      </c>
      <c r="K328" s="37">
        <f>IFERROR(VLOOKUP($B328,'TB '!$4:$1048576,MATCH('List of Ledgers '!K$4,'TB '!$4:$4,0),0),0)</f>
        <v>0</v>
      </c>
      <c r="L328" s="37">
        <f>IFERROR(VLOOKUP(B328,'TB '!$A:$J,10,),0)</f>
        <v>22649</v>
      </c>
      <c r="M328" s="71"/>
      <c r="N328" s="63">
        <f>IFERROR(VLOOKUP($B328,'TB YTD'!$4:$1048576,MATCH('List of Ledgers '!N$4,'TB YTD'!$4:$4,0),0),0)</f>
        <v>0</v>
      </c>
      <c r="O328" s="63">
        <f>IFERROR(VLOOKUP($B328,'TB YTD'!$4:$1048576,MATCH('List of Ledgers '!O$4,'TB YTD'!$4:$4,0),0),0)</f>
        <v>331246</v>
      </c>
      <c r="P328" s="63">
        <f>IFERROR(VLOOKUP($B328,'TB YTD'!$4:$1048576,MATCH('List of Ledgers '!P$4,'TB YTD'!$4:$4,0),0),0)</f>
        <v>0</v>
      </c>
      <c r="Q328" s="63">
        <f>IFERROR(VLOOKUP($B328,'TB YTD'!$4:$1048576,MATCH('List of Ledgers '!Q$4,'TB YTD'!$4:$4,0),0),0)</f>
        <v>331246</v>
      </c>
      <c r="R328" s="63"/>
    </row>
    <row r="329" spans="1:18" hidden="1" x14ac:dyDescent="0.25">
      <c r="A329" s="106">
        <v>317</v>
      </c>
      <c r="B329" s="8" t="s">
        <v>525</v>
      </c>
      <c r="C329" s="8" t="s">
        <v>124</v>
      </c>
      <c r="D329" s="17"/>
      <c r="E329" s="17"/>
      <c r="G329" s="17"/>
      <c r="H329" s="62"/>
      <c r="I329" s="37">
        <f>IFERROR(VLOOKUP(B329,'TB '!$A:$G,7,),0)</f>
        <v>532692.65</v>
      </c>
      <c r="J329" s="37">
        <f>IFERROR(VLOOKUP($B329,'TB '!$4:$1048576,MATCH('List of Ledgers '!J$4,'TB '!$4:$4,0),0),0)</f>
        <v>0</v>
      </c>
      <c r="K329" s="37">
        <f>IFERROR(VLOOKUP($B329,'TB '!$4:$1048576,MATCH('List of Ledgers '!K$4,'TB '!$4:$4,0),0),0)</f>
        <v>0</v>
      </c>
      <c r="L329" s="37">
        <f>IFERROR(VLOOKUP(B329,'TB '!$A:$J,10,),0)</f>
        <v>532692.65</v>
      </c>
      <c r="M329" s="71"/>
      <c r="N329" s="63">
        <f>IFERROR(VLOOKUP($B329,'TB YTD'!$4:$1048576,MATCH('List of Ledgers '!N$4,'TB YTD'!$4:$4,0),0),0)</f>
        <v>532692.65</v>
      </c>
      <c r="O329" s="63">
        <f>IFERROR(VLOOKUP($B329,'TB YTD'!$4:$1048576,MATCH('List of Ledgers '!O$4,'TB YTD'!$4:$4,0),0),0)</f>
        <v>0</v>
      </c>
      <c r="P329" s="63">
        <f>IFERROR(VLOOKUP($B329,'TB YTD'!$4:$1048576,MATCH('List of Ledgers '!P$4,'TB YTD'!$4:$4,0),0),0)</f>
        <v>0</v>
      </c>
      <c r="Q329" s="63">
        <f>IFERROR(VLOOKUP($B329,'TB YTD'!$4:$1048576,MATCH('List of Ledgers '!Q$4,'TB YTD'!$4:$4,0),0),0)</f>
        <v>532692.65</v>
      </c>
      <c r="R329" s="63"/>
    </row>
    <row r="330" spans="1:18" hidden="1" x14ac:dyDescent="0.25">
      <c r="A330" s="106">
        <v>318</v>
      </c>
      <c r="B330" s="8" t="s">
        <v>526</v>
      </c>
      <c r="C330" s="8" t="s">
        <v>124</v>
      </c>
      <c r="D330" s="17"/>
      <c r="E330" s="17"/>
      <c r="G330" s="17"/>
      <c r="H330" s="62"/>
      <c r="I330" s="37">
        <f>IFERROR(VLOOKUP(B330,'TB '!$A:$G,7,),0)</f>
        <v>443911.44</v>
      </c>
      <c r="J330" s="37">
        <f>IFERROR(VLOOKUP($B330,'TB '!$4:$1048576,MATCH('List of Ledgers '!J$4,'TB '!$4:$4,0),0),0)</f>
        <v>0</v>
      </c>
      <c r="K330" s="37">
        <f>IFERROR(VLOOKUP($B330,'TB '!$4:$1048576,MATCH('List of Ledgers '!K$4,'TB '!$4:$4,0),0),0)</f>
        <v>0</v>
      </c>
      <c r="L330" s="37">
        <f>IFERROR(VLOOKUP(B330,'TB '!$A:$J,10,),0)</f>
        <v>443911.44</v>
      </c>
      <c r="M330" s="71"/>
      <c r="N330" s="63">
        <f>IFERROR(VLOOKUP($B330,'TB YTD'!$4:$1048576,MATCH('List of Ledgers '!N$4,'TB YTD'!$4:$4,0),0),0)</f>
        <v>443911.44</v>
      </c>
      <c r="O330" s="63">
        <f>IFERROR(VLOOKUP($B330,'TB YTD'!$4:$1048576,MATCH('List of Ledgers '!O$4,'TB YTD'!$4:$4,0),0),0)</f>
        <v>0</v>
      </c>
      <c r="P330" s="63">
        <f>IFERROR(VLOOKUP($B330,'TB YTD'!$4:$1048576,MATCH('List of Ledgers '!P$4,'TB YTD'!$4:$4,0),0),0)</f>
        <v>0</v>
      </c>
      <c r="Q330" s="63">
        <f>IFERROR(VLOOKUP($B330,'TB YTD'!$4:$1048576,MATCH('List of Ledgers '!Q$4,'TB YTD'!$4:$4,0),0),0)</f>
        <v>443911.44</v>
      </c>
      <c r="R330" s="63"/>
    </row>
    <row r="331" spans="1:18" hidden="1" x14ac:dyDescent="0.25">
      <c r="A331" s="106">
        <v>319</v>
      </c>
      <c r="B331" s="8" t="s">
        <v>527</v>
      </c>
      <c r="C331" s="8" t="s">
        <v>166</v>
      </c>
      <c r="D331" s="17" t="s">
        <v>151</v>
      </c>
      <c r="E331" s="17" t="s">
        <v>1291</v>
      </c>
      <c r="F331" s="12" t="s">
        <v>50</v>
      </c>
      <c r="G331" s="17" t="s">
        <v>4</v>
      </c>
      <c r="H331" s="62"/>
      <c r="I331" s="37">
        <f>IFERROR(VLOOKUP(B331,'TB '!$A:$G,7,),0)</f>
        <v>0</v>
      </c>
      <c r="J331" s="37">
        <f>IFERROR(VLOOKUP($B331,'TB '!$4:$1048576,MATCH('List of Ledgers '!J$4,'TB '!$4:$4,0),0),0)</f>
        <v>0</v>
      </c>
      <c r="K331" s="37">
        <f>IFERROR(VLOOKUP($B331,'TB '!$4:$1048576,MATCH('List of Ledgers '!K$4,'TB '!$4:$4,0),0),0)</f>
        <v>0</v>
      </c>
      <c r="L331" s="37">
        <f>IFERROR(VLOOKUP(B331,'TB '!$A:$J,10,),0)</f>
        <v>0</v>
      </c>
      <c r="M331" s="71"/>
      <c r="N331" s="63">
        <f>IFERROR(VLOOKUP($B331,'TB YTD'!$4:$1048576,MATCH('List of Ledgers '!N$4,'TB YTD'!$4:$4,0),0),0)</f>
        <v>0</v>
      </c>
      <c r="O331" s="63">
        <f>IFERROR(VLOOKUP($B331,'TB YTD'!$4:$1048576,MATCH('List of Ledgers '!O$4,'TB YTD'!$4:$4,0),0),0)</f>
        <v>0</v>
      </c>
      <c r="P331" s="63">
        <f>IFERROR(VLOOKUP($B331,'TB YTD'!$4:$1048576,MATCH('List of Ledgers '!P$4,'TB YTD'!$4:$4,0),0),0)</f>
        <v>0</v>
      </c>
      <c r="Q331" s="63">
        <f>IFERROR(VLOOKUP($B331,'TB YTD'!$4:$1048576,MATCH('List of Ledgers '!Q$4,'TB YTD'!$4:$4,0),0),0)</f>
        <v>0</v>
      </c>
      <c r="R331" s="63"/>
    </row>
    <row r="332" spans="1:18" hidden="1" x14ac:dyDescent="0.25">
      <c r="A332" s="106">
        <v>320</v>
      </c>
      <c r="B332" s="8" t="s">
        <v>528</v>
      </c>
      <c r="C332" s="8" t="s">
        <v>510</v>
      </c>
      <c r="D332" s="17"/>
      <c r="E332" s="17"/>
      <c r="G332" s="17"/>
      <c r="H332" s="62"/>
      <c r="I332" s="37">
        <f>IFERROR(VLOOKUP(B332,'TB '!$A:$G,7,),0)</f>
        <v>127374.74</v>
      </c>
      <c r="J332" s="37">
        <f>IFERROR(VLOOKUP($B332,'TB '!$4:$1048576,MATCH('List of Ledgers '!J$4,'TB '!$4:$4,0),0),0)</f>
        <v>82237465.819999993</v>
      </c>
      <c r="K332" s="37">
        <f>IFERROR(VLOOKUP($B332,'TB '!$4:$1048576,MATCH('List of Ledgers '!K$4,'TB '!$4:$4,0),0),0)</f>
        <v>79552327.950000003</v>
      </c>
      <c r="L332" s="37">
        <f>IFERROR(VLOOKUP(B332,'TB '!$A:$J,10,),0)</f>
        <v>2812512.61</v>
      </c>
      <c r="M332" s="71"/>
      <c r="N332" s="63">
        <f>IFERROR(VLOOKUP($B332,'TB YTD'!$4:$1048576,MATCH('List of Ledgers '!N$4,'TB YTD'!$4:$4,0),0),0)</f>
        <v>383377.59</v>
      </c>
      <c r="O332" s="63">
        <f>IFERROR(VLOOKUP($B332,'TB YTD'!$4:$1048576,MATCH('List of Ledgers '!O$4,'TB YTD'!$4:$4,0),0),0)</f>
        <v>366759978.43000001</v>
      </c>
      <c r="P332" s="63">
        <f>IFERROR(VLOOKUP($B332,'TB YTD'!$4:$1048576,MATCH('List of Ledgers '!P$4,'TB YTD'!$4:$4,0),0),0)</f>
        <v>364330843.41000003</v>
      </c>
      <c r="Q332" s="63">
        <f>IFERROR(VLOOKUP($B332,'TB YTD'!$4:$1048576,MATCH('List of Ledgers '!Q$4,'TB YTD'!$4:$4,0),0),0)</f>
        <v>2812512.61</v>
      </c>
      <c r="R332" s="63"/>
    </row>
    <row r="333" spans="1:18" hidden="1" x14ac:dyDescent="0.25">
      <c r="A333" s="106">
        <v>321</v>
      </c>
      <c r="B333" s="8" t="s">
        <v>529</v>
      </c>
      <c r="C333" s="8" t="s">
        <v>530</v>
      </c>
      <c r="D333" s="17"/>
      <c r="E333" s="17"/>
      <c r="G333" s="17"/>
      <c r="H333" s="62"/>
      <c r="I333" s="37">
        <f>IFERROR(VLOOKUP(B333,'TB '!$A:$G,7,),0)</f>
        <v>0</v>
      </c>
      <c r="J333" s="37">
        <f>IFERROR(VLOOKUP($B333,'TB '!$4:$1048576,MATCH('List of Ledgers '!J$4,'TB '!$4:$4,0),0),0)</f>
        <v>0</v>
      </c>
      <c r="K333" s="37">
        <f>IFERROR(VLOOKUP($B333,'TB '!$4:$1048576,MATCH('List of Ledgers '!K$4,'TB '!$4:$4,0),0),0)</f>
        <v>0</v>
      </c>
      <c r="L333" s="37">
        <f>IFERROR(VLOOKUP(B333,'TB '!$A:$J,10,),0)</f>
        <v>0</v>
      </c>
      <c r="M333" s="71"/>
      <c r="N333" s="63">
        <f>IFERROR(VLOOKUP($B333,'TB YTD'!$4:$1048576,MATCH('List of Ledgers '!N$4,'TB YTD'!$4:$4,0),0),0)</f>
        <v>0</v>
      </c>
      <c r="O333" s="63">
        <f>IFERROR(VLOOKUP($B333,'TB YTD'!$4:$1048576,MATCH('List of Ledgers '!O$4,'TB YTD'!$4:$4,0),0),0)</f>
        <v>0</v>
      </c>
      <c r="P333" s="63">
        <f>IFERROR(VLOOKUP($B333,'TB YTD'!$4:$1048576,MATCH('List of Ledgers '!P$4,'TB YTD'!$4:$4,0),0),0)</f>
        <v>0</v>
      </c>
      <c r="Q333" s="63">
        <f>IFERROR(VLOOKUP($B333,'TB YTD'!$4:$1048576,MATCH('List of Ledgers '!Q$4,'TB YTD'!$4:$4,0),0),0)</f>
        <v>0</v>
      </c>
      <c r="R333" s="63"/>
    </row>
    <row r="334" spans="1:18" hidden="1" x14ac:dyDescent="0.25">
      <c r="A334" s="106">
        <v>322</v>
      </c>
      <c r="B334" s="8" t="s">
        <v>531</v>
      </c>
      <c r="C334" s="8" t="s">
        <v>530</v>
      </c>
      <c r="D334" s="17"/>
      <c r="E334" s="17"/>
      <c r="G334" s="17"/>
      <c r="H334" s="62"/>
      <c r="I334" s="37">
        <f>IFERROR(VLOOKUP(B334,'TB '!$A:$G,7,),0)</f>
        <v>0</v>
      </c>
      <c r="J334" s="37">
        <f>IFERROR(VLOOKUP($B334,'TB '!$4:$1048576,MATCH('List of Ledgers '!J$4,'TB '!$4:$4,0),0),0)</f>
        <v>0</v>
      </c>
      <c r="K334" s="37">
        <f>IFERROR(VLOOKUP($B334,'TB '!$4:$1048576,MATCH('List of Ledgers '!K$4,'TB '!$4:$4,0),0),0)</f>
        <v>0</v>
      </c>
      <c r="L334" s="37">
        <f>IFERROR(VLOOKUP(B334,'TB '!$A:$J,10,),0)</f>
        <v>0</v>
      </c>
      <c r="M334" s="71"/>
      <c r="N334" s="63">
        <f>IFERROR(VLOOKUP($B334,'TB YTD'!$4:$1048576,MATCH('List of Ledgers '!N$4,'TB YTD'!$4:$4,0),0),0)</f>
        <v>0</v>
      </c>
      <c r="O334" s="63">
        <f>IFERROR(VLOOKUP($B334,'TB YTD'!$4:$1048576,MATCH('List of Ledgers '!O$4,'TB YTD'!$4:$4,0),0),0)</f>
        <v>0</v>
      </c>
      <c r="P334" s="63">
        <f>IFERROR(VLOOKUP($B334,'TB YTD'!$4:$1048576,MATCH('List of Ledgers '!P$4,'TB YTD'!$4:$4,0),0),0)</f>
        <v>0</v>
      </c>
      <c r="Q334" s="63">
        <f>IFERROR(VLOOKUP($B334,'TB YTD'!$4:$1048576,MATCH('List of Ledgers '!Q$4,'TB YTD'!$4:$4,0),0),0)</f>
        <v>0</v>
      </c>
      <c r="R334" s="63"/>
    </row>
    <row r="335" spans="1:18" hidden="1" x14ac:dyDescent="0.25">
      <c r="A335" s="106">
        <v>323</v>
      </c>
      <c r="B335" s="8" t="s">
        <v>532</v>
      </c>
      <c r="C335" s="8" t="s">
        <v>140</v>
      </c>
      <c r="D335" s="17" t="s">
        <v>128</v>
      </c>
      <c r="E335" s="17" t="s">
        <v>131</v>
      </c>
      <c r="G335" s="17" t="s">
        <v>7</v>
      </c>
      <c r="H335" s="62"/>
      <c r="I335" s="37">
        <f>IFERROR(VLOOKUP(B335,'TB '!$A:$G,7,),0)</f>
        <v>0</v>
      </c>
      <c r="J335" s="37">
        <f>IFERROR(VLOOKUP($B335,'TB '!$4:$1048576,MATCH('List of Ledgers '!J$4,'TB '!$4:$4,0),0),0)</f>
        <v>0</v>
      </c>
      <c r="K335" s="37">
        <f>IFERROR(VLOOKUP($B335,'TB '!$4:$1048576,MATCH('List of Ledgers '!K$4,'TB '!$4:$4,0),0),0)</f>
        <v>0</v>
      </c>
      <c r="L335" s="37">
        <f>IFERROR(VLOOKUP(B335,'TB '!$A:$J,10,),0)</f>
        <v>0</v>
      </c>
      <c r="M335" s="71"/>
      <c r="N335" s="63">
        <f>IFERROR(VLOOKUP($B335,'TB YTD'!$4:$1048576,MATCH('List of Ledgers '!N$4,'TB YTD'!$4:$4,0),0),0)</f>
        <v>0</v>
      </c>
      <c r="O335" s="63">
        <f>IFERROR(VLOOKUP($B335,'TB YTD'!$4:$1048576,MATCH('List of Ledgers '!O$4,'TB YTD'!$4:$4,0),0),0)</f>
        <v>18956</v>
      </c>
      <c r="P335" s="63">
        <f>IFERROR(VLOOKUP($B335,'TB YTD'!$4:$1048576,MATCH('List of Ledgers '!P$4,'TB YTD'!$4:$4,0),0),0)</f>
        <v>18956</v>
      </c>
      <c r="Q335" s="63">
        <f>IFERROR(VLOOKUP($B335,'TB YTD'!$4:$1048576,MATCH('List of Ledgers '!Q$4,'TB YTD'!$4:$4,0),0),0)</f>
        <v>0</v>
      </c>
      <c r="R335" s="63"/>
    </row>
    <row r="336" spans="1:18" hidden="1" x14ac:dyDescent="0.25">
      <c r="A336" s="106">
        <v>324</v>
      </c>
      <c r="B336" s="8" t="s">
        <v>533</v>
      </c>
      <c r="C336" s="8" t="s">
        <v>140</v>
      </c>
      <c r="D336" s="17" t="s">
        <v>128</v>
      </c>
      <c r="E336" s="17" t="s">
        <v>131</v>
      </c>
      <c r="G336" s="17" t="s">
        <v>7</v>
      </c>
      <c r="H336" s="62"/>
      <c r="I336" s="37">
        <f>IFERROR(VLOOKUP(B336,'TB '!$A:$G,7,),0)</f>
        <v>0</v>
      </c>
      <c r="J336" s="37">
        <f>IFERROR(VLOOKUP($B336,'TB '!$4:$1048576,MATCH('List of Ledgers '!J$4,'TB '!$4:$4,0),0),0)</f>
        <v>0</v>
      </c>
      <c r="K336" s="37">
        <f>IFERROR(VLOOKUP($B336,'TB '!$4:$1048576,MATCH('List of Ledgers '!K$4,'TB '!$4:$4,0),0),0)</f>
        <v>0</v>
      </c>
      <c r="L336" s="37">
        <f>IFERROR(VLOOKUP(B336,'TB '!$A:$J,10,),0)</f>
        <v>0</v>
      </c>
      <c r="M336" s="71"/>
      <c r="N336" s="63">
        <f>IFERROR(VLOOKUP($B336,'TB YTD'!$4:$1048576,MATCH('List of Ledgers '!N$4,'TB YTD'!$4:$4,0),0),0)</f>
        <v>0</v>
      </c>
      <c r="O336" s="63">
        <f>IFERROR(VLOOKUP($B336,'TB YTD'!$4:$1048576,MATCH('List of Ledgers '!O$4,'TB YTD'!$4:$4,0),0),0)</f>
        <v>363197</v>
      </c>
      <c r="P336" s="63">
        <f>IFERROR(VLOOKUP($B336,'TB YTD'!$4:$1048576,MATCH('List of Ledgers '!P$4,'TB YTD'!$4:$4,0),0),0)</f>
        <v>363197</v>
      </c>
      <c r="Q336" s="63">
        <f>IFERROR(VLOOKUP($B336,'TB YTD'!$4:$1048576,MATCH('List of Ledgers '!Q$4,'TB YTD'!$4:$4,0),0),0)</f>
        <v>0</v>
      </c>
      <c r="R336" s="63"/>
    </row>
    <row r="337" spans="1:18" hidden="1" x14ac:dyDescent="0.25">
      <c r="A337" s="106">
        <v>325</v>
      </c>
      <c r="B337" s="8" t="s">
        <v>534</v>
      </c>
      <c r="C337" s="8" t="s">
        <v>530</v>
      </c>
      <c r="D337" s="17"/>
      <c r="E337" s="17"/>
      <c r="G337" s="17"/>
      <c r="H337" s="62"/>
      <c r="I337" s="37">
        <f>IFERROR(VLOOKUP(B337,'TB '!$A:$G,7,),0)</f>
        <v>0</v>
      </c>
      <c r="J337" s="37">
        <f>IFERROR(VLOOKUP($B337,'TB '!$4:$1048576,MATCH('List of Ledgers '!J$4,'TB '!$4:$4,0),0),0)</f>
        <v>0</v>
      </c>
      <c r="K337" s="37">
        <f>IFERROR(VLOOKUP($B337,'TB '!$4:$1048576,MATCH('List of Ledgers '!K$4,'TB '!$4:$4,0),0),0)</f>
        <v>0</v>
      </c>
      <c r="L337" s="37">
        <f>IFERROR(VLOOKUP(B337,'TB '!$A:$J,10,),0)</f>
        <v>0</v>
      </c>
      <c r="M337" s="71"/>
      <c r="N337" s="63">
        <f>IFERROR(VLOOKUP($B337,'TB YTD'!$4:$1048576,MATCH('List of Ledgers '!N$4,'TB YTD'!$4:$4,0),0),0)</f>
        <v>0</v>
      </c>
      <c r="O337" s="63">
        <f>IFERROR(VLOOKUP($B337,'TB YTD'!$4:$1048576,MATCH('List of Ledgers '!O$4,'TB YTD'!$4:$4,0),0),0)</f>
        <v>0</v>
      </c>
      <c r="P337" s="63">
        <f>IFERROR(VLOOKUP($B337,'TB YTD'!$4:$1048576,MATCH('List of Ledgers '!P$4,'TB YTD'!$4:$4,0),0),0)</f>
        <v>0</v>
      </c>
      <c r="Q337" s="63">
        <f>IFERROR(VLOOKUP($B337,'TB YTD'!$4:$1048576,MATCH('List of Ledgers '!Q$4,'TB YTD'!$4:$4,0),0),0)</f>
        <v>0</v>
      </c>
      <c r="R337" s="63"/>
    </row>
    <row r="338" spans="1:18" hidden="1" x14ac:dyDescent="0.25">
      <c r="A338" s="106">
        <v>326</v>
      </c>
      <c r="B338" s="8" t="s">
        <v>535</v>
      </c>
      <c r="C338" s="8" t="s">
        <v>176</v>
      </c>
      <c r="D338" s="17" t="s">
        <v>128</v>
      </c>
      <c r="E338" s="17" t="s">
        <v>131</v>
      </c>
      <c r="G338" s="17" t="s">
        <v>7</v>
      </c>
      <c r="H338" s="62"/>
      <c r="I338" s="37">
        <f>IFERROR(VLOOKUP(B338,'TB '!$A:$G,7,),0)</f>
        <v>0</v>
      </c>
      <c r="J338" s="37">
        <f>IFERROR(VLOOKUP($B338,'TB '!$4:$1048576,MATCH('List of Ledgers '!J$4,'TB '!$4:$4,0),0),0)</f>
        <v>0</v>
      </c>
      <c r="K338" s="37">
        <f>IFERROR(VLOOKUP($B338,'TB '!$4:$1048576,MATCH('List of Ledgers '!K$4,'TB '!$4:$4,0),0),0)</f>
        <v>0</v>
      </c>
      <c r="L338" s="37">
        <f>IFERROR(VLOOKUP(B338,'TB '!$A:$J,10,),0)</f>
        <v>0</v>
      </c>
      <c r="M338" s="71"/>
      <c r="N338" s="63">
        <f>IFERROR(VLOOKUP($B338,'TB YTD'!$4:$1048576,MATCH('List of Ledgers '!N$4,'TB YTD'!$4:$4,0),0),0)</f>
        <v>0</v>
      </c>
      <c r="O338" s="63">
        <f>IFERROR(VLOOKUP($B338,'TB YTD'!$4:$1048576,MATCH('List of Ledgers '!O$4,'TB YTD'!$4:$4,0),0),0)</f>
        <v>15505</v>
      </c>
      <c r="P338" s="63">
        <f>IFERROR(VLOOKUP($B338,'TB YTD'!$4:$1048576,MATCH('List of Ledgers '!P$4,'TB YTD'!$4:$4,0),0),0)</f>
        <v>15505</v>
      </c>
      <c r="Q338" s="63">
        <f>IFERROR(VLOOKUP($B338,'TB YTD'!$4:$1048576,MATCH('List of Ledgers '!Q$4,'TB YTD'!$4:$4,0),0),0)</f>
        <v>0</v>
      </c>
      <c r="R338" s="63"/>
    </row>
    <row r="339" spans="1:18" hidden="1" x14ac:dyDescent="0.25">
      <c r="A339" s="106">
        <v>327</v>
      </c>
      <c r="B339" s="8" t="s">
        <v>536</v>
      </c>
      <c r="C339" s="8" t="s">
        <v>537</v>
      </c>
      <c r="D339" s="17"/>
      <c r="E339" s="17"/>
      <c r="G339" s="17"/>
      <c r="H339" s="62"/>
      <c r="I339" s="37">
        <f>IFERROR(VLOOKUP(B339,'TB '!$A:$G,7,),0)</f>
        <v>0</v>
      </c>
      <c r="J339" s="37">
        <f>IFERROR(VLOOKUP($B339,'TB '!$4:$1048576,MATCH('List of Ledgers '!J$4,'TB '!$4:$4,0),0),0)</f>
        <v>0</v>
      </c>
      <c r="K339" s="37">
        <f>IFERROR(VLOOKUP($B339,'TB '!$4:$1048576,MATCH('List of Ledgers '!K$4,'TB '!$4:$4,0),0),0)</f>
        <v>0</v>
      </c>
      <c r="L339" s="37">
        <f>IFERROR(VLOOKUP(B339,'TB '!$A:$J,10,),0)</f>
        <v>0</v>
      </c>
      <c r="M339" s="71"/>
      <c r="N339" s="63">
        <f>IFERROR(VLOOKUP($B339,'TB YTD'!$4:$1048576,MATCH('List of Ledgers '!N$4,'TB YTD'!$4:$4,0),0),0)</f>
        <v>149992.5</v>
      </c>
      <c r="O339" s="63">
        <f>IFERROR(VLOOKUP($B339,'TB YTD'!$4:$1048576,MATCH('List of Ledgers '!O$4,'TB YTD'!$4:$4,0),0),0)</f>
        <v>0</v>
      </c>
      <c r="P339" s="63">
        <f>IFERROR(VLOOKUP($B339,'TB YTD'!$4:$1048576,MATCH('List of Ledgers '!P$4,'TB YTD'!$4:$4,0),0),0)</f>
        <v>149992.5</v>
      </c>
      <c r="Q339" s="63">
        <f>IFERROR(VLOOKUP($B339,'TB YTD'!$4:$1048576,MATCH('List of Ledgers '!Q$4,'TB YTD'!$4:$4,0),0),0)</f>
        <v>0</v>
      </c>
      <c r="R339" s="63"/>
    </row>
    <row r="340" spans="1:18" hidden="1" x14ac:dyDescent="0.25">
      <c r="A340" s="106">
        <v>328</v>
      </c>
      <c r="B340" s="8" t="s">
        <v>538</v>
      </c>
      <c r="C340" s="8" t="s">
        <v>530</v>
      </c>
      <c r="D340" s="106"/>
      <c r="E340" s="17"/>
      <c r="G340" s="17"/>
      <c r="H340" s="62"/>
      <c r="I340" s="37">
        <f>IFERROR(VLOOKUP(B340,'TB '!$A:$G,7,),0)</f>
        <v>0</v>
      </c>
      <c r="J340" s="37">
        <f>IFERROR(VLOOKUP($B340,'TB '!$4:$1048576,MATCH('List of Ledgers '!J$4,'TB '!$4:$4,0),0),0)</f>
        <v>0</v>
      </c>
      <c r="K340" s="37">
        <f>IFERROR(VLOOKUP($B340,'TB '!$4:$1048576,MATCH('List of Ledgers '!K$4,'TB '!$4:$4,0),0),0)</f>
        <v>0</v>
      </c>
      <c r="L340" s="37">
        <f>IFERROR(VLOOKUP(B340,'TB '!$A:$J,10,),0)</f>
        <v>0</v>
      </c>
      <c r="M340" s="71"/>
      <c r="N340" s="63">
        <f>IFERROR(VLOOKUP($B340,'TB YTD'!$4:$1048576,MATCH('List of Ledgers '!N$4,'TB YTD'!$4:$4,0),0),0)</f>
        <v>0</v>
      </c>
      <c r="O340" s="63">
        <f>IFERROR(VLOOKUP($B340,'TB YTD'!$4:$1048576,MATCH('List of Ledgers '!O$4,'TB YTD'!$4:$4,0),0),0)</f>
        <v>0</v>
      </c>
      <c r="P340" s="63">
        <f>IFERROR(VLOOKUP($B340,'TB YTD'!$4:$1048576,MATCH('List of Ledgers '!P$4,'TB YTD'!$4:$4,0),0),0)</f>
        <v>0</v>
      </c>
      <c r="Q340" s="63">
        <f>IFERROR(VLOOKUP($B340,'TB YTD'!$4:$1048576,MATCH('List of Ledgers '!Q$4,'TB YTD'!$4:$4,0),0),0)</f>
        <v>0</v>
      </c>
      <c r="R340" s="63"/>
    </row>
    <row r="341" spans="1:18" hidden="1" x14ac:dyDescent="0.25">
      <c r="A341" s="106">
        <v>329</v>
      </c>
      <c r="B341" s="8" t="s">
        <v>539</v>
      </c>
      <c r="C341" s="8" t="s">
        <v>540</v>
      </c>
      <c r="D341" s="17" t="s">
        <v>128</v>
      </c>
      <c r="E341" s="17"/>
      <c r="G341" s="17" t="s">
        <v>7</v>
      </c>
      <c r="H341" s="62"/>
      <c r="I341" s="37">
        <f>IFERROR(VLOOKUP(B341,'TB '!$A:$G,7,),0)</f>
        <v>0</v>
      </c>
      <c r="J341" s="37">
        <f>IFERROR(VLOOKUP($B341,'TB '!$4:$1048576,MATCH('List of Ledgers '!J$4,'TB '!$4:$4,0),0),0)</f>
        <v>0</v>
      </c>
      <c r="K341" s="37">
        <f>IFERROR(VLOOKUP($B341,'TB '!$4:$1048576,MATCH('List of Ledgers '!K$4,'TB '!$4:$4,0),0),0)</f>
        <v>0</v>
      </c>
      <c r="L341" s="37">
        <f>IFERROR(VLOOKUP(B341,'TB '!$A:$J,10,),0)</f>
        <v>0</v>
      </c>
      <c r="M341" s="71"/>
      <c r="N341" s="63">
        <f>IFERROR(VLOOKUP($B341,'TB YTD'!$4:$1048576,MATCH('List of Ledgers '!N$4,'TB YTD'!$4:$4,0),0),0)</f>
        <v>0</v>
      </c>
      <c r="O341" s="63">
        <f>IFERROR(VLOOKUP($B341,'TB YTD'!$4:$1048576,MATCH('List of Ledgers '!O$4,'TB YTD'!$4:$4,0),0),0)</f>
        <v>0</v>
      </c>
      <c r="P341" s="63">
        <f>IFERROR(VLOOKUP($B341,'TB YTD'!$4:$1048576,MATCH('List of Ledgers '!P$4,'TB YTD'!$4:$4,0),0),0)</f>
        <v>0</v>
      </c>
      <c r="Q341" s="63">
        <f>IFERROR(VLOOKUP($B341,'TB YTD'!$4:$1048576,MATCH('List of Ledgers '!Q$4,'TB YTD'!$4:$4,0),0),0)</f>
        <v>0</v>
      </c>
      <c r="R341" s="63"/>
    </row>
    <row r="342" spans="1:18" hidden="1" x14ac:dyDescent="0.25">
      <c r="A342" s="106">
        <v>330</v>
      </c>
      <c r="B342" s="8" t="s">
        <v>541</v>
      </c>
      <c r="C342" s="8" t="s">
        <v>286</v>
      </c>
      <c r="D342" s="17"/>
      <c r="E342" s="17"/>
      <c r="G342" s="17"/>
      <c r="H342" s="62"/>
      <c r="I342" s="37">
        <f>IFERROR(VLOOKUP(B342,'TB '!$A:$G,7,),0)</f>
        <v>0</v>
      </c>
      <c r="J342" s="37">
        <f>IFERROR(VLOOKUP($B342,'TB '!$4:$1048576,MATCH('List of Ledgers '!J$4,'TB '!$4:$4,0),0),0)</f>
        <v>0</v>
      </c>
      <c r="K342" s="37">
        <f>IFERROR(VLOOKUP($B342,'TB '!$4:$1048576,MATCH('List of Ledgers '!K$4,'TB '!$4:$4,0),0),0)</f>
        <v>0</v>
      </c>
      <c r="L342" s="37">
        <f>IFERROR(VLOOKUP(B342,'TB '!$A:$J,10,),0)</f>
        <v>0</v>
      </c>
      <c r="M342" s="71"/>
      <c r="N342" s="63">
        <f>IFERROR(VLOOKUP($B342,'TB YTD'!$4:$1048576,MATCH('List of Ledgers '!N$4,'TB YTD'!$4:$4,0),0),0)</f>
        <v>153632.85</v>
      </c>
      <c r="O342" s="63">
        <f>IFERROR(VLOOKUP($B342,'TB YTD'!$4:$1048576,MATCH('List of Ledgers '!O$4,'TB YTD'!$4:$4,0),0),0)</f>
        <v>166.44</v>
      </c>
      <c r="P342" s="63">
        <f>IFERROR(VLOOKUP($B342,'TB YTD'!$4:$1048576,MATCH('List of Ledgers '!P$4,'TB YTD'!$4:$4,0),0),0)</f>
        <v>153799.29</v>
      </c>
      <c r="Q342" s="63">
        <f>IFERROR(VLOOKUP($B342,'TB YTD'!$4:$1048576,MATCH('List of Ledgers '!Q$4,'TB YTD'!$4:$4,0),0),0)</f>
        <v>0</v>
      </c>
      <c r="R342" s="63"/>
    </row>
    <row r="343" spans="1:18" hidden="1" x14ac:dyDescent="0.25">
      <c r="A343" s="106">
        <v>331</v>
      </c>
      <c r="B343" s="8" t="s">
        <v>542</v>
      </c>
      <c r="C343" s="8" t="s">
        <v>293</v>
      </c>
      <c r="D343" s="17"/>
      <c r="E343" s="17"/>
      <c r="G343" s="17"/>
      <c r="H343" s="62"/>
      <c r="I343" s="37">
        <f>IFERROR(VLOOKUP(B343,'TB '!$A:$G,7,),0)</f>
        <v>3790.08</v>
      </c>
      <c r="J343" s="37">
        <f>IFERROR(VLOOKUP($B343,'TB '!$4:$1048576,MATCH('List of Ledgers '!J$4,'TB '!$4:$4,0),0),0)</f>
        <v>0</v>
      </c>
      <c r="K343" s="37">
        <f>IFERROR(VLOOKUP($B343,'TB '!$4:$1048576,MATCH('List of Ledgers '!K$4,'TB '!$4:$4,0),0),0)</f>
        <v>0</v>
      </c>
      <c r="L343" s="37">
        <f>IFERROR(VLOOKUP(B343,'TB '!$A:$J,10,),0)</f>
        <v>3790.08</v>
      </c>
      <c r="M343" s="71"/>
      <c r="N343" s="63">
        <f>IFERROR(VLOOKUP($B343,'TB YTD'!$4:$1048576,MATCH('List of Ledgers '!N$4,'TB YTD'!$4:$4,0),0),0)</f>
        <v>0</v>
      </c>
      <c r="O343" s="63">
        <f>IFERROR(VLOOKUP($B343,'TB YTD'!$4:$1048576,MATCH('List of Ledgers '!O$4,'TB YTD'!$4:$4,0),0),0)</f>
        <v>12224.35</v>
      </c>
      <c r="P343" s="63">
        <f>IFERROR(VLOOKUP($B343,'TB YTD'!$4:$1048576,MATCH('List of Ledgers '!P$4,'TB YTD'!$4:$4,0),0),0)</f>
        <v>8434.27</v>
      </c>
      <c r="Q343" s="63">
        <f>IFERROR(VLOOKUP($B343,'TB YTD'!$4:$1048576,MATCH('List of Ledgers '!Q$4,'TB YTD'!$4:$4,0),0),0)</f>
        <v>3790.08</v>
      </c>
      <c r="R343" s="63"/>
    </row>
    <row r="344" spans="1:18" hidden="1" x14ac:dyDescent="0.25">
      <c r="A344" s="106">
        <v>332</v>
      </c>
      <c r="B344" s="8" t="s">
        <v>543</v>
      </c>
      <c r="C344" s="8" t="s">
        <v>293</v>
      </c>
      <c r="D344" s="17"/>
      <c r="E344" s="17"/>
      <c r="G344" s="17"/>
      <c r="H344" s="62"/>
      <c r="I344" s="37">
        <f>IFERROR(VLOOKUP(B344,'TB '!$A:$G,7,),0)</f>
        <v>675475.88</v>
      </c>
      <c r="J344" s="37">
        <f>IFERROR(VLOOKUP($B344,'TB '!$4:$1048576,MATCH('List of Ledgers '!J$4,'TB '!$4:$4,0),0),0)</f>
        <v>123630.03</v>
      </c>
      <c r="K344" s="37">
        <f>IFERROR(VLOOKUP($B344,'TB '!$4:$1048576,MATCH('List of Ledgers '!K$4,'TB '!$4:$4,0),0),0)</f>
        <v>0</v>
      </c>
      <c r="L344" s="37">
        <f>IFERROR(VLOOKUP(B344,'TB '!$A:$J,10,),0)</f>
        <v>799105.91</v>
      </c>
      <c r="M344" s="71"/>
      <c r="N344" s="63">
        <f>IFERROR(VLOOKUP($B344,'TB YTD'!$4:$1048576,MATCH('List of Ledgers '!N$4,'TB YTD'!$4:$4,0),0),0)</f>
        <v>-518342</v>
      </c>
      <c r="O344" s="63">
        <f>IFERROR(VLOOKUP($B344,'TB YTD'!$4:$1048576,MATCH('List of Ledgers '!O$4,'TB YTD'!$4:$4,0),0),0)</f>
        <v>21702186.170000002</v>
      </c>
      <c r="P344" s="63">
        <f>IFERROR(VLOOKUP($B344,'TB YTD'!$4:$1048576,MATCH('List of Ledgers '!P$4,'TB YTD'!$4:$4,0),0),0)</f>
        <v>20384738.260000002</v>
      </c>
      <c r="Q344" s="63">
        <f>IFERROR(VLOOKUP($B344,'TB YTD'!$4:$1048576,MATCH('List of Ledgers '!Q$4,'TB YTD'!$4:$4,0),0),0)</f>
        <v>799105.91</v>
      </c>
      <c r="R344" s="63"/>
    </row>
    <row r="345" spans="1:18" hidden="1" x14ac:dyDescent="0.25">
      <c r="A345" s="106">
        <v>333</v>
      </c>
      <c r="B345" s="8" t="s">
        <v>544</v>
      </c>
      <c r="C345" s="8" t="s">
        <v>293</v>
      </c>
      <c r="D345" s="17"/>
      <c r="E345" s="17"/>
      <c r="G345" s="17"/>
      <c r="H345" s="62"/>
      <c r="I345" s="37">
        <f>IFERROR(VLOOKUP(B345,'TB '!$A:$G,7,),0)</f>
        <v>214404.69</v>
      </c>
      <c r="J345" s="37">
        <f>IFERROR(VLOOKUP($B345,'TB '!$4:$1048576,MATCH('List of Ledgers '!J$4,'TB '!$4:$4,0),0),0)</f>
        <v>2038318.32</v>
      </c>
      <c r="K345" s="37">
        <f>IFERROR(VLOOKUP($B345,'TB '!$4:$1048576,MATCH('List of Ledgers '!K$4,'TB '!$4:$4,0),0),0)</f>
        <v>3553930.14</v>
      </c>
      <c r="L345" s="37">
        <f>IFERROR(VLOOKUP(B345,'TB '!$A:$J,10,),0)</f>
        <v>-1301207.1299999999</v>
      </c>
      <c r="M345" s="71"/>
      <c r="N345" s="63">
        <f>IFERROR(VLOOKUP($B345,'TB YTD'!$4:$1048576,MATCH('List of Ledgers '!N$4,'TB YTD'!$4:$4,0),0),0)</f>
        <v>0</v>
      </c>
      <c r="O345" s="63">
        <f>IFERROR(VLOOKUP($B345,'TB YTD'!$4:$1048576,MATCH('List of Ledgers '!O$4,'TB YTD'!$4:$4,0),0),0)</f>
        <v>4302890.2</v>
      </c>
      <c r="P345" s="63">
        <f>IFERROR(VLOOKUP($B345,'TB YTD'!$4:$1048576,MATCH('List of Ledgers '!P$4,'TB YTD'!$4:$4,0),0),0)</f>
        <v>5604097.3300000001</v>
      </c>
      <c r="Q345" s="63">
        <f>IFERROR(VLOOKUP($B345,'TB YTD'!$4:$1048576,MATCH('List of Ledgers '!Q$4,'TB YTD'!$4:$4,0),0),0)</f>
        <v>-1301207.1299999999</v>
      </c>
      <c r="R345" s="63"/>
    </row>
    <row r="346" spans="1:18" hidden="1" x14ac:dyDescent="0.25">
      <c r="A346" s="106">
        <v>334</v>
      </c>
      <c r="B346" s="8" t="s">
        <v>545</v>
      </c>
      <c r="C346" s="8" t="s">
        <v>546</v>
      </c>
      <c r="D346" s="17" t="s">
        <v>128</v>
      </c>
      <c r="E346" s="17" t="s">
        <v>134</v>
      </c>
      <c r="G346" s="17" t="s">
        <v>7</v>
      </c>
      <c r="H346" s="62"/>
      <c r="I346" s="37">
        <f>IFERROR(VLOOKUP(B346,'TB '!$A:$G,7,),0)</f>
        <v>0</v>
      </c>
      <c r="J346" s="37">
        <f>IFERROR(VLOOKUP($B346,'TB '!$4:$1048576,MATCH('List of Ledgers '!J$4,'TB '!$4:$4,0),0),0)</f>
        <v>0</v>
      </c>
      <c r="K346" s="37">
        <f>IFERROR(VLOOKUP($B346,'TB '!$4:$1048576,MATCH('List of Ledgers '!K$4,'TB '!$4:$4,0),0),0)</f>
        <v>0</v>
      </c>
      <c r="L346" s="37">
        <f>IFERROR(VLOOKUP(B346,'TB '!$A:$J,10,),0)</f>
        <v>0</v>
      </c>
      <c r="M346" s="71"/>
      <c r="N346" s="63">
        <f>IFERROR(VLOOKUP($B346,'TB YTD'!$4:$1048576,MATCH('List of Ledgers '!N$4,'TB YTD'!$4:$4,0),0),0)</f>
        <v>0</v>
      </c>
      <c r="O346" s="63">
        <f>IFERROR(VLOOKUP($B346,'TB YTD'!$4:$1048576,MATCH('List of Ledgers '!O$4,'TB YTD'!$4:$4,0),0),0)</f>
        <v>0</v>
      </c>
      <c r="P346" s="63">
        <f>IFERROR(VLOOKUP($B346,'TB YTD'!$4:$1048576,MATCH('List of Ledgers '!P$4,'TB YTD'!$4:$4,0),0),0)</f>
        <v>0</v>
      </c>
      <c r="Q346" s="63">
        <f>IFERROR(VLOOKUP($B346,'TB YTD'!$4:$1048576,MATCH('List of Ledgers '!Q$4,'TB YTD'!$4:$4,0),0),0)</f>
        <v>0</v>
      </c>
      <c r="R346" s="63"/>
    </row>
    <row r="347" spans="1:18" hidden="1" x14ac:dyDescent="0.25">
      <c r="A347" s="106">
        <v>335</v>
      </c>
      <c r="B347" s="8" t="s">
        <v>547</v>
      </c>
      <c r="C347" s="8" t="s">
        <v>146</v>
      </c>
      <c r="D347" s="17"/>
      <c r="E347" s="17"/>
      <c r="G347" s="17"/>
      <c r="H347" s="62"/>
      <c r="I347" s="37">
        <f>IFERROR(VLOOKUP(B347,'TB '!$A:$G,7,),0)</f>
        <v>1067760</v>
      </c>
      <c r="J347" s="37">
        <f>IFERROR(VLOOKUP($B347,'TB '!$4:$1048576,MATCH('List of Ledgers '!J$4,'TB '!$4:$4,0),0),0)</f>
        <v>0</v>
      </c>
      <c r="K347" s="37">
        <f>IFERROR(VLOOKUP($B347,'TB '!$4:$1048576,MATCH('List of Ledgers '!K$4,'TB '!$4:$4,0),0),0)</f>
        <v>0</v>
      </c>
      <c r="L347" s="37">
        <f>IFERROR(VLOOKUP(B347,'TB '!$A:$J,10,),0)</f>
        <v>1067760</v>
      </c>
      <c r="M347" s="71"/>
      <c r="N347" s="63">
        <f>IFERROR(VLOOKUP($B347,'TB YTD'!$4:$1048576,MATCH('List of Ledgers '!N$4,'TB YTD'!$4:$4,0),0),0)</f>
        <v>1067760</v>
      </c>
      <c r="O347" s="63">
        <f>IFERROR(VLOOKUP($B347,'TB YTD'!$4:$1048576,MATCH('List of Ledgers '!O$4,'TB YTD'!$4:$4,0),0),0)</f>
        <v>0</v>
      </c>
      <c r="P347" s="63">
        <f>IFERROR(VLOOKUP($B347,'TB YTD'!$4:$1048576,MATCH('List of Ledgers '!P$4,'TB YTD'!$4:$4,0),0),0)</f>
        <v>0</v>
      </c>
      <c r="Q347" s="63">
        <f>IFERROR(VLOOKUP($B347,'TB YTD'!$4:$1048576,MATCH('List of Ledgers '!Q$4,'TB YTD'!$4:$4,0),0),0)</f>
        <v>1067760</v>
      </c>
      <c r="R347" s="63"/>
    </row>
    <row r="348" spans="1:18" hidden="1" x14ac:dyDescent="0.25">
      <c r="A348" s="106">
        <v>336</v>
      </c>
      <c r="B348" s="8" t="s">
        <v>548</v>
      </c>
      <c r="C348" s="8" t="s">
        <v>146</v>
      </c>
      <c r="D348" s="17"/>
      <c r="E348" s="17"/>
      <c r="G348" s="17"/>
      <c r="H348" s="62"/>
      <c r="I348" s="37">
        <f>IFERROR(VLOOKUP(B348,'TB '!$A:$G,7,),0)</f>
        <v>-44770</v>
      </c>
      <c r="J348" s="37">
        <f>IFERROR(VLOOKUP($B348,'TB '!$4:$1048576,MATCH('List of Ledgers '!J$4,'TB '!$4:$4,0),0),0)</f>
        <v>0</v>
      </c>
      <c r="K348" s="37">
        <f>IFERROR(VLOOKUP($B348,'TB '!$4:$1048576,MATCH('List of Ledgers '!K$4,'TB '!$4:$4,0),0),0)</f>
        <v>0</v>
      </c>
      <c r="L348" s="37">
        <f>IFERROR(VLOOKUP(B348,'TB '!$A:$J,10,),0)</f>
        <v>-44770</v>
      </c>
      <c r="M348" s="71"/>
      <c r="N348" s="63">
        <f>IFERROR(VLOOKUP($B348,'TB YTD'!$4:$1048576,MATCH('List of Ledgers '!N$4,'TB YTD'!$4:$4,0),0),0)</f>
        <v>-44770</v>
      </c>
      <c r="O348" s="63">
        <f>IFERROR(VLOOKUP($B348,'TB YTD'!$4:$1048576,MATCH('List of Ledgers '!O$4,'TB YTD'!$4:$4,0),0),0)</f>
        <v>0</v>
      </c>
      <c r="P348" s="63">
        <f>IFERROR(VLOOKUP($B348,'TB YTD'!$4:$1048576,MATCH('List of Ledgers '!P$4,'TB YTD'!$4:$4,0),0),0)</f>
        <v>0</v>
      </c>
      <c r="Q348" s="63">
        <f>IFERROR(VLOOKUP($B348,'TB YTD'!$4:$1048576,MATCH('List of Ledgers '!Q$4,'TB YTD'!$4:$4,0),0),0)</f>
        <v>-44770</v>
      </c>
      <c r="R348" s="63"/>
    </row>
    <row r="349" spans="1:18" hidden="1" x14ac:dyDescent="0.25">
      <c r="A349" s="106">
        <v>337</v>
      </c>
      <c r="B349" s="8" t="s">
        <v>549</v>
      </c>
      <c r="C349" s="8" t="s">
        <v>140</v>
      </c>
      <c r="D349" s="17" t="s">
        <v>128</v>
      </c>
      <c r="E349" s="17" t="s">
        <v>131</v>
      </c>
      <c r="G349" s="17" t="s">
        <v>7</v>
      </c>
      <c r="H349" s="62"/>
      <c r="I349" s="37">
        <f>IFERROR(VLOOKUP(B349,'TB '!$A:$G,7,),0)</f>
        <v>0</v>
      </c>
      <c r="J349" s="37">
        <f>IFERROR(VLOOKUP($B349,'TB '!$4:$1048576,MATCH('List of Ledgers '!J$4,'TB '!$4:$4,0),0),0)</f>
        <v>0</v>
      </c>
      <c r="K349" s="37">
        <f>IFERROR(VLOOKUP($B349,'TB '!$4:$1048576,MATCH('List of Ledgers '!K$4,'TB '!$4:$4,0),0),0)</f>
        <v>0</v>
      </c>
      <c r="L349" s="37">
        <f>IFERROR(VLOOKUP(B349,'TB '!$A:$J,10,),0)</f>
        <v>0</v>
      </c>
      <c r="M349" s="71"/>
      <c r="N349" s="63">
        <f>IFERROR(VLOOKUP($B349,'TB YTD'!$4:$1048576,MATCH('List of Ledgers '!N$4,'TB YTD'!$4:$4,0),0),0)</f>
        <v>0</v>
      </c>
      <c r="O349" s="63">
        <f>IFERROR(VLOOKUP($B349,'TB YTD'!$4:$1048576,MATCH('List of Ledgers '!O$4,'TB YTD'!$4:$4,0),0),0)</f>
        <v>14637.12</v>
      </c>
      <c r="P349" s="63">
        <f>IFERROR(VLOOKUP($B349,'TB YTD'!$4:$1048576,MATCH('List of Ledgers '!P$4,'TB YTD'!$4:$4,0),0),0)</f>
        <v>14637.12</v>
      </c>
      <c r="Q349" s="63">
        <f>IFERROR(VLOOKUP($B349,'TB YTD'!$4:$1048576,MATCH('List of Ledgers '!Q$4,'TB YTD'!$4:$4,0),0),0)</f>
        <v>0</v>
      </c>
      <c r="R349" s="63"/>
    </row>
    <row r="350" spans="1:18" hidden="1" x14ac:dyDescent="0.25">
      <c r="A350" s="106">
        <v>338</v>
      </c>
      <c r="B350" s="8" t="s">
        <v>550</v>
      </c>
      <c r="C350" s="8" t="s">
        <v>136</v>
      </c>
      <c r="D350" s="12" t="s">
        <v>128</v>
      </c>
      <c r="E350" s="12" t="s">
        <v>134</v>
      </c>
      <c r="G350" s="12" t="s">
        <v>2</v>
      </c>
      <c r="H350" s="62"/>
      <c r="I350" s="37">
        <f>IFERROR(VLOOKUP(B350,'TB '!$A:$G,7,),0)</f>
        <v>90097</v>
      </c>
      <c r="J350" s="37">
        <f>IFERROR(VLOOKUP($B350,'TB '!$4:$1048576,MATCH('List of Ledgers '!J$4,'TB '!$4:$4,0),0),0)</f>
        <v>0</v>
      </c>
      <c r="K350" s="37">
        <f>IFERROR(VLOOKUP($B350,'TB '!$4:$1048576,MATCH('List of Ledgers '!K$4,'TB '!$4:$4,0),0),0)</f>
        <v>0</v>
      </c>
      <c r="L350" s="37">
        <f>IFERROR(VLOOKUP(B350,'TB '!$A:$J,10,),0)</f>
        <v>90097</v>
      </c>
      <c r="M350" s="71"/>
      <c r="N350" s="63">
        <f>IFERROR(VLOOKUP($B350,'TB YTD'!$4:$1048576,MATCH('List of Ledgers '!N$4,'TB YTD'!$4:$4,0),0),0)</f>
        <v>90097</v>
      </c>
      <c r="O350" s="63">
        <f>IFERROR(VLOOKUP($B350,'TB YTD'!$4:$1048576,MATCH('List of Ledgers '!O$4,'TB YTD'!$4:$4,0),0),0)</f>
        <v>0</v>
      </c>
      <c r="P350" s="63">
        <f>IFERROR(VLOOKUP($B350,'TB YTD'!$4:$1048576,MATCH('List of Ledgers '!P$4,'TB YTD'!$4:$4,0),0),0)</f>
        <v>0</v>
      </c>
      <c r="Q350" s="63">
        <f>IFERROR(VLOOKUP($B350,'TB YTD'!$4:$1048576,MATCH('List of Ledgers '!Q$4,'TB YTD'!$4:$4,0),0),0)</f>
        <v>90097</v>
      </c>
      <c r="R350" s="63"/>
    </row>
    <row r="351" spans="1:18" hidden="1" x14ac:dyDescent="0.25">
      <c r="A351" s="106">
        <v>339</v>
      </c>
      <c r="B351" s="8" t="s">
        <v>551</v>
      </c>
      <c r="C351" s="8" t="s">
        <v>158</v>
      </c>
      <c r="D351" s="17" t="s">
        <v>128</v>
      </c>
      <c r="E351" s="17" t="s">
        <v>131</v>
      </c>
      <c r="G351" s="17" t="s">
        <v>4</v>
      </c>
      <c r="H351" s="62"/>
      <c r="I351" s="37">
        <f>IFERROR(VLOOKUP(B351,'TB '!$A:$G,7,),0)</f>
        <v>0</v>
      </c>
      <c r="J351" s="37">
        <f>IFERROR(VLOOKUP($B351,'TB '!$4:$1048576,MATCH('List of Ledgers '!J$4,'TB '!$4:$4,0),0),0)</f>
        <v>0</v>
      </c>
      <c r="K351" s="37">
        <f>IFERROR(VLOOKUP($B351,'TB '!$4:$1048576,MATCH('List of Ledgers '!K$4,'TB '!$4:$4,0),0),0)</f>
        <v>0</v>
      </c>
      <c r="L351" s="37">
        <f>IFERROR(VLOOKUP(B351,'TB '!$A:$J,10,),0)</f>
        <v>0</v>
      </c>
      <c r="M351" s="71"/>
      <c r="N351" s="63">
        <f>IFERROR(VLOOKUP($B351,'TB YTD'!$4:$1048576,MATCH('List of Ledgers '!N$4,'TB YTD'!$4:$4,0),0),0)</f>
        <v>0</v>
      </c>
      <c r="O351" s="63">
        <f>IFERROR(VLOOKUP($B351,'TB YTD'!$4:$1048576,MATCH('List of Ledgers '!O$4,'TB YTD'!$4:$4,0),0),0)</f>
        <v>0</v>
      </c>
      <c r="P351" s="63">
        <f>IFERROR(VLOOKUP($B351,'TB YTD'!$4:$1048576,MATCH('List of Ledgers '!P$4,'TB YTD'!$4:$4,0),0),0)</f>
        <v>0</v>
      </c>
      <c r="Q351" s="63">
        <f>IFERROR(VLOOKUP($B351,'TB YTD'!$4:$1048576,MATCH('List of Ledgers '!Q$4,'TB YTD'!$4:$4,0),0),0)</f>
        <v>0</v>
      </c>
      <c r="R351" s="63"/>
    </row>
    <row r="352" spans="1:18" hidden="1" x14ac:dyDescent="0.25">
      <c r="A352" s="106">
        <v>340</v>
      </c>
      <c r="B352" s="8" t="s">
        <v>552</v>
      </c>
      <c r="C352" s="8" t="s">
        <v>140</v>
      </c>
      <c r="D352" s="17" t="s">
        <v>128</v>
      </c>
      <c r="E352" s="17" t="s">
        <v>131</v>
      </c>
      <c r="G352" s="17" t="s">
        <v>7</v>
      </c>
      <c r="H352" s="62"/>
      <c r="I352" s="37">
        <f>IFERROR(VLOOKUP(B352,'TB '!$A:$G,7,),0)</f>
        <v>0</v>
      </c>
      <c r="J352" s="37">
        <f>IFERROR(VLOOKUP($B352,'TB '!$4:$1048576,MATCH('List of Ledgers '!J$4,'TB '!$4:$4,0),0),0)</f>
        <v>0</v>
      </c>
      <c r="K352" s="37">
        <f>IFERROR(VLOOKUP($B352,'TB '!$4:$1048576,MATCH('List of Ledgers '!K$4,'TB '!$4:$4,0),0),0)</f>
        <v>0</v>
      </c>
      <c r="L352" s="37">
        <f>IFERROR(VLOOKUP(B352,'TB '!$A:$J,10,),0)</f>
        <v>0</v>
      </c>
      <c r="M352" s="71"/>
      <c r="N352" s="63">
        <f>IFERROR(VLOOKUP($B352,'TB YTD'!$4:$1048576,MATCH('List of Ledgers '!N$4,'TB YTD'!$4:$4,0),0),0)</f>
        <v>0</v>
      </c>
      <c r="O352" s="63">
        <f>IFERROR(VLOOKUP($B352,'TB YTD'!$4:$1048576,MATCH('List of Ledgers '!O$4,'TB YTD'!$4:$4,0),0),0)</f>
        <v>31186.03</v>
      </c>
      <c r="P352" s="63">
        <f>IFERROR(VLOOKUP($B352,'TB YTD'!$4:$1048576,MATCH('List of Ledgers '!P$4,'TB YTD'!$4:$4,0),0),0)</f>
        <v>31186.03</v>
      </c>
      <c r="Q352" s="63">
        <f>IFERROR(VLOOKUP($B352,'TB YTD'!$4:$1048576,MATCH('List of Ledgers '!Q$4,'TB YTD'!$4:$4,0),0),0)</f>
        <v>0</v>
      </c>
      <c r="R352" s="63"/>
    </row>
    <row r="353" spans="1:18" hidden="1" x14ac:dyDescent="0.25">
      <c r="A353" s="106">
        <v>341</v>
      </c>
      <c r="B353" s="8" t="s">
        <v>553</v>
      </c>
      <c r="C353" s="8" t="s">
        <v>140</v>
      </c>
      <c r="D353" s="17" t="s">
        <v>128</v>
      </c>
      <c r="E353" s="17" t="s">
        <v>131</v>
      </c>
      <c r="G353" s="17" t="s">
        <v>7</v>
      </c>
      <c r="H353" s="62"/>
      <c r="I353" s="37">
        <f>IFERROR(VLOOKUP(B353,'TB '!$A:$G,7,),0)</f>
        <v>0</v>
      </c>
      <c r="J353" s="37">
        <f>IFERROR(VLOOKUP($B353,'TB '!$4:$1048576,MATCH('List of Ledgers '!J$4,'TB '!$4:$4,0),0),0)</f>
        <v>0</v>
      </c>
      <c r="K353" s="37">
        <f>IFERROR(VLOOKUP($B353,'TB '!$4:$1048576,MATCH('List of Ledgers '!K$4,'TB '!$4:$4,0),0),0)</f>
        <v>0</v>
      </c>
      <c r="L353" s="37">
        <f>IFERROR(VLOOKUP(B353,'TB '!$A:$J,10,),0)</f>
        <v>0</v>
      </c>
      <c r="M353" s="71"/>
      <c r="N353" s="63">
        <f>IFERROR(VLOOKUP($B353,'TB YTD'!$4:$1048576,MATCH('List of Ledgers '!N$4,'TB YTD'!$4:$4,0),0),0)</f>
        <v>0</v>
      </c>
      <c r="O353" s="63">
        <f>IFERROR(VLOOKUP($B353,'TB YTD'!$4:$1048576,MATCH('List of Ledgers '!O$4,'TB YTD'!$4:$4,0),0),0)</f>
        <v>62386</v>
      </c>
      <c r="P353" s="63">
        <f>IFERROR(VLOOKUP($B353,'TB YTD'!$4:$1048576,MATCH('List of Ledgers '!P$4,'TB YTD'!$4:$4,0),0),0)</f>
        <v>62386</v>
      </c>
      <c r="Q353" s="63">
        <f>IFERROR(VLOOKUP($B353,'TB YTD'!$4:$1048576,MATCH('List of Ledgers '!Q$4,'TB YTD'!$4:$4,0),0),0)</f>
        <v>0</v>
      </c>
      <c r="R353" s="63"/>
    </row>
    <row r="354" spans="1:18" hidden="1" x14ac:dyDescent="0.25">
      <c r="A354" s="106">
        <v>342</v>
      </c>
      <c r="B354" s="151" t="s">
        <v>554</v>
      </c>
      <c r="C354" s="151" t="s">
        <v>158</v>
      </c>
      <c r="D354" s="12" t="s">
        <v>128</v>
      </c>
      <c r="E354" s="12" t="s">
        <v>131</v>
      </c>
      <c r="G354" s="17" t="s">
        <v>4</v>
      </c>
      <c r="I354" s="37">
        <f>IFERROR(VLOOKUP(B354,'TB '!$A:$G,7,),0)</f>
        <v>0</v>
      </c>
      <c r="J354" s="37">
        <f>IFERROR(VLOOKUP($B354,'TB '!$4:$1048576,MATCH('List of Ledgers '!J$4,'TB '!$4:$4,0),0),0)</f>
        <v>0</v>
      </c>
      <c r="K354" s="37">
        <f>IFERROR(VLOOKUP($B354,'TB '!$4:$1048576,MATCH('List of Ledgers '!K$4,'TB '!$4:$4,0),0),0)</f>
        <v>0</v>
      </c>
      <c r="L354" s="37">
        <f>IFERROR(VLOOKUP(B354,'TB '!$A:$J,10,),0)</f>
        <v>0</v>
      </c>
      <c r="M354" s="71"/>
      <c r="N354" s="63">
        <f>IFERROR(VLOOKUP($B354,'TB YTD'!$4:$1048576,MATCH('List of Ledgers '!N$4,'TB YTD'!$4:$4,0),0),0)</f>
        <v>0</v>
      </c>
      <c r="O354" s="63">
        <f>IFERROR(VLOOKUP($B354,'TB YTD'!$4:$1048576,MATCH('List of Ledgers '!O$4,'TB YTD'!$4:$4,0),0),0)</f>
        <v>89147</v>
      </c>
      <c r="P354" s="63">
        <f>IFERROR(VLOOKUP($B354,'TB YTD'!$4:$1048576,MATCH('List of Ledgers '!P$4,'TB YTD'!$4:$4,0),0),0)</f>
        <v>89147</v>
      </c>
      <c r="Q354" s="63">
        <f>IFERROR(VLOOKUP($B354,'TB YTD'!$4:$1048576,MATCH('List of Ledgers '!Q$4,'TB YTD'!$4:$4,0),0),0)</f>
        <v>0</v>
      </c>
    </row>
    <row r="355" spans="1:18" hidden="1" x14ac:dyDescent="0.25">
      <c r="A355" s="106">
        <v>343</v>
      </c>
      <c r="B355" s="8" t="s">
        <v>555</v>
      </c>
      <c r="C355" s="8" t="s">
        <v>158</v>
      </c>
      <c r="D355" s="17" t="s">
        <v>128</v>
      </c>
      <c r="E355" s="17" t="s">
        <v>131</v>
      </c>
      <c r="G355" s="17" t="s">
        <v>4</v>
      </c>
      <c r="H355" s="62"/>
      <c r="I355" s="37">
        <f>IFERROR(VLOOKUP(B355,'TB '!$A:$G,7,),0)</f>
        <v>0</v>
      </c>
      <c r="J355" s="37">
        <f>IFERROR(VLOOKUP($B355,'TB '!$4:$1048576,MATCH('List of Ledgers '!J$4,'TB '!$4:$4,0),0),0)</f>
        <v>0</v>
      </c>
      <c r="K355" s="37">
        <f>IFERROR(VLOOKUP($B355,'TB '!$4:$1048576,MATCH('List of Ledgers '!K$4,'TB '!$4:$4,0),0),0)</f>
        <v>0</v>
      </c>
      <c r="L355" s="37">
        <f>IFERROR(VLOOKUP(B355,'TB '!$A:$J,10,),0)</f>
        <v>0</v>
      </c>
      <c r="M355" s="71"/>
      <c r="N355" s="63">
        <f>IFERROR(VLOOKUP($B355,'TB YTD'!$4:$1048576,MATCH('List of Ledgers '!N$4,'TB YTD'!$4:$4,0),0),0)</f>
        <v>-22420</v>
      </c>
      <c r="O355" s="63">
        <f>IFERROR(VLOOKUP($B355,'TB YTD'!$4:$1048576,MATCH('List of Ledgers '!O$4,'TB YTD'!$4:$4,0),0),0)</f>
        <v>22420</v>
      </c>
      <c r="P355" s="63">
        <f>IFERROR(VLOOKUP($B355,'TB YTD'!$4:$1048576,MATCH('List of Ledgers '!P$4,'TB YTD'!$4:$4,0),0),0)</f>
        <v>0</v>
      </c>
      <c r="Q355" s="63">
        <f>IFERROR(VLOOKUP($B355,'TB YTD'!$4:$1048576,MATCH('List of Ledgers '!Q$4,'TB YTD'!$4:$4,0),0),0)</f>
        <v>0</v>
      </c>
      <c r="R355" s="63"/>
    </row>
    <row r="356" spans="1:18" hidden="1" x14ac:dyDescent="0.25">
      <c r="A356" s="106">
        <v>344</v>
      </c>
      <c r="B356" s="8" t="s">
        <v>556</v>
      </c>
      <c r="C356" s="8" t="s">
        <v>158</v>
      </c>
      <c r="D356" s="17" t="s">
        <v>128</v>
      </c>
      <c r="E356" s="17" t="s">
        <v>131</v>
      </c>
      <c r="G356" s="17" t="s">
        <v>4</v>
      </c>
      <c r="H356" s="62"/>
      <c r="I356" s="37">
        <f>IFERROR(VLOOKUP(B356,'TB '!$A:$G,7,),0)</f>
        <v>0</v>
      </c>
      <c r="J356" s="37">
        <f>IFERROR(VLOOKUP($B356,'TB '!$4:$1048576,MATCH('List of Ledgers '!J$4,'TB '!$4:$4,0),0),0)</f>
        <v>0</v>
      </c>
      <c r="K356" s="37">
        <f>IFERROR(VLOOKUP($B356,'TB '!$4:$1048576,MATCH('List of Ledgers '!K$4,'TB '!$4:$4,0),0),0)</f>
        <v>0</v>
      </c>
      <c r="L356" s="37">
        <f>IFERROR(VLOOKUP(B356,'TB '!$A:$J,10,),0)</f>
        <v>0</v>
      </c>
      <c r="M356" s="71"/>
      <c r="N356" s="63">
        <f>IFERROR(VLOOKUP($B356,'TB YTD'!$4:$1048576,MATCH('List of Ledgers '!N$4,'TB YTD'!$4:$4,0),0),0)</f>
        <v>0</v>
      </c>
      <c r="O356" s="63">
        <f>IFERROR(VLOOKUP($B356,'TB YTD'!$4:$1048576,MATCH('List of Ledgers '!O$4,'TB YTD'!$4:$4,0),0),0)</f>
        <v>318600</v>
      </c>
      <c r="P356" s="63">
        <f>IFERROR(VLOOKUP($B356,'TB YTD'!$4:$1048576,MATCH('List of Ledgers '!P$4,'TB YTD'!$4:$4,0),0),0)</f>
        <v>318600</v>
      </c>
      <c r="Q356" s="63">
        <f>IFERROR(VLOOKUP($B356,'TB YTD'!$4:$1048576,MATCH('List of Ledgers '!Q$4,'TB YTD'!$4:$4,0),0),0)</f>
        <v>0</v>
      </c>
      <c r="R356" s="63"/>
    </row>
    <row r="357" spans="1:18" hidden="1" x14ac:dyDescent="0.25">
      <c r="A357" s="106">
        <v>345</v>
      </c>
      <c r="B357" s="8" t="s">
        <v>557</v>
      </c>
      <c r="C357" s="8" t="s">
        <v>558</v>
      </c>
      <c r="D357" s="17" t="s">
        <v>128</v>
      </c>
      <c r="E357" s="17" t="s">
        <v>134</v>
      </c>
      <c r="G357" s="17" t="s">
        <v>2</v>
      </c>
      <c r="H357" s="62"/>
      <c r="I357" s="37">
        <f>IFERROR(VLOOKUP(B357,'TB '!$A:$G,7,),0)</f>
        <v>-12803</v>
      </c>
      <c r="J357" s="37">
        <f>IFERROR(VLOOKUP($B357,'TB '!$4:$1048576,MATCH('List of Ledgers '!J$4,'TB '!$4:$4,0),0),0)</f>
        <v>0</v>
      </c>
      <c r="K357" s="37">
        <f>IFERROR(VLOOKUP($B357,'TB '!$4:$1048576,MATCH('List of Ledgers '!K$4,'TB '!$4:$4,0),0),0)</f>
        <v>0</v>
      </c>
      <c r="L357" s="37">
        <f>IFERROR(VLOOKUP(B357,'TB '!$A:$J,10,),0)</f>
        <v>-12803</v>
      </c>
      <c r="M357" s="71"/>
      <c r="N357" s="63">
        <f>IFERROR(VLOOKUP($B357,'TB YTD'!$4:$1048576,MATCH('List of Ledgers '!N$4,'TB YTD'!$4:$4,0),0),0)</f>
        <v>-12803</v>
      </c>
      <c r="O357" s="63">
        <f>IFERROR(VLOOKUP($B357,'TB YTD'!$4:$1048576,MATCH('List of Ledgers '!O$4,'TB YTD'!$4:$4,0),0),0)</f>
        <v>0</v>
      </c>
      <c r="P357" s="63">
        <f>IFERROR(VLOOKUP($B357,'TB YTD'!$4:$1048576,MATCH('List of Ledgers '!P$4,'TB YTD'!$4:$4,0),0),0)</f>
        <v>0</v>
      </c>
      <c r="Q357" s="63">
        <f>IFERROR(VLOOKUP($B357,'TB YTD'!$4:$1048576,MATCH('List of Ledgers '!Q$4,'TB YTD'!$4:$4,0),0),0)</f>
        <v>-12803</v>
      </c>
      <c r="R357" s="63"/>
    </row>
    <row r="358" spans="1:18" hidden="1" x14ac:dyDescent="0.25">
      <c r="A358" s="106">
        <v>346</v>
      </c>
      <c r="B358" s="8" t="s">
        <v>559</v>
      </c>
      <c r="C358" s="8" t="s">
        <v>183</v>
      </c>
      <c r="D358" s="17" t="s">
        <v>128</v>
      </c>
      <c r="E358" s="17" t="s">
        <v>134</v>
      </c>
      <c r="G358" s="17" t="s">
        <v>2</v>
      </c>
      <c r="H358" s="62"/>
      <c r="I358" s="37">
        <f>IFERROR(VLOOKUP(B358,'TB '!$A:$G,7,),0)</f>
        <v>0</v>
      </c>
      <c r="J358" s="37">
        <f>IFERROR(VLOOKUP($B358,'TB '!$4:$1048576,MATCH('List of Ledgers '!J$4,'TB '!$4:$4,0),0),0)</f>
        <v>0</v>
      </c>
      <c r="K358" s="37">
        <f>IFERROR(VLOOKUP($B358,'TB '!$4:$1048576,MATCH('List of Ledgers '!K$4,'TB '!$4:$4,0),0),0)</f>
        <v>0</v>
      </c>
      <c r="L358" s="37">
        <f>IFERROR(VLOOKUP(B358,'TB '!$A:$J,10,),0)</f>
        <v>0</v>
      </c>
      <c r="M358" s="71"/>
      <c r="N358" s="63">
        <f>IFERROR(VLOOKUP($B358,'TB YTD'!$4:$1048576,MATCH('List of Ledgers '!N$4,'TB YTD'!$4:$4,0),0),0)</f>
        <v>0</v>
      </c>
      <c r="O358" s="63">
        <f>IFERROR(VLOOKUP($B358,'TB YTD'!$4:$1048576,MATCH('List of Ledgers '!O$4,'TB YTD'!$4:$4,0),0),0)</f>
        <v>42903</v>
      </c>
      <c r="P358" s="63">
        <f>IFERROR(VLOOKUP($B358,'TB YTD'!$4:$1048576,MATCH('List of Ledgers '!P$4,'TB YTD'!$4:$4,0),0),0)</f>
        <v>42903</v>
      </c>
      <c r="Q358" s="63">
        <f>IFERROR(VLOOKUP($B358,'TB YTD'!$4:$1048576,MATCH('List of Ledgers '!Q$4,'TB YTD'!$4:$4,0),0),0)</f>
        <v>0</v>
      </c>
      <c r="R358" s="63"/>
    </row>
    <row r="359" spans="1:18" hidden="1" x14ac:dyDescent="0.25">
      <c r="A359" s="106">
        <v>347</v>
      </c>
      <c r="B359" s="8" t="s">
        <v>560</v>
      </c>
      <c r="C359" s="8" t="s">
        <v>176</v>
      </c>
      <c r="D359" s="17" t="s">
        <v>128</v>
      </c>
      <c r="E359" s="17" t="s">
        <v>131</v>
      </c>
      <c r="G359" s="17" t="s">
        <v>7</v>
      </c>
      <c r="H359" s="62"/>
      <c r="I359" s="37">
        <f>IFERROR(VLOOKUP(B359,'TB '!$A:$G,7,),0)</f>
        <v>0</v>
      </c>
      <c r="J359" s="37">
        <f>IFERROR(VLOOKUP($B359,'TB '!$4:$1048576,MATCH('List of Ledgers '!J$4,'TB '!$4:$4,0),0),0)</f>
        <v>650</v>
      </c>
      <c r="K359" s="37">
        <f>IFERROR(VLOOKUP($B359,'TB '!$4:$1048576,MATCH('List of Ledgers '!K$4,'TB '!$4:$4,0),0),0)</f>
        <v>650</v>
      </c>
      <c r="L359" s="37">
        <f>IFERROR(VLOOKUP(B359,'TB '!$A:$J,10,),0)</f>
        <v>0</v>
      </c>
      <c r="M359" s="71"/>
      <c r="N359" s="63">
        <f>IFERROR(VLOOKUP($B359,'TB YTD'!$4:$1048576,MATCH('List of Ledgers '!N$4,'TB YTD'!$4:$4,0),0),0)</f>
        <v>0</v>
      </c>
      <c r="O359" s="63">
        <f>IFERROR(VLOOKUP($B359,'TB YTD'!$4:$1048576,MATCH('List of Ledgers '!O$4,'TB YTD'!$4:$4,0),0),0)</f>
        <v>7800</v>
      </c>
      <c r="P359" s="63">
        <f>IFERROR(VLOOKUP($B359,'TB YTD'!$4:$1048576,MATCH('List of Ledgers '!P$4,'TB YTD'!$4:$4,0),0),0)</f>
        <v>7800</v>
      </c>
      <c r="Q359" s="63">
        <f>IFERROR(VLOOKUP($B359,'TB YTD'!$4:$1048576,MATCH('List of Ledgers '!Q$4,'TB YTD'!$4:$4,0),0),0)</f>
        <v>0</v>
      </c>
      <c r="R359" s="63"/>
    </row>
    <row r="360" spans="1:18" hidden="1" x14ac:dyDescent="0.25">
      <c r="A360" s="106">
        <v>348</v>
      </c>
      <c r="B360" s="8" t="s">
        <v>561</v>
      </c>
      <c r="C360" s="8" t="s">
        <v>166</v>
      </c>
      <c r="D360" s="17" t="s">
        <v>151</v>
      </c>
      <c r="E360" s="17" t="s">
        <v>1291</v>
      </c>
      <c r="F360" s="12" t="s">
        <v>52</v>
      </c>
      <c r="G360" s="17" t="s">
        <v>4</v>
      </c>
      <c r="H360" s="62"/>
      <c r="I360" s="37">
        <f>IFERROR(VLOOKUP(B360,'TB '!$A:$G,7,),0)</f>
        <v>0</v>
      </c>
      <c r="J360" s="37">
        <f>IFERROR(VLOOKUP($B360,'TB '!$4:$1048576,MATCH('List of Ledgers '!J$4,'TB '!$4:$4,0),0),0)</f>
        <v>14837</v>
      </c>
      <c r="K360" s="37">
        <f>IFERROR(VLOOKUP($B360,'TB '!$4:$1048576,MATCH('List of Ledgers '!K$4,'TB '!$4:$4,0),0),0)</f>
        <v>0</v>
      </c>
      <c r="L360" s="37">
        <f>IFERROR(VLOOKUP(B360,'TB '!$A:$J,10,),0)</f>
        <v>14837</v>
      </c>
      <c r="M360" s="71"/>
      <c r="N360" s="63">
        <f>IFERROR(VLOOKUP($B360,'TB YTD'!$4:$1048576,MATCH('List of Ledgers '!N$4,'TB YTD'!$4:$4,0),0),0)</f>
        <v>0</v>
      </c>
      <c r="O360" s="63">
        <f>IFERROR(VLOOKUP($B360,'TB YTD'!$4:$1048576,MATCH('List of Ledgers '!O$4,'TB YTD'!$4:$4,0),0),0)</f>
        <v>177005</v>
      </c>
      <c r="P360" s="63">
        <f>IFERROR(VLOOKUP($B360,'TB YTD'!$4:$1048576,MATCH('List of Ledgers '!P$4,'TB YTD'!$4:$4,0),0),0)</f>
        <v>0</v>
      </c>
      <c r="Q360" s="63">
        <f>IFERROR(VLOOKUP($B360,'TB YTD'!$4:$1048576,MATCH('List of Ledgers '!Q$4,'TB YTD'!$4:$4,0),0),0)</f>
        <v>177005</v>
      </c>
      <c r="R360" s="63"/>
    </row>
    <row r="361" spans="1:18" hidden="1" x14ac:dyDescent="0.25">
      <c r="A361" s="106">
        <v>349</v>
      </c>
      <c r="B361" s="8" t="s">
        <v>562</v>
      </c>
      <c r="C361" s="8" t="s">
        <v>322</v>
      </c>
      <c r="D361" s="17" t="s">
        <v>151</v>
      </c>
      <c r="E361" s="17" t="s">
        <v>152</v>
      </c>
      <c r="F361" s="12" t="s">
        <v>1412</v>
      </c>
      <c r="G361" s="17" t="s">
        <v>7</v>
      </c>
      <c r="H361" s="62"/>
      <c r="I361" s="37">
        <f>IFERROR(VLOOKUP(B361,'TB '!$A:$G,7,),0)</f>
        <v>0</v>
      </c>
      <c r="J361" s="37">
        <f>IFERROR(VLOOKUP($B361,'TB '!$4:$1048576,MATCH('List of Ledgers '!J$4,'TB '!$4:$4,0),0),0)</f>
        <v>0</v>
      </c>
      <c r="K361" s="37">
        <f>IFERROR(VLOOKUP($B361,'TB '!$4:$1048576,MATCH('List of Ledgers '!K$4,'TB '!$4:$4,0),0),0)</f>
        <v>0</v>
      </c>
      <c r="L361" s="37">
        <f>IFERROR(VLOOKUP(B361,'TB '!$A:$J,10,),0)</f>
        <v>0</v>
      </c>
      <c r="M361" s="71"/>
      <c r="N361" s="63">
        <f>IFERROR(VLOOKUP($B361,'TB YTD'!$4:$1048576,MATCH('List of Ledgers '!N$4,'TB YTD'!$4:$4,0),0),0)</f>
        <v>0</v>
      </c>
      <c r="O361" s="63">
        <f>IFERROR(VLOOKUP($B361,'TB YTD'!$4:$1048576,MATCH('List of Ledgers '!O$4,'TB YTD'!$4:$4,0),0),0)</f>
        <v>13139.84</v>
      </c>
      <c r="P361" s="63">
        <f>IFERROR(VLOOKUP($B361,'TB YTD'!$4:$1048576,MATCH('List of Ledgers '!P$4,'TB YTD'!$4:$4,0),0),0)</f>
        <v>0</v>
      </c>
      <c r="Q361" s="63">
        <f>IFERROR(VLOOKUP($B361,'TB YTD'!$4:$1048576,MATCH('List of Ledgers '!Q$4,'TB YTD'!$4:$4,0),0),0)</f>
        <v>13139.84</v>
      </c>
      <c r="R361" s="63"/>
    </row>
    <row r="362" spans="1:18" hidden="1" x14ac:dyDescent="0.25">
      <c r="A362" s="106">
        <v>350</v>
      </c>
      <c r="B362" s="8" t="s">
        <v>563</v>
      </c>
      <c r="C362" s="8" t="s">
        <v>275</v>
      </c>
      <c r="D362" s="17" t="s">
        <v>151</v>
      </c>
      <c r="E362" s="17" t="s">
        <v>152</v>
      </c>
      <c r="F362" s="12" t="s">
        <v>1412</v>
      </c>
      <c r="G362" s="17" t="s">
        <v>7</v>
      </c>
      <c r="H362" s="62"/>
      <c r="I362" s="37">
        <f>IFERROR(VLOOKUP(B362,'TB '!$A:$G,7,),0)</f>
        <v>0</v>
      </c>
      <c r="J362" s="37">
        <f>IFERROR(VLOOKUP($B362,'TB '!$4:$1048576,MATCH('List of Ledgers '!J$4,'TB '!$4:$4,0),0),0)</f>
        <v>0</v>
      </c>
      <c r="K362" s="37">
        <f>IFERROR(VLOOKUP($B362,'TB '!$4:$1048576,MATCH('List of Ledgers '!K$4,'TB '!$4:$4,0),0),0)</f>
        <v>0</v>
      </c>
      <c r="L362" s="37">
        <f>IFERROR(VLOOKUP(B362,'TB '!$A:$J,10,),0)</f>
        <v>0</v>
      </c>
      <c r="M362" s="71"/>
      <c r="N362" s="63">
        <f>IFERROR(VLOOKUP($B362,'TB YTD'!$4:$1048576,MATCH('List of Ledgers '!N$4,'TB YTD'!$4:$4,0),0),0)</f>
        <v>0</v>
      </c>
      <c r="O362" s="63">
        <f>IFERROR(VLOOKUP($B362,'TB YTD'!$4:$1048576,MATCH('List of Ledgers '!O$4,'TB YTD'!$4:$4,0),0),0)</f>
        <v>142654</v>
      </c>
      <c r="P362" s="63">
        <f>IFERROR(VLOOKUP($B362,'TB YTD'!$4:$1048576,MATCH('List of Ledgers '!P$4,'TB YTD'!$4:$4,0),0),0)</f>
        <v>3966</v>
      </c>
      <c r="Q362" s="63">
        <f>IFERROR(VLOOKUP($B362,'TB YTD'!$4:$1048576,MATCH('List of Ledgers '!Q$4,'TB YTD'!$4:$4,0),0),0)</f>
        <v>138688</v>
      </c>
      <c r="R362" s="63"/>
    </row>
    <row r="363" spans="1:18" hidden="1" x14ac:dyDescent="0.25">
      <c r="A363" s="106">
        <v>351</v>
      </c>
      <c r="B363" s="8" t="s">
        <v>564</v>
      </c>
      <c r="C363" s="8" t="s">
        <v>374</v>
      </c>
      <c r="D363" s="17"/>
      <c r="E363" s="17"/>
      <c r="G363" s="17"/>
      <c r="H363" s="62"/>
      <c r="I363" s="37">
        <f>IFERROR(VLOOKUP(B363,'TB '!$A:$G,7,),0)</f>
        <v>6595</v>
      </c>
      <c r="J363" s="37">
        <f>IFERROR(VLOOKUP($B363,'TB '!$4:$1048576,MATCH('List of Ledgers '!J$4,'TB '!$4:$4,0),0),0)</f>
        <v>0</v>
      </c>
      <c r="K363" s="37">
        <f>IFERROR(VLOOKUP($B363,'TB '!$4:$1048576,MATCH('List of Ledgers '!K$4,'TB '!$4:$4,0),0),0)</f>
        <v>0</v>
      </c>
      <c r="L363" s="37">
        <f>IFERROR(VLOOKUP(B363,'TB '!$A:$J,10,),0)</f>
        <v>6595</v>
      </c>
      <c r="M363" s="71"/>
      <c r="N363" s="63">
        <f>IFERROR(VLOOKUP($B363,'TB YTD'!$4:$1048576,MATCH('List of Ledgers '!N$4,'TB YTD'!$4:$4,0),0),0)</f>
        <v>6955</v>
      </c>
      <c r="O363" s="63">
        <f>IFERROR(VLOOKUP($B363,'TB YTD'!$4:$1048576,MATCH('List of Ledgers '!O$4,'TB YTD'!$4:$4,0),0),0)</f>
        <v>0</v>
      </c>
      <c r="P363" s="63">
        <f>IFERROR(VLOOKUP($B363,'TB YTD'!$4:$1048576,MATCH('List of Ledgers '!P$4,'TB YTD'!$4:$4,0),0),0)</f>
        <v>360</v>
      </c>
      <c r="Q363" s="63">
        <f>IFERROR(VLOOKUP($B363,'TB YTD'!$4:$1048576,MATCH('List of Ledgers '!Q$4,'TB YTD'!$4:$4,0),0),0)</f>
        <v>6595</v>
      </c>
      <c r="R363" s="63"/>
    </row>
    <row r="364" spans="1:18" hidden="1" x14ac:dyDescent="0.25">
      <c r="A364" s="106">
        <v>352</v>
      </c>
      <c r="B364" s="8" t="s">
        <v>565</v>
      </c>
      <c r="C364" s="8" t="s">
        <v>566</v>
      </c>
      <c r="D364" s="17" t="s">
        <v>151</v>
      </c>
      <c r="E364" s="17" t="s">
        <v>272</v>
      </c>
      <c r="F364" s="12" t="s">
        <v>566</v>
      </c>
      <c r="G364" s="17" t="s">
        <v>7</v>
      </c>
      <c r="H364" s="62"/>
      <c r="I364" s="37">
        <f>IFERROR(VLOOKUP(B364,'TB '!$A:$G,7,),0)</f>
        <v>0</v>
      </c>
      <c r="J364" s="37">
        <f>IFERROR(VLOOKUP($B364,'TB '!$4:$1048576,MATCH('List of Ledgers '!J$4,'TB '!$4:$4,0),0),0)</f>
        <v>0</v>
      </c>
      <c r="K364" s="37">
        <f>IFERROR(VLOOKUP($B364,'TB '!$4:$1048576,MATCH('List of Ledgers '!K$4,'TB '!$4:$4,0),0),0)</f>
        <v>0</v>
      </c>
      <c r="L364" s="37">
        <f>IFERROR(VLOOKUP(B364,'TB '!$A:$J,10,),0)</f>
        <v>0</v>
      </c>
      <c r="M364" s="71"/>
      <c r="N364" s="63">
        <f>IFERROR(VLOOKUP($B364,'TB YTD'!$4:$1048576,MATCH('List of Ledgers '!N$4,'TB YTD'!$4:$4,0),0),0)</f>
        <v>0</v>
      </c>
      <c r="O364" s="63">
        <f>IFERROR(VLOOKUP($B364,'TB YTD'!$4:$1048576,MATCH('List of Ledgers '!O$4,'TB YTD'!$4:$4,0),0),0)</f>
        <v>0</v>
      </c>
      <c r="P364" s="63">
        <f>IFERROR(VLOOKUP($B364,'TB YTD'!$4:$1048576,MATCH('List of Ledgers '!P$4,'TB YTD'!$4:$4,0),0),0)</f>
        <v>0</v>
      </c>
      <c r="Q364" s="63">
        <f>IFERROR(VLOOKUP($B364,'TB YTD'!$4:$1048576,MATCH('List of Ledgers '!Q$4,'TB YTD'!$4:$4,0),0),0)</f>
        <v>0</v>
      </c>
      <c r="R364" s="63"/>
    </row>
    <row r="365" spans="1:18" hidden="1" x14ac:dyDescent="0.25">
      <c r="A365" s="106">
        <v>353</v>
      </c>
      <c r="B365" s="8" t="s">
        <v>567</v>
      </c>
      <c r="C365" s="8" t="s">
        <v>566</v>
      </c>
      <c r="D365" s="17" t="s">
        <v>151</v>
      </c>
      <c r="E365" s="17" t="s">
        <v>272</v>
      </c>
      <c r="F365" s="12" t="s">
        <v>566</v>
      </c>
      <c r="G365" s="17" t="s">
        <v>7</v>
      </c>
      <c r="H365" s="62"/>
      <c r="I365" s="37">
        <f>IFERROR(VLOOKUP(B365,'TB '!$A:$G,7,),0)</f>
        <v>0</v>
      </c>
      <c r="J365" s="37">
        <f>IFERROR(VLOOKUP($B365,'TB '!$4:$1048576,MATCH('List of Ledgers '!J$4,'TB '!$4:$4,0),0),0)</f>
        <v>0</v>
      </c>
      <c r="K365" s="37">
        <f>IFERROR(VLOOKUP($B365,'TB '!$4:$1048576,MATCH('List of Ledgers '!K$4,'TB '!$4:$4,0),0),0)</f>
        <v>0</v>
      </c>
      <c r="L365" s="37">
        <f>IFERROR(VLOOKUP(B365,'TB '!$A:$J,10,),0)</f>
        <v>0</v>
      </c>
      <c r="M365" s="71"/>
      <c r="N365" s="63">
        <f>IFERROR(VLOOKUP($B365,'TB YTD'!$4:$1048576,MATCH('List of Ledgers '!N$4,'TB YTD'!$4:$4,0),0),0)</f>
        <v>0</v>
      </c>
      <c r="O365" s="63">
        <f>IFERROR(VLOOKUP($B365,'TB YTD'!$4:$1048576,MATCH('List of Ledgers '!O$4,'TB YTD'!$4:$4,0),0),0)</f>
        <v>0</v>
      </c>
      <c r="P365" s="63">
        <f>IFERROR(VLOOKUP($B365,'TB YTD'!$4:$1048576,MATCH('List of Ledgers '!P$4,'TB YTD'!$4:$4,0),0),0)</f>
        <v>50789</v>
      </c>
      <c r="Q365" s="175">
        <f>IFERROR(VLOOKUP($B365,'TB YTD'!$4:$1048576,MATCH('List of Ledgers '!Q$4,'TB YTD'!$4:$4,0),0),0)</f>
        <v>-50789</v>
      </c>
      <c r="R365" s="63"/>
    </row>
    <row r="366" spans="1:18" hidden="1" x14ac:dyDescent="0.25">
      <c r="A366" s="106">
        <v>354</v>
      </c>
      <c r="B366" s="8" t="s">
        <v>568</v>
      </c>
      <c r="C366" s="8" t="s">
        <v>566</v>
      </c>
      <c r="D366" s="17" t="s">
        <v>151</v>
      </c>
      <c r="E366" s="17" t="s">
        <v>272</v>
      </c>
      <c r="F366" s="12" t="s">
        <v>566</v>
      </c>
      <c r="G366" s="17" t="s">
        <v>7</v>
      </c>
      <c r="H366" s="62"/>
      <c r="I366" s="37">
        <f>IFERROR(VLOOKUP(B366,'TB '!$A:$G,7,),0)</f>
        <v>0</v>
      </c>
      <c r="J366" s="37">
        <f>IFERROR(VLOOKUP($B366,'TB '!$4:$1048576,MATCH('List of Ledgers '!J$4,'TB '!$4:$4,0),0),0)</f>
        <v>0</v>
      </c>
      <c r="K366" s="37">
        <f>IFERROR(VLOOKUP($B366,'TB '!$4:$1048576,MATCH('List of Ledgers '!K$4,'TB '!$4:$4,0),0),0)</f>
        <v>0</v>
      </c>
      <c r="L366" s="37">
        <f>IFERROR(VLOOKUP(B366,'TB '!$A:$J,10,),0)</f>
        <v>0</v>
      </c>
      <c r="M366" s="71"/>
      <c r="N366" s="63">
        <f>IFERROR(VLOOKUP($B366,'TB YTD'!$4:$1048576,MATCH('List of Ledgers '!N$4,'TB YTD'!$4:$4,0),0),0)</f>
        <v>0</v>
      </c>
      <c r="O366" s="63">
        <f>IFERROR(VLOOKUP($B366,'TB YTD'!$4:$1048576,MATCH('List of Ledgers '!O$4,'TB YTD'!$4:$4,0),0),0)</f>
        <v>0</v>
      </c>
      <c r="P366" s="63">
        <f>IFERROR(VLOOKUP($B366,'TB YTD'!$4:$1048576,MATCH('List of Ledgers '!P$4,'TB YTD'!$4:$4,0),0),0)</f>
        <v>59362</v>
      </c>
      <c r="Q366" s="175">
        <f>IFERROR(VLOOKUP($B366,'TB YTD'!$4:$1048576,MATCH('List of Ledgers '!Q$4,'TB YTD'!$4:$4,0),0),0)</f>
        <v>-59362</v>
      </c>
      <c r="R366" s="63"/>
    </row>
    <row r="367" spans="1:18" hidden="1" x14ac:dyDescent="0.25">
      <c r="A367" s="106">
        <v>355</v>
      </c>
      <c r="B367" s="8" t="s">
        <v>569</v>
      </c>
      <c r="C367" s="8" t="s">
        <v>275</v>
      </c>
      <c r="D367" s="17" t="s">
        <v>151</v>
      </c>
      <c r="E367" s="17" t="s">
        <v>152</v>
      </c>
      <c r="F367" s="12" t="s">
        <v>60</v>
      </c>
      <c r="G367" s="17" t="s">
        <v>7</v>
      </c>
      <c r="H367" s="62"/>
      <c r="I367" s="37">
        <f>IFERROR(VLOOKUP(B367,'TB '!$A:$G,7,),0)</f>
        <v>0</v>
      </c>
      <c r="J367" s="37">
        <f>IFERROR(VLOOKUP($B367,'TB '!$4:$1048576,MATCH('List of Ledgers '!J$4,'TB '!$4:$4,0),0),0)</f>
        <v>2925</v>
      </c>
      <c r="K367" s="37">
        <f>IFERROR(VLOOKUP($B367,'TB '!$4:$1048576,MATCH('List of Ledgers '!K$4,'TB '!$4:$4,0),0),0)</f>
        <v>0</v>
      </c>
      <c r="L367" s="37">
        <f>IFERROR(VLOOKUP(B367,'TB '!$A:$J,10,),0)</f>
        <v>2925</v>
      </c>
      <c r="M367" s="71"/>
      <c r="N367" s="63">
        <f>IFERROR(VLOOKUP($B367,'TB YTD'!$4:$1048576,MATCH('List of Ledgers '!N$4,'TB YTD'!$4:$4,0),0),0)</f>
        <v>0</v>
      </c>
      <c r="O367" s="63">
        <f>IFERROR(VLOOKUP($B367,'TB YTD'!$4:$1048576,MATCH('List of Ledgers '!O$4,'TB YTD'!$4:$4,0),0),0)</f>
        <v>3751</v>
      </c>
      <c r="P367" s="63">
        <f>IFERROR(VLOOKUP($B367,'TB YTD'!$4:$1048576,MATCH('List of Ledgers '!P$4,'TB YTD'!$4:$4,0),0),0)</f>
        <v>0</v>
      </c>
      <c r="Q367" s="63">
        <f>IFERROR(VLOOKUP($B367,'TB YTD'!$4:$1048576,MATCH('List of Ledgers '!Q$4,'TB YTD'!$4:$4,0),0),0)</f>
        <v>3751</v>
      </c>
      <c r="R367" s="63"/>
    </row>
    <row r="368" spans="1:18" hidden="1" x14ac:dyDescent="0.25">
      <c r="A368" s="106">
        <v>356</v>
      </c>
      <c r="B368" s="8" t="s">
        <v>570</v>
      </c>
      <c r="C368" s="8" t="s">
        <v>158</v>
      </c>
      <c r="D368" s="17" t="s">
        <v>128</v>
      </c>
      <c r="E368" s="17" t="s">
        <v>131</v>
      </c>
      <c r="G368" s="17" t="s">
        <v>4</v>
      </c>
      <c r="H368" s="62"/>
      <c r="I368" s="37">
        <f>IFERROR(VLOOKUP(B368,'TB '!$A:$G,7,),0)</f>
        <v>0</v>
      </c>
      <c r="J368" s="37">
        <f>IFERROR(VLOOKUP($B368,'TB '!$4:$1048576,MATCH('List of Ledgers '!J$4,'TB '!$4:$4,0),0),0)</f>
        <v>0</v>
      </c>
      <c r="K368" s="37">
        <f>IFERROR(VLOOKUP($B368,'TB '!$4:$1048576,MATCH('List of Ledgers '!K$4,'TB '!$4:$4,0),0),0)</f>
        <v>0</v>
      </c>
      <c r="L368" s="37">
        <f>IFERROR(VLOOKUP(B368,'TB '!$A:$J,10,),0)</f>
        <v>0</v>
      </c>
      <c r="M368" s="71"/>
      <c r="N368" s="63">
        <f>IFERROR(VLOOKUP($B368,'TB YTD'!$4:$1048576,MATCH('List of Ledgers '!N$4,'TB YTD'!$4:$4,0),0),0)</f>
        <v>0</v>
      </c>
      <c r="O368" s="63">
        <f>IFERROR(VLOOKUP($B368,'TB YTD'!$4:$1048576,MATCH('List of Ledgers '!O$4,'TB YTD'!$4:$4,0),0),0)</f>
        <v>58203</v>
      </c>
      <c r="P368" s="63">
        <f>IFERROR(VLOOKUP($B368,'TB YTD'!$4:$1048576,MATCH('List of Ledgers '!P$4,'TB YTD'!$4:$4,0),0),0)</f>
        <v>58203</v>
      </c>
      <c r="Q368" s="63">
        <f>IFERROR(VLOOKUP($B368,'TB YTD'!$4:$1048576,MATCH('List of Ledgers '!Q$4,'TB YTD'!$4:$4,0),0),0)</f>
        <v>0</v>
      </c>
      <c r="R368" s="63"/>
    </row>
    <row r="369" spans="1:20" hidden="1" x14ac:dyDescent="0.25">
      <c r="A369" s="106">
        <v>357</v>
      </c>
      <c r="B369" s="151" t="s">
        <v>571</v>
      </c>
      <c r="C369" s="151" t="s">
        <v>158</v>
      </c>
      <c r="D369" s="17" t="s">
        <v>128</v>
      </c>
      <c r="E369" s="17" t="s">
        <v>131</v>
      </c>
      <c r="G369" s="17" t="s">
        <v>4</v>
      </c>
      <c r="I369" s="37">
        <f>IFERROR(VLOOKUP(B369,'TB '!$A:$G,7,),0)</f>
        <v>0</v>
      </c>
      <c r="J369" s="37">
        <f>IFERROR(VLOOKUP($B369,'TB '!$4:$1048576,MATCH('List of Ledgers '!J$4,'TB '!$4:$4,0),0),0)</f>
        <v>0</v>
      </c>
      <c r="K369" s="37">
        <f>IFERROR(VLOOKUP($B369,'TB '!$4:$1048576,MATCH('List of Ledgers '!K$4,'TB '!$4:$4,0),0),0)</f>
        <v>0</v>
      </c>
      <c r="L369" s="37">
        <f>IFERROR(VLOOKUP(B369,'TB '!$A:$J,10,),0)</f>
        <v>0</v>
      </c>
      <c r="M369" s="71"/>
      <c r="N369" s="63">
        <f>IFERROR(VLOOKUP($B369,'TB YTD'!$4:$1048576,MATCH('List of Ledgers '!N$4,'TB YTD'!$4:$4,0),0),0)</f>
        <v>0</v>
      </c>
      <c r="O369" s="63">
        <f>IFERROR(VLOOKUP($B369,'TB YTD'!$4:$1048576,MATCH('List of Ledgers '!O$4,'TB YTD'!$4:$4,0),0),0)</f>
        <v>24405.1</v>
      </c>
      <c r="P369" s="63">
        <f>IFERROR(VLOOKUP($B369,'TB YTD'!$4:$1048576,MATCH('List of Ledgers '!P$4,'TB YTD'!$4:$4,0),0),0)</f>
        <v>24405.1</v>
      </c>
      <c r="Q369" s="63">
        <f>IFERROR(VLOOKUP($B369,'TB YTD'!$4:$1048576,MATCH('List of Ledgers '!Q$4,'TB YTD'!$4:$4,0),0),0)</f>
        <v>0</v>
      </c>
    </row>
    <row r="370" spans="1:20" hidden="1" x14ac:dyDescent="0.25">
      <c r="A370" s="106">
        <v>358</v>
      </c>
      <c r="B370" s="151" t="s">
        <v>572</v>
      </c>
      <c r="C370" s="151" t="s">
        <v>158</v>
      </c>
      <c r="D370" s="17" t="s">
        <v>128</v>
      </c>
      <c r="E370" s="17" t="s">
        <v>131</v>
      </c>
      <c r="G370" s="17" t="s">
        <v>4</v>
      </c>
      <c r="I370" s="37">
        <f>IFERROR(VLOOKUP(B370,'TB '!$A:$G,7,),0)</f>
        <v>0</v>
      </c>
      <c r="J370" s="37">
        <f>IFERROR(VLOOKUP($B370,'TB '!$4:$1048576,MATCH('List of Ledgers '!J$4,'TB '!$4:$4,0),0),0)</f>
        <v>0</v>
      </c>
      <c r="K370" s="37">
        <f>IFERROR(VLOOKUP($B370,'TB '!$4:$1048576,MATCH('List of Ledgers '!K$4,'TB '!$4:$4,0),0),0)</f>
        <v>0</v>
      </c>
      <c r="L370" s="37">
        <f>IFERROR(VLOOKUP(B370,'TB '!$A:$J,10,),0)</f>
        <v>0</v>
      </c>
      <c r="M370" s="71"/>
      <c r="N370" s="63">
        <f>IFERROR(VLOOKUP($B370,'TB YTD'!$4:$1048576,MATCH('List of Ledgers '!N$4,'TB YTD'!$4:$4,0),0),0)</f>
        <v>0</v>
      </c>
      <c r="O370" s="63">
        <f>IFERROR(VLOOKUP($B370,'TB YTD'!$4:$1048576,MATCH('List of Ledgers '!O$4,'TB YTD'!$4:$4,0),0),0)</f>
        <v>18885</v>
      </c>
      <c r="P370" s="63">
        <f>IFERROR(VLOOKUP($B370,'TB YTD'!$4:$1048576,MATCH('List of Ledgers '!P$4,'TB YTD'!$4:$4,0),0),0)</f>
        <v>18885</v>
      </c>
      <c r="Q370" s="63">
        <f>IFERROR(VLOOKUP($B370,'TB YTD'!$4:$1048576,MATCH('List of Ledgers '!Q$4,'TB YTD'!$4:$4,0),0),0)</f>
        <v>0</v>
      </c>
    </row>
    <row r="371" spans="1:20" hidden="1" x14ac:dyDescent="0.25">
      <c r="A371" s="106">
        <v>359</v>
      </c>
      <c r="B371" s="8" t="s">
        <v>573</v>
      </c>
      <c r="C371" s="8" t="s">
        <v>275</v>
      </c>
      <c r="D371" s="17" t="s">
        <v>151</v>
      </c>
      <c r="E371" s="17" t="s">
        <v>152</v>
      </c>
      <c r="F371" s="12" t="s">
        <v>67</v>
      </c>
      <c r="G371" s="17" t="s">
        <v>7</v>
      </c>
      <c r="H371" s="62"/>
      <c r="I371" s="37">
        <f>IFERROR(VLOOKUP(B371,'TB '!$A:$G,7,),0)</f>
        <v>0</v>
      </c>
      <c r="J371" s="37">
        <f>IFERROR(VLOOKUP($B371,'TB '!$4:$1048576,MATCH('List of Ledgers '!J$4,'TB '!$4:$4,0),0),0)</f>
        <v>942.82</v>
      </c>
      <c r="K371" s="37">
        <f>IFERROR(VLOOKUP($B371,'TB '!$4:$1048576,MATCH('List of Ledgers '!K$4,'TB '!$4:$4,0),0),0)</f>
        <v>0</v>
      </c>
      <c r="L371" s="37">
        <f>IFERROR(VLOOKUP(B371,'TB '!$A:$J,10,),0)</f>
        <v>942.82</v>
      </c>
      <c r="M371" s="71"/>
      <c r="N371" s="63">
        <f>IFERROR(VLOOKUP($B371,'TB YTD'!$4:$1048576,MATCH('List of Ledgers '!N$4,'TB YTD'!$4:$4,0),0),0)</f>
        <v>0</v>
      </c>
      <c r="O371" s="63">
        <f>IFERROR(VLOOKUP($B371,'TB YTD'!$4:$1048576,MATCH('List of Ledgers '!O$4,'TB YTD'!$4:$4,0),0),0)</f>
        <v>9307.99</v>
      </c>
      <c r="P371" s="63">
        <f>IFERROR(VLOOKUP($B371,'TB YTD'!$4:$1048576,MATCH('List of Ledgers '!P$4,'TB YTD'!$4:$4,0),0),0)</f>
        <v>0</v>
      </c>
      <c r="Q371" s="63">
        <f>IFERROR(VLOOKUP($B371,'TB YTD'!$4:$1048576,MATCH('List of Ledgers '!Q$4,'TB YTD'!$4:$4,0),0),0)</f>
        <v>9307.99</v>
      </c>
      <c r="R371" s="63"/>
      <c r="S371" s="126"/>
      <c r="T371" s="126"/>
    </row>
    <row r="372" spans="1:20" hidden="1" x14ac:dyDescent="0.25">
      <c r="A372" s="106">
        <v>360</v>
      </c>
      <c r="B372" s="8" t="s">
        <v>574</v>
      </c>
      <c r="C372" s="8" t="s">
        <v>322</v>
      </c>
      <c r="D372" s="17" t="s">
        <v>151</v>
      </c>
      <c r="E372" s="17" t="s">
        <v>152</v>
      </c>
      <c r="F372" s="12" t="s">
        <v>67</v>
      </c>
      <c r="G372" s="17" t="s">
        <v>7</v>
      </c>
      <c r="H372" s="62"/>
      <c r="I372" s="37">
        <f>IFERROR(VLOOKUP(B372,'TB '!$A:$G,7,),0)</f>
        <v>0</v>
      </c>
      <c r="J372" s="37">
        <f>IFERROR(VLOOKUP($B372,'TB '!$4:$1048576,MATCH('List of Ledgers '!J$4,'TB '!$4:$4,0),0),0)</f>
        <v>551</v>
      </c>
      <c r="K372" s="37">
        <f>IFERROR(VLOOKUP($B372,'TB '!$4:$1048576,MATCH('List of Ledgers '!K$4,'TB '!$4:$4,0),0),0)</f>
        <v>0</v>
      </c>
      <c r="L372" s="37">
        <f>IFERROR(VLOOKUP(B372,'TB '!$A:$J,10,),0)</f>
        <v>551</v>
      </c>
      <c r="M372" s="71"/>
      <c r="N372" s="63">
        <f>IFERROR(VLOOKUP($B372,'TB YTD'!$4:$1048576,MATCH('List of Ledgers '!N$4,'TB YTD'!$4:$4,0),0),0)</f>
        <v>0</v>
      </c>
      <c r="O372" s="63">
        <f>IFERROR(VLOOKUP($B372,'TB YTD'!$4:$1048576,MATCH('List of Ledgers '!O$4,'TB YTD'!$4:$4,0),0),0)</f>
        <v>6612</v>
      </c>
      <c r="P372" s="63">
        <f>IFERROR(VLOOKUP($B372,'TB YTD'!$4:$1048576,MATCH('List of Ledgers '!P$4,'TB YTD'!$4:$4,0),0),0)</f>
        <v>0</v>
      </c>
      <c r="Q372" s="63">
        <f>IFERROR(VLOOKUP($B372,'TB YTD'!$4:$1048576,MATCH('List of Ledgers '!Q$4,'TB YTD'!$4:$4,0),0),0)</f>
        <v>6612</v>
      </c>
      <c r="R372" s="63"/>
    </row>
    <row r="373" spans="1:20" hidden="1" x14ac:dyDescent="0.25">
      <c r="A373" s="106">
        <v>361</v>
      </c>
      <c r="B373" s="8" t="s">
        <v>575</v>
      </c>
      <c r="C373" s="8" t="s">
        <v>576</v>
      </c>
      <c r="D373" s="17" t="s">
        <v>151</v>
      </c>
      <c r="E373" s="17" t="s">
        <v>362</v>
      </c>
      <c r="F373" s="12" t="s">
        <v>93</v>
      </c>
      <c r="G373" s="17" t="s">
        <v>2</v>
      </c>
      <c r="H373" s="62"/>
      <c r="I373" s="37">
        <f>IFERROR(VLOOKUP(B373,'TB '!$A:$G,7,),0)</f>
        <v>0</v>
      </c>
      <c r="J373" s="37">
        <f>IFERROR(VLOOKUP($B373,'TB '!$4:$1048576,MATCH('List of Ledgers '!J$4,'TB '!$4:$4,0),0),0)</f>
        <v>0</v>
      </c>
      <c r="K373" s="37">
        <f>IFERROR(VLOOKUP($B373,'TB '!$4:$1048576,MATCH('List of Ledgers '!K$4,'TB '!$4:$4,0),0),0)</f>
        <v>0</v>
      </c>
      <c r="L373" s="37">
        <f>IFERROR(VLOOKUP(B373,'TB '!$A:$J,10,),0)</f>
        <v>0</v>
      </c>
      <c r="M373" s="71"/>
      <c r="N373" s="63">
        <f>IFERROR(VLOOKUP($B373,'TB YTD'!$4:$1048576,MATCH('List of Ledgers '!N$4,'TB YTD'!$4:$4,0),0),0)</f>
        <v>0</v>
      </c>
      <c r="O373" s="63">
        <f>IFERROR(VLOOKUP($B373,'TB YTD'!$4:$1048576,MATCH('List of Ledgers '!O$4,'TB YTD'!$4:$4,0),0),0)</f>
        <v>0</v>
      </c>
      <c r="P373" s="63">
        <f>IFERROR(VLOOKUP($B373,'TB YTD'!$4:$1048576,MATCH('List of Ledgers '!P$4,'TB YTD'!$4:$4,0),0),0)</f>
        <v>0</v>
      </c>
      <c r="Q373" s="63">
        <f>IFERROR(VLOOKUP($B373,'TB YTD'!$4:$1048576,MATCH('List of Ledgers '!Q$4,'TB YTD'!$4:$4,0),0),0)</f>
        <v>0</v>
      </c>
      <c r="R373" s="63"/>
    </row>
    <row r="374" spans="1:20" hidden="1" x14ac:dyDescent="0.25">
      <c r="A374" s="106">
        <v>362</v>
      </c>
      <c r="B374" s="8" t="s">
        <v>577</v>
      </c>
      <c r="C374" s="8" t="s">
        <v>578</v>
      </c>
      <c r="D374" s="17" t="s">
        <v>151</v>
      </c>
      <c r="E374" s="17" t="s">
        <v>362</v>
      </c>
      <c r="F374" s="12" t="s">
        <v>93</v>
      </c>
      <c r="G374" s="17" t="s">
        <v>3</v>
      </c>
      <c r="H374" s="62"/>
      <c r="I374" s="37">
        <f>IFERROR(VLOOKUP(B374,'TB '!$A:$G,7,),0)</f>
        <v>0</v>
      </c>
      <c r="J374" s="37">
        <f>IFERROR(VLOOKUP($B374,'TB '!$4:$1048576,MATCH('List of Ledgers '!J$4,'TB '!$4:$4,0),0),0)</f>
        <v>0</v>
      </c>
      <c r="K374" s="37">
        <f>IFERROR(VLOOKUP($B374,'TB '!$4:$1048576,MATCH('List of Ledgers '!K$4,'TB '!$4:$4,0),0),0)</f>
        <v>0</v>
      </c>
      <c r="L374" s="37">
        <f>IFERROR(VLOOKUP(B374,'TB '!$A:$J,10,),0)</f>
        <v>0</v>
      </c>
      <c r="M374" s="71"/>
      <c r="N374" s="63">
        <f>IFERROR(VLOOKUP($B374,'TB YTD'!$4:$1048576,MATCH('List of Ledgers '!N$4,'TB YTD'!$4:$4,0),0),0)</f>
        <v>0</v>
      </c>
      <c r="O374" s="63">
        <f>IFERROR(VLOOKUP($B374,'TB YTD'!$4:$1048576,MATCH('List of Ledgers '!O$4,'TB YTD'!$4:$4,0),0),0)</f>
        <v>28560</v>
      </c>
      <c r="P374" s="63">
        <f>IFERROR(VLOOKUP($B374,'TB YTD'!$4:$1048576,MATCH('List of Ledgers '!P$4,'TB YTD'!$4:$4,0),0),0)</f>
        <v>0</v>
      </c>
      <c r="Q374" s="63">
        <f>IFERROR(VLOOKUP($B374,'TB YTD'!$4:$1048576,MATCH('List of Ledgers '!Q$4,'TB YTD'!$4:$4,0),0),0)</f>
        <v>28560</v>
      </c>
      <c r="R374" s="63"/>
    </row>
    <row r="375" spans="1:20" hidden="1" x14ac:dyDescent="0.25">
      <c r="A375" s="106">
        <v>363</v>
      </c>
      <c r="B375" s="8" t="s">
        <v>579</v>
      </c>
      <c r="C375" s="8" t="s">
        <v>124</v>
      </c>
      <c r="D375" s="17"/>
      <c r="E375" s="17"/>
      <c r="G375" s="17"/>
      <c r="H375" s="62"/>
      <c r="I375" s="37">
        <f>IFERROR(VLOOKUP(B375,'TB '!$A:$G,7,),0)</f>
        <v>59548.72</v>
      </c>
      <c r="J375" s="37">
        <f>IFERROR(VLOOKUP($B375,'TB '!$4:$1048576,MATCH('List of Ledgers '!J$4,'TB '!$4:$4,0),0),0)</f>
        <v>0</v>
      </c>
      <c r="K375" s="37">
        <f>IFERROR(VLOOKUP($B375,'TB '!$4:$1048576,MATCH('List of Ledgers '!K$4,'TB '!$4:$4,0),0),0)</f>
        <v>0</v>
      </c>
      <c r="L375" s="37">
        <f>IFERROR(VLOOKUP(B375,'TB '!$A:$J,10,),0)</f>
        <v>59548.72</v>
      </c>
      <c r="M375" s="71"/>
      <c r="N375" s="63">
        <f>IFERROR(VLOOKUP($B375,'TB YTD'!$4:$1048576,MATCH('List of Ledgers '!N$4,'TB YTD'!$4:$4,0),0),0)</f>
        <v>59548.72</v>
      </c>
      <c r="O375" s="63">
        <f>IFERROR(VLOOKUP($B375,'TB YTD'!$4:$1048576,MATCH('List of Ledgers '!O$4,'TB YTD'!$4:$4,0),0),0)</f>
        <v>0</v>
      </c>
      <c r="P375" s="63">
        <f>IFERROR(VLOOKUP($B375,'TB YTD'!$4:$1048576,MATCH('List of Ledgers '!P$4,'TB YTD'!$4:$4,0),0),0)</f>
        <v>0</v>
      </c>
      <c r="Q375" s="63">
        <f>IFERROR(VLOOKUP($B375,'TB YTD'!$4:$1048576,MATCH('List of Ledgers '!Q$4,'TB YTD'!$4:$4,0),0),0)</f>
        <v>59548.72</v>
      </c>
      <c r="R375" s="63"/>
    </row>
    <row r="376" spans="1:20" hidden="1" x14ac:dyDescent="0.25">
      <c r="A376" s="106">
        <v>364</v>
      </c>
      <c r="B376" s="8" t="s">
        <v>580</v>
      </c>
      <c r="C376" s="8" t="s">
        <v>581</v>
      </c>
      <c r="D376" s="17"/>
      <c r="E376" s="17"/>
      <c r="G376" s="17"/>
      <c r="H376" s="62"/>
      <c r="I376" s="37">
        <f>IFERROR(VLOOKUP(B376,'TB '!$A:$G,7,),0)</f>
        <v>6440.68</v>
      </c>
      <c r="J376" s="37">
        <f>IFERROR(VLOOKUP($B376,'TB '!$4:$1048576,MATCH('List of Ledgers '!J$4,'TB '!$4:$4,0),0),0)</f>
        <v>0</v>
      </c>
      <c r="K376" s="37">
        <f>IFERROR(VLOOKUP($B376,'TB '!$4:$1048576,MATCH('List of Ledgers '!K$4,'TB '!$4:$4,0),0),0)</f>
        <v>0</v>
      </c>
      <c r="L376" s="37">
        <f>IFERROR(VLOOKUP(B376,'TB '!$A:$J,10,),0)</f>
        <v>6440.68</v>
      </c>
      <c r="M376" s="71"/>
      <c r="N376" s="63">
        <f>IFERROR(VLOOKUP($B376,'TB YTD'!$4:$1048576,MATCH('List of Ledgers '!N$4,'TB YTD'!$4:$4,0),0),0)</f>
        <v>6440.68</v>
      </c>
      <c r="O376" s="63">
        <f>IFERROR(VLOOKUP($B376,'TB YTD'!$4:$1048576,MATCH('List of Ledgers '!O$4,'TB YTD'!$4:$4,0),0),0)</f>
        <v>0</v>
      </c>
      <c r="P376" s="63">
        <f>IFERROR(VLOOKUP($B376,'TB YTD'!$4:$1048576,MATCH('List of Ledgers '!P$4,'TB YTD'!$4:$4,0),0),0)</f>
        <v>0</v>
      </c>
      <c r="Q376" s="63">
        <f>IFERROR(VLOOKUP($B376,'TB YTD'!$4:$1048576,MATCH('List of Ledgers '!Q$4,'TB YTD'!$4:$4,0),0),0)</f>
        <v>6440.68</v>
      </c>
      <c r="R376" s="63"/>
    </row>
    <row r="377" spans="1:20" hidden="1" x14ac:dyDescent="0.25">
      <c r="A377" s="106">
        <v>365</v>
      </c>
      <c r="B377" s="8" t="s">
        <v>582</v>
      </c>
      <c r="C377" s="8" t="s">
        <v>583</v>
      </c>
      <c r="D377" s="17" t="s">
        <v>128</v>
      </c>
      <c r="E377" s="17" t="s">
        <v>134</v>
      </c>
      <c r="G377" s="17" t="s">
        <v>2</v>
      </c>
      <c r="H377" s="62"/>
      <c r="I377" s="37">
        <f>IFERROR(VLOOKUP(B377,'TB '!$A:$G,7,),0)</f>
        <v>10201.6</v>
      </c>
      <c r="J377" s="37">
        <f>IFERROR(VLOOKUP($B377,'TB '!$4:$1048576,MATCH('List of Ledgers '!J$4,'TB '!$4:$4,0),0),0)</f>
        <v>0</v>
      </c>
      <c r="K377" s="37">
        <f>IFERROR(VLOOKUP($B377,'TB '!$4:$1048576,MATCH('List of Ledgers '!K$4,'TB '!$4:$4,0),0),0)</f>
        <v>0</v>
      </c>
      <c r="L377" s="37">
        <f>IFERROR(VLOOKUP(B377,'TB '!$A:$J,10,),0)</f>
        <v>10201.6</v>
      </c>
      <c r="M377" s="71"/>
      <c r="N377" s="63">
        <f>IFERROR(VLOOKUP($B377,'TB YTD'!$4:$1048576,MATCH('List of Ledgers '!N$4,'TB YTD'!$4:$4,0),0),0)</f>
        <v>56221.599999999999</v>
      </c>
      <c r="O377" s="63">
        <f>IFERROR(VLOOKUP($B377,'TB YTD'!$4:$1048576,MATCH('List of Ledgers '!O$4,'TB YTD'!$4:$4,0),0),0)</f>
        <v>76877</v>
      </c>
      <c r="P377" s="63">
        <f>IFERROR(VLOOKUP($B377,'TB YTD'!$4:$1048576,MATCH('List of Ledgers '!P$4,'TB YTD'!$4:$4,0),0),0)</f>
        <v>122897</v>
      </c>
      <c r="Q377" s="63">
        <f>IFERROR(VLOOKUP($B377,'TB YTD'!$4:$1048576,MATCH('List of Ledgers '!Q$4,'TB YTD'!$4:$4,0),0),0)</f>
        <v>10201.6</v>
      </c>
      <c r="R377" s="63"/>
    </row>
    <row r="378" spans="1:20" hidden="1" x14ac:dyDescent="0.25">
      <c r="A378" s="106">
        <v>366</v>
      </c>
      <c r="B378" s="2" t="s">
        <v>154</v>
      </c>
      <c r="C378" s="2" t="s">
        <v>154</v>
      </c>
      <c r="I378" s="37">
        <f>IFERROR(VLOOKUP(B378,'TB '!$A:$G,7,),0)</f>
        <v>0</v>
      </c>
      <c r="J378" s="37">
        <f>IFERROR(VLOOKUP($B378,'TB '!$4:$1048576,MATCH('List of Ledgers '!J$4,'TB '!$4:$4,0),0),0)</f>
        <v>0</v>
      </c>
      <c r="K378" s="37">
        <f>IFERROR(VLOOKUP($B378,'TB '!$4:$1048576,MATCH('List of Ledgers '!K$4,'TB '!$4:$4,0),0),0)</f>
        <v>0</v>
      </c>
      <c r="L378" s="37">
        <f>IFERROR(VLOOKUP(B378,'TB '!$A:$J,10,),0)</f>
        <v>0</v>
      </c>
      <c r="M378" s="71"/>
      <c r="N378" s="63">
        <f>IFERROR(VLOOKUP($B378,'TB YTD'!$4:$1048576,MATCH('List of Ledgers '!N$4,'TB YTD'!$4:$4,0),0),0)</f>
        <v>0</v>
      </c>
      <c r="O378" s="63">
        <f>IFERROR(VLOOKUP($B378,'TB YTD'!$4:$1048576,MATCH('List of Ledgers '!O$4,'TB YTD'!$4:$4,0),0),0)</f>
        <v>0</v>
      </c>
      <c r="P378" s="63">
        <f>IFERROR(VLOOKUP($B378,'TB YTD'!$4:$1048576,MATCH('List of Ledgers '!P$4,'TB YTD'!$4:$4,0),0),0)</f>
        <v>0</v>
      </c>
      <c r="Q378" s="63">
        <f>IFERROR(VLOOKUP($B378,'TB YTD'!$4:$1048576,MATCH('List of Ledgers '!Q$4,'TB YTD'!$4:$4,0),0),0)</f>
        <v>0</v>
      </c>
    </row>
    <row r="379" spans="1:20" hidden="1" x14ac:dyDescent="0.25">
      <c r="A379" s="106">
        <v>367</v>
      </c>
      <c r="B379" s="8" t="s">
        <v>584</v>
      </c>
      <c r="C379" s="8" t="s">
        <v>133</v>
      </c>
      <c r="D379" s="17" t="s">
        <v>128</v>
      </c>
      <c r="E379" s="17" t="s">
        <v>134</v>
      </c>
      <c r="G379" s="17" t="s">
        <v>2</v>
      </c>
      <c r="H379" s="62"/>
      <c r="I379" s="37">
        <f>IFERROR(VLOOKUP(B379,'TB '!$A:$G,7,),0)</f>
        <v>6254</v>
      </c>
      <c r="J379" s="37">
        <f>IFERROR(VLOOKUP($B379,'TB '!$4:$1048576,MATCH('List of Ledgers '!J$4,'TB '!$4:$4,0),0),0)</f>
        <v>0</v>
      </c>
      <c r="K379" s="37">
        <f>IFERROR(VLOOKUP($B379,'TB '!$4:$1048576,MATCH('List of Ledgers '!K$4,'TB '!$4:$4,0),0),0)</f>
        <v>0</v>
      </c>
      <c r="L379" s="37">
        <f>IFERROR(VLOOKUP(B379,'TB '!$A:$J,10,),0)</f>
        <v>6254</v>
      </c>
      <c r="M379" s="71"/>
      <c r="N379" s="63">
        <f>IFERROR(VLOOKUP($B379,'TB YTD'!$4:$1048576,MATCH('List of Ledgers '!N$4,'TB YTD'!$4:$4,0),0),0)</f>
        <v>6254</v>
      </c>
      <c r="O379" s="63">
        <f>IFERROR(VLOOKUP($B379,'TB YTD'!$4:$1048576,MATCH('List of Ledgers '!O$4,'TB YTD'!$4:$4,0),0),0)</f>
        <v>0</v>
      </c>
      <c r="P379" s="63">
        <f>IFERROR(VLOOKUP($B379,'TB YTD'!$4:$1048576,MATCH('List of Ledgers '!P$4,'TB YTD'!$4:$4,0),0),0)</f>
        <v>0</v>
      </c>
      <c r="Q379" s="63">
        <f>IFERROR(VLOOKUP($B379,'TB YTD'!$4:$1048576,MATCH('List of Ledgers '!Q$4,'TB YTD'!$4:$4,0),0),0)</f>
        <v>6254</v>
      </c>
      <c r="R379" s="63"/>
    </row>
    <row r="380" spans="1:20" hidden="1" x14ac:dyDescent="0.25">
      <c r="A380" s="106">
        <v>368</v>
      </c>
      <c r="B380" s="8" t="s">
        <v>585</v>
      </c>
      <c r="C380" s="8" t="s">
        <v>286</v>
      </c>
      <c r="H380" s="62"/>
      <c r="I380" s="37">
        <f>IFERROR(VLOOKUP(B380,'TB '!$A:$G,7,),0)</f>
        <v>0</v>
      </c>
      <c r="J380" s="37">
        <f>IFERROR(VLOOKUP($B380,'TB '!$4:$1048576,MATCH('List of Ledgers '!J$4,'TB '!$4:$4,0),0),0)</f>
        <v>0</v>
      </c>
      <c r="K380" s="37">
        <f>IFERROR(VLOOKUP($B380,'TB '!$4:$1048576,MATCH('List of Ledgers '!K$4,'TB '!$4:$4,0),0),0)</f>
        <v>0</v>
      </c>
      <c r="L380" s="37">
        <f>IFERROR(VLOOKUP(B380,'TB '!$A:$J,10,),0)</f>
        <v>0</v>
      </c>
      <c r="M380" s="71"/>
      <c r="N380" s="63">
        <f>IFERROR(VLOOKUP($B380,'TB YTD'!$4:$1048576,MATCH('List of Ledgers '!N$4,'TB YTD'!$4:$4,0),0),0)</f>
        <v>0</v>
      </c>
      <c r="O380" s="63">
        <f>IFERROR(VLOOKUP($B380,'TB YTD'!$4:$1048576,MATCH('List of Ledgers '!O$4,'TB YTD'!$4:$4,0),0),0)</f>
        <v>0</v>
      </c>
      <c r="P380" s="63">
        <f>IFERROR(VLOOKUP($B380,'TB YTD'!$4:$1048576,MATCH('List of Ledgers '!P$4,'TB YTD'!$4:$4,0),0),0)</f>
        <v>0</v>
      </c>
      <c r="Q380" s="63">
        <f>IFERROR(VLOOKUP($B380,'TB YTD'!$4:$1048576,MATCH('List of Ledgers '!Q$4,'TB YTD'!$4:$4,0),0),0)</f>
        <v>0</v>
      </c>
      <c r="R380" s="63"/>
    </row>
    <row r="381" spans="1:20" hidden="1" x14ac:dyDescent="0.25">
      <c r="A381" s="106">
        <v>369</v>
      </c>
      <c r="B381" s="8" t="s">
        <v>586</v>
      </c>
      <c r="C381" s="8" t="s">
        <v>140</v>
      </c>
      <c r="D381" s="17" t="s">
        <v>128</v>
      </c>
      <c r="E381" s="17" t="s">
        <v>131</v>
      </c>
      <c r="G381" s="17" t="s">
        <v>7</v>
      </c>
      <c r="H381" s="62"/>
      <c r="I381" s="37">
        <f>IFERROR(VLOOKUP(B381,'TB '!$A:$G,7,),0)</f>
        <v>0</v>
      </c>
      <c r="J381" s="37">
        <f>IFERROR(VLOOKUP($B381,'TB '!$4:$1048576,MATCH('List of Ledgers '!J$4,'TB '!$4:$4,0),0),0)</f>
        <v>0</v>
      </c>
      <c r="K381" s="37">
        <f>IFERROR(VLOOKUP($B381,'TB '!$4:$1048576,MATCH('List of Ledgers '!K$4,'TB '!$4:$4,0),0),0)</f>
        <v>0</v>
      </c>
      <c r="L381" s="37">
        <f>IFERROR(VLOOKUP(B381,'TB '!$A:$J,10,),0)</f>
        <v>0</v>
      </c>
      <c r="M381" s="71"/>
      <c r="N381" s="63">
        <f>IFERROR(VLOOKUP($B381,'TB YTD'!$4:$1048576,MATCH('List of Ledgers '!N$4,'TB YTD'!$4:$4,0),0),0)</f>
        <v>-538</v>
      </c>
      <c r="O381" s="63">
        <f>IFERROR(VLOOKUP($B381,'TB YTD'!$4:$1048576,MATCH('List of Ledgers '!O$4,'TB YTD'!$4:$4,0),0),0)</f>
        <v>1075.7</v>
      </c>
      <c r="P381" s="63">
        <f>IFERROR(VLOOKUP($B381,'TB YTD'!$4:$1048576,MATCH('List of Ledgers '!P$4,'TB YTD'!$4:$4,0),0),0)</f>
        <v>537.70000000000005</v>
      </c>
      <c r="Q381" s="63">
        <f>IFERROR(VLOOKUP($B381,'TB YTD'!$4:$1048576,MATCH('List of Ledgers '!Q$4,'TB YTD'!$4:$4,0),0),0)</f>
        <v>0</v>
      </c>
      <c r="R381" s="63"/>
    </row>
    <row r="382" spans="1:20" hidden="1" x14ac:dyDescent="0.25">
      <c r="A382" s="106">
        <v>370</v>
      </c>
      <c r="B382" s="8" t="s">
        <v>587</v>
      </c>
      <c r="C382" s="8" t="s">
        <v>250</v>
      </c>
      <c r="D382" s="17" t="s">
        <v>128</v>
      </c>
      <c r="E382" s="17" t="s">
        <v>131</v>
      </c>
      <c r="G382" s="17" t="s">
        <v>7</v>
      </c>
      <c r="H382" s="62"/>
      <c r="I382" s="37">
        <f>IFERROR(VLOOKUP(B382,'TB '!$A:$G,7,),0)</f>
        <v>0</v>
      </c>
      <c r="J382" s="37">
        <f>IFERROR(VLOOKUP($B382,'TB '!$4:$1048576,MATCH('List of Ledgers '!J$4,'TB '!$4:$4,0),0),0)</f>
        <v>0</v>
      </c>
      <c r="K382" s="37">
        <f>IFERROR(VLOOKUP($B382,'TB '!$4:$1048576,MATCH('List of Ledgers '!K$4,'TB '!$4:$4,0),0),0)</f>
        <v>0</v>
      </c>
      <c r="L382" s="37">
        <f>IFERROR(VLOOKUP(B382,'TB '!$A:$J,10,),0)</f>
        <v>0</v>
      </c>
      <c r="M382" s="71"/>
      <c r="N382" s="63">
        <f>IFERROR(VLOOKUP($B382,'TB YTD'!$4:$1048576,MATCH('List of Ledgers '!N$4,'TB YTD'!$4:$4,0),0),0)</f>
        <v>0</v>
      </c>
      <c r="O382" s="63">
        <f>IFERROR(VLOOKUP($B382,'TB YTD'!$4:$1048576,MATCH('List of Ledgers '!O$4,'TB YTD'!$4:$4,0),0),0)</f>
        <v>0</v>
      </c>
      <c r="P382" s="63">
        <f>IFERROR(VLOOKUP($B382,'TB YTD'!$4:$1048576,MATCH('List of Ledgers '!P$4,'TB YTD'!$4:$4,0),0),0)</f>
        <v>0</v>
      </c>
      <c r="Q382" s="63">
        <f>IFERROR(VLOOKUP($B382,'TB YTD'!$4:$1048576,MATCH('List of Ledgers '!Q$4,'TB YTD'!$4:$4,0),0),0)</f>
        <v>0</v>
      </c>
      <c r="R382" s="63"/>
    </row>
    <row r="383" spans="1:20" hidden="1" x14ac:dyDescent="0.25">
      <c r="A383" s="106">
        <v>371</v>
      </c>
      <c r="B383" s="8" t="s">
        <v>588</v>
      </c>
      <c r="C383" s="8" t="s">
        <v>180</v>
      </c>
      <c r="D383" s="17" t="s">
        <v>128</v>
      </c>
      <c r="E383" s="17" t="s">
        <v>131</v>
      </c>
      <c r="G383" s="17" t="s">
        <v>2</v>
      </c>
      <c r="H383" s="62"/>
      <c r="I383" s="37">
        <f>IFERROR(VLOOKUP(B383,'TB '!$A:$G,7,),0)</f>
        <v>0</v>
      </c>
      <c r="J383" s="37">
        <f>IFERROR(VLOOKUP($B383,'TB '!$4:$1048576,MATCH('List of Ledgers '!J$4,'TB '!$4:$4,0),0),0)</f>
        <v>0</v>
      </c>
      <c r="K383" s="37">
        <f>IFERROR(VLOOKUP($B383,'TB '!$4:$1048576,MATCH('List of Ledgers '!K$4,'TB '!$4:$4,0),0),0)</f>
        <v>0</v>
      </c>
      <c r="L383" s="37">
        <f>IFERROR(VLOOKUP(B383,'TB '!$A:$J,10,),0)</f>
        <v>0</v>
      </c>
      <c r="M383" s="71"/>
      <c r="N383" s="63">
        <f>IFERROR(VLOOKUP($B383,'TB YTD'!$4:$1048576,MATCH('List of Ledgers '!N$4,'TB YTD'!$4:$4,0),0),0)</f>
        <v>0</v>
      </c>
      <c r="O383" s="63">
        <f>IFERROR(VLOOKUP($B383,'TB YTD'!$4:$1048576,MATCH('List of Ledgers '!O$4,'TB YTD'!$4:$4,0),0),0)</f>
        <v>32487</v>
      </c>
      <c r="P383" s="63">
        <f>IFERROR(VLOOKUP($B383,'TB YTD'!$4:$1048576,MATCH('List of Ledgers '!P$4,'TB YTD'!$4:$4,0),0),0)</f>
        <v>32487</v>
      </c>
      <c r="Q383" s="63">
        <f>IFERROR(VLOOKUP($B383,'TB YTD'!$4:$1048576,MATCH('List of Ledgers '!Q$4,'TB YTD'!$4:$4,0),0),0)</f>
        <v>0</v>
      </c>
      <c r="R383" s="63"/>
    </row>
    <row r="384" spans="1:20" hidden="1" x14ac:dyDescent="0.25">
      <c r="A384" s="106">
        <v>372</v>
      </c>
      <c r="B384" s="8" t="s">
        <v>589</v>
      </c>
      <c r="C384" s="8" t="s">
        <v>158</v>
      </c>
      <c r="D384" s="17" t="s">
        <v>128</v>
      </c>
      <c r="E384" s="17" t="s">
        <v>131</v>
      </c>
      <c r="G384" s="17" t="s">
        <v>7</v>
      </c>
      <c r="H384" s="62"/>
      <c r="I384" s="37">
        <f>IFERROR(VLOOKUP(B384,'TB '!$A:$G,7,),0)</f>
        <v>0</v>
      </c>
      <c r="J384" s="37">
        <f>IFERROR(VLOOKUP($B384,'TB '!$4:$1048576,MATCH('List of Ledgers '!J$4,'TB '!$4:$4,0),0),0)</f>
        <v>0</v>
      </c>
      <c r="K384" s="37">
        <f>IFERROR(VLOOKUP($B384,'TB '!$4:$1048576,MATCH('List of Ledgers '!K$4,'TB '!$4:$4,0),0),0)</f>
        <v>0</v>
      </c>
      <c r="L384" s="37">
        <f>IFERROR(VLOOKUP(B384,'TB '!$A:$J,10,),0)</f>
        <v>0</v>
      </c>
      <c r="M384" s="71"/>
      <c r="N384" s="63">
        <f>IFERROR(VLOOKUP($B384,'TB YTD'!$4:$1048576,MATCH('List of Ledgers '!N$4,'TB YTD'!$4:$4,0),0),0)</f>
        <v>0</v>
      </c>
      <c r="O384" s="63">
        <f>IFERROR(VLOOKUP($B384,'TB YTD'!$4:$1048576,MATCH('List of Ledgers '!O$4,'TB YTD'!$4:$4,0),0),0)</f>
        <v>96000</v>
      </c>
      <c r="P384" s="63">
        <f>IFERROR(VLOOKUP($B384,'TB YTD'!$4:$1048576,MATCH('List of Ledgers '!P$4,'TB YTD'!$4:$4,0),0),0)</f>
        <v>96000</v>
      </c>
      <c r="Q384" s="63">
        <f>IFERROR(VLOOKUP($B384,'TB YTD'!$4:$1048576,MATCH('List of Ledgers '!Q$4,'TB YTD'!$4:$4,0),0),0)</f>
        <v>0</v>
      </c>
      <c r="R384" s="63"/>
    </row>
    <row r="385" spans="1:18" hidden="1" x14ac:dyDescent="0.25">
      <c r="A385" s="106">
        <v>373</v>
      </c>
      <c r="B385" s="8" t="s">
        <v>590</v>
      </c>
      <c r="C385" s="8" t="s">
        <v>158</v>
      </c>
      <c r="D385" s="17" t="s">
        <v>128</v>
      </c>
      <c r="E385" s="17" t="s">
        <v>131</v>
      </c>
      <c r="G385" s="17" t="s">
        <v>4</v>
      </c>
      <c r="H385" s="62"/>
      <c r="I385" s="37">
        <f>IFERROR(VLOOKUP(B385,'TB '!$A:$G,7,),0)</f>
        <v>0</v>
      </c>
      <c r="J385" s="37">
        <f>IFERROR(VLOOKUP($B385,'TB '!$4:$1048576,MATCH('List of Ledgers '!J$4,'TB '!$4:$4,0),0),0)</f>
        <v>0</v>
      </c>
      <c r="K385" s="37">
        <f>IFERROR(VLOOKUP($B385,'TB '!$4:$1048576,MATCH('List of Ledgers '!K$4,'TB '!$4:$4,0),0),0)</f>
        <v>0</v>
      </c>
      <c r="L385" s="37">
        <f>IFERROR(VLOOKUP(B385,'TB '!$A:$J,10,),0)</f>
        <v>0</v>
      </c>
      <c r="M385" s="71"/>
      <c r="N385" s="63">
        <f>IFERROR(VLOOKUP($B385,'TB YTD'!$4:$1048576,MATCH('List of Ledgers '!N$4,'TB YTD'!$4:$4,0),0),0)</f>
        <v>0</v>
      </c>
      <c r="O385" s="63">
        <f>IFERROR(VLOOKUP($B385,'TB YTD'!$4:$1048576,MATCH('List of Ledgers '!O$4,'TB YTD'!$4:$4,0),0),0)</f>
        <v>0</v>
      </c>
      <c r="P385" s="63">
        <f>IFERROR(VLOOKUP($B385,'TB YTD'!$4:$1048576,MATCH('List of Ledgers '!P$4,'TB YTD'!$4:$4,0),0),0)</f>
        <v>0</v>
      </c>
      <c r="Q385" s="63">
        <f>IFERROR(VLOOKUP($B385,'TB YTD'!$4:$1048576,MATCH('List of Ledgers '!Q$4,'TB YTD'!$4:$4,0),0),0)</f>
        <v>0</v>
      </c>
      <c r="R385" s="63"/>
    </row>
    <row r="386" spans="1:18" hidden="1" x14ac:dyDescent="0.25">
      <c r="A386" s="106">
        <v>374</v>
      </c>
      <c r="B386" s="8" t="s">
        <v>591</v>
      </c>
      <c r="C386" s="8" t="s">
        <v>180</v>
      </c>
      <c r="D386" s="17" t="s">
        <v>128</v>
      </c>
      <c r="E386" s="17" t="s">
        <v>131</v>
      </c>
      <c r="G386" s="17" t="s">
        <v>2</v>
      </c>
      <c r="H386" s="62"/>
      <c r="I386" s="37">
        <f>IFERROR(VLOOKUP(B386,'TB '!$A:$G,7,),0)</f>
        <v>0</v>
      </c>
      <c r="J386" s="37">
        <f>IFERROR(VLOOKUP($B386,'TB '!$4:$1048576,MATCH('List of Ledgers '!J$4,'TB '!$4:$4,0),0),0)</f>
        <v>0</v>
      </c>
      <c r="K386" s="37">
        <f>IFERROR(VLOOKUP($B386,'TB '!$4:$1048576,MATCH('List of Ledgers '!K$4,'TB '!$4:$4,0),0),0)</f>
        <v>0</v>
      </c>
      <c r="L386" s="37">
        <f>IFERROR(VLOOKUP(B386,'TB '!$A:$J,10,),0)</f>
        <v>0</v>
      </c>
      <c r="M386" s="71"/>
      <c r="N386" s="63">
        <f>IFERROR(VLOOKUP($B386,'TB YTD'!$4:$1048576,MATCH('List of Ledgers '!N$4,'TB YTD'!$4:$4,0),0),0)</f>
        <v>-36736</v>
      </c>
      <c r="O386" s="63">
        <f>IFERROR(VLOOKUP($B386,'TB YTD'!$4:$1048576,MATCH('List of Ledgers '!O$4,'TB YTD'!$4:$4,0),0),0)</f>
        <v>77168</v>
      </c>
      <c r="P386" s="63">
        <f>IFERROR(VLOOKUP($B386,'TB YTD'!$4:$1048576,MATCH('List of Ledgers '!P$4,'TB YTD'!$4:$4,0),0),0)</f>
        <v>40432</v>
      </c>
      <c r="Q386" s="63">
        <f>IFERROR(VLOOKUP($B386,'TB YTD'!$4:$1048576,MATCH('List of Ledgers '!Q$4,'TB YTD'!$4:$4,0),0),0)</f>
        <v>0</v>
      </c>
      <c r="R386" s="63"/>
    </row>
    <row r="387" spans="1:18" hidden="1" x14ac:dyDescent="0.25">
      <c r="A387" s="106">
        <v>375</v>
      </c>
      <c r="B387" s="8" t="s">
        <v>592</v>
      </c>
      <c r="C387" s="8" t="s">
        <v>593</v>
      </c>
      <c r="D387" s="17" t="s">
        <v>128</v>
      </c>
      <c r="E387" s="17" t="s">
        <v>134</v>
      </c>
      <c r="G387" s="17" t="s">
        <v>2</v>
      </c>
      <c r="H387" s="62"/>
      <c r="I387" s="37">
        <f>IFERROR(VLOOKUP(B387,'TB '!$A:$G,7,),0)</f>
        <v>0</v>
      </c>
      <c r="J387" s="37">
        <f>IFERROR(VLOOKUP($B387,'TB '!$4:$1048576,MATCH('List of Ledgers '!J$4,'TB '!$4:$4,0),0),0)</f>
        <v>0</v>
      </c>
      <c r="K387" s="37">
        <f>IFERROR(VLOOKUP($B387,'TB '!$4:$1048576,MATCH('List of Ledgers '!K$4,'TB '!$4:$4,0),0),0)</f>
        <v>0</v>
      </c>
      <c r="L387" s="37">
        <f>IFERROR(VLOOKUP(B387,'TB '!$A:$J,10,),0)</f>
        <v>0</v>
      </c>
      <c r="M387" s="71"/>
      <c r="N387" s="63">
        <f>IFERROR(VLOOKUP($B387,'TB YTD'!$4:$1048576,MATCH('List of Ledgers '!N$4,'TB YTD'!$4:$4,0),0),0)</f>
        <v>0</v>
      </c>
      <c r="O387" s="63">
        <f>IFERROR(VLOOKUP($B387,'TB YTD'!$4:$1048576,MATCH('List of Ledgers '!O$4,'TB YTD'!$4:$4,0),0),0)</f>
        <v>0</v>
      </c>
      <c r="P387" s="63">
        <f>IFERROR(VLOOKUP($B387,'TB YTD'!$4:$1048576,MATCH('List of Ledgers '!P$4,'TB YTD'!$4:$4,0),0),0)</f>
        <v>0</v>
      </c>
      <c r="Q387" s="63">
        <f>IFERROR(VLOOKUP($B387,'TB YTD'!$4:$1048576,MATCH('List of Ledgers '!Q$4,'TB YTD'!$4:$4,0),0),0)</f>
        <v>0</v>
      </c>
      <c r="R387" s="63"/>
    </row>
    <row r="388" spans="1:18" hidden="1" x14ac:dyDescent="0.25">
      <c r="A388" s="106">
        <v>376</v>
      </c>
      <c r="B388" s="8" t="s">
        <v>594</v>
      </c>
      <c r="C388" s="8" t="s">
        <v>593</v>
      </c>
      <c r="D388" s="17" t="s">
        <v>128</v>
      </c>
      <c r="E388" s="17" t="s">
        <v>134</v>
      </c>
      <c r="G388" s="17" t="s">
        <v>2</v>
      </c>
      <c r="H388" s="62"/>
      <c r="I388" s="37">
        <f>IFERROR(VLOOKUP(B388,'TB '!$A:$G,7,),0)</f>
        <v>0</v>
      </c>
      <c r="J388" s="37">
        <f>IFERROR(VLOOKUP($B388,'TB '!$4:$1048576,MATCH('List of Ledgers '!J$4,'TB '!$4:$4,0),0),0)</f>
        <v>0</v>
      </c>
      <c r="K388" s="37">
        <f>IFERROR(VLOOKUP($B388,'TB '!$4:$1048576,MATCH('List of Ledgers '!K$4,'TB '!$4:$4,0),0),0)</f>
        <v>0</v>
      </c>
      <c r="L388" s="37">
        <f>IFERROR(VLOOKUP(B388,'TB '!$A:$J,10,),0)</f>
        <v>0</v>
      </c>
      <c r="M388" s="71"/>
      <c r="N388" s="63">
        <f>IFERROR(VLOOKUP($B388,'TB YTD'!$4:$1048576,MATCH('List of Ledgers '!N$4,'TB YTD'!$4:$4,0),0),0)</f>
        <v>0</v>
      </c>
      <c r="O388" s="63">
        <f>IFERROR(VLOOKUP($B388,'TB YTD'!$4:$1048576,MATCH('List of Ledgers '!O$4,'TB YTD'!$4:$4,0),0),0)</f>
        <v>500</v>
      </c>
      <c r="P388" s="63">
        <f>IFERROR(VLOOKUP($B388,'TB YTD'!$4:$1048576,MATCH('List of Ledgers '!P$4,'TB YTD'!$4:$4,0),0),0)</f>
        <v>500</v>
      </c>
      <c r="Q388" s="63">
        <f>IFERROR(VLOOKUP($B388,'TB YTD'!$4:$1048576,MATCH('List of Ledgers '!Q$4,'TB YTD'!$4:$4,0),0),0)</f>
        <v>0</v>
      </c>
      <c r="R388" s="63"/>
    </row>
    <row r="389" spans="1:18" hidden="1" x14ac:dyDescent="0.25">
      <c r="A389" s="106">
        <v>377</v>
      </c>
      <c r="B389" s="8" t="s">
        <v>595</v>
      </c>
      <c r="C389" s="8" t="s">
        <v>185</v>
      </c>
      <c r="D389" s="106" t="s">
        <v>128</v>
      </c>
      <c r="E389" s="17" t="s">
        <v>134</v>
      </c>
      <c r="G389" s="17" t="s">
        <v>3</v>
      </c>
      <c r="H389" s="62"/>
      <c r="I389" s="37">
        <f>IFERROR(VLOOKUP(B389,'TB '!$A:$G,7,),0)</f>
        <v>0</v>
      </c>
      <c r="J389" s="37">
        <f>IFERROR(VLOOKUP($B389,'TB '!$4:$1048576,MATCH('List of Ledgers '!J$4,'TB '!$4:$4,0),0),0)</f>
        <v>0</v>
      </c>
      <c r="K389" s="37">
        <f>IFERROR(VLOOKUP($B389,'TB '!$4:$1048576,MATCH('List of Ledgers '!K$4,'TB '!$4:$4,0),0),0)</f>
        <v>0</v>
      </c>
      <c r="L389" s="37">
        <f>IFERROR(VLOOKUP(B389,'TB '!$A:$J,10,),0)</f>
        <v>0</v>
      </c>
      <c r="M389" s="71"/>
      <c r="N389" s="63">
        <f>IFERROR(VLOOKUP($B389,'TB YTD'!$4:$1048576,MATCH('List of Ledgers '!N$4,'TB YTD'!$4:$4,0),0),0)</f>
        <v>0</v>
      </c>
      <c r="O389" s="63">
        <f>IFERROR(VLOOKUP($B389,'TB YTD'!$4:$1048576,MATCH('List of Ledgers '!O$4,'TB YTD'!$4:$4,0),0),0)</f>
        <v>0</v>
      </c>
      <c r="P389" s="63">
        <f>IFERROR(VLOOKUP($B389,'TB YTD'!$4:$1048576,MATCH('List of Ledgers '!P$4,'TB YTD'!$4:$4,0),0),0)</f>
        <v>0</v>
      </c>
      <c r="Q389" s="63">
        <f>IFERROR(VLOOKUP($B389,'TB YTD'!$4:$1048576,MATCH('List of Ledgers '!Q$4,'TB YTD'!$4:$4,0),0),0)</f>
        <v>0</v>
      </c>
      <c r="R389" s="63"/>
    </row>
    <row r="390" spans="1:18" hidden="1" x14ac:dyDescent="0.25">
      <c r="A390" s="106">
        <v>378</v>
      </c>
      <c r="B390" s="8" t="s">
        <v>596</v>
      </c>
      <c r="C390" s="8" t="s">
        <v>495</v>
      </c>
      <c r="D390" s="12" t="s">
        <v>128</v>
      </c>
      <c r="E390" s="12" t="s">
        <v>134</v>
      </c>
      <c r="G390" s="17" t="s">
        <v>7</v>
      </c>
      <c r="H390" s="62"/>
      <c r="I390" s="37">
        <f>IFERROR(VLOOKUP(B390,'TB '!$A:$G,7,),0)</f>
        <v>0</v>
      </c>
      <c r="J390" s="37">
        <f>IFERROR(VLOOKUP($B390,'TB '!$4:$1048576,MATCH('List of Ledgers '!J$4,'TB '!$4:$4,0),0),0)</f>
        <v>0</v>
      </c>
      <c r="K390" s="37">
        <f>IFERROR(VLOOKUP($B390,'TB '!$4:$1048576,MATCH('List of Ledgers '!K$4,'TB '!$4:$4,0),0),0)</f>
        <v>0</v>
      </c>
      <c r="L390" s="37">
        <f>IFERROR(VLOOKUP(B390,'TB '!$A:$J,10,),0)</f>
        <v>0</v>
      </c>
      <c r="M390" s="71"/>
      <c r="N390" s="63">
        <f>IFERROR(VLOOKUP($B390,'TB YTD'!$4:$1048576,MATCH('List of Ledgers '!N$4,'TB YTD'!$4:$4,0),0),0)</f>
        <v>0</v>
      </c>
      <c r="O390" s="63">
        <f>IFERROR(VLOOKUP($B390,'TB YTD'!$4:$1048576,MATCH('List of Ledgers '!O$4,'TB YTD'!$4:$4,0),0),0)</f>
        <v>0</v>
      </c>
      <c r="P390" s="63">
        <f>IFERROR(VLOOKUP($B390,'TB YTD'!$4:$1048576,MATCH('List of Ledgers '!P$4,'TB YTD'!$4:$4,0),0),0)</f>
        <v>0</v>
      </c>
      <c r="Q390" s="63">
        <f>IFERROR(VLOOKUP($B390,'TB YTD'!$4:$1048576,MATCH('List of Ledgers '!Q$4,'TB YTD'!$4:$4,0),0),0)</f>
        <v>0</v>
      </c>
      <c r="R390" s="63"/>
    </row>
    <row r="391" spans="1:18" hidden="1" x14ac:dyDescent="0.25">
      <c r="A391" s="106">
        <v>379</v>
      </c>
      <c r="B391" s="8" t="s">
        <v>597</v>
      </c>
      <c r="C391" s="8" t="s">
        <v>124</v>
      </c>
      <c r="D391" s="17"/>
      <c r="E391" s="17"/>
      <c r="G391" s="17"/>
      <c r="H391" s="62"/>
      <c r="I391" s="37">
        <f>IFERROR(VLOOKUP(B391,'TB '!$A:$G,7,),0)</f>
        <v>28000</v>
      </c>
      <c r="J391" s="37">
        <f>IFERROR(VLOOKUP($B391,'TB '!$4:$1048576,MATCH('List of Ledgers '!J$4,'TB '!$4:$4,0),0),0)</f>
        <v>0</v>
      </c>
      <c r="K391" s="37">
        <f>IFERROR(VLOOKUP($B391,'TB '!$4:$1048576,MATCH('List of Ledgers '!K$4,'TB '!$4:$4,0),0),0)</f>
        <v>0</v>
      </c>
      <c r="L391" s="37">
        <f>IFERROR(VLOOKUP(B391,'TB '!$A:$J,10,),0)</f>
        <v>28000</v>
      </c>
      <c r="M391" s="71"/>
      <c r="N391" s="63">
        <f>IFERROR(VLOOKUP($B391,'TB YTD'!$4:$1048576,MATCH('List of Ledgers '!N$4,'TB YTD'!$4:$4,0),0),0)</f>
        <v>28000</v>
      </c>
      <c r="O391" s="63">
        <f>IFERROR(VLOOKUP($B391,'TB YTD'!$4:$1048576,MATCH('List of Ledgers '!O$4,'TB YTD'!$4:$4,0),0),0)</f>
        <v>0</v>
      </c>
      <c r="P391" s="63">
        <f>IFERROR(VLOOKUP($B391,'TB YTD'!$4:$1048576,MATCH('List of Ledgers '!P$4,'TB YTD'!$4:$4,0),0),0)</f>
        <v>0</v>
      </c>
      <c r="Q391" s="63">
        <f>IFERROR(VLOOKUP($B391,'TB YTD'!$4:$1048576,MATCH('List of Ledgers '!Q$4,'TB YTD'!$4:$4,0),0),0)</f>
        <v>28000</v>
      </c>
      <c r="R391" s="63"/>
    </row>
    <row r="392" spans="1:18" hidden="1" x14ac:dyDescent="0.25">
      <c r="A392" s="106">
        <v>380</v>
      </c>
      <c r="B392" s="8" t="s">
        <v>598</v>
      </c>
      <c r="C392" s="8" t="s">
        <v>183</v>
      </c>
      <c r="D392" s="12" t="s">
        <v>128</v>
      </c>
      <c r="E392" s="12" t="s">
        <v>134</v>
      </c>
      <c r="G392" s="12" t="s">
        <v>2</v>
      </c>
      <c r="H392" s="62"/>
      <c r="I392" s="37">
        <f>IFERROR(VLOOKUP(B392,'TB '!$A:$G,7,),0)</f>
        <v>0</v>
      </c>
      <c r="J392" s="37">
        <f>IFERROR(VLOOKUP($B392,'TB '!$4:$1048576,MATCH('List of Ledgers '!J$4,'TB '!$4:$4,0),0),0)</f>
        <v>0</v>
      </c>
      <c r="K392" s="37">
        <f>IFERROR(VLOOKUP($B392,'TB '!$4:$1048576,MATCH('List of Ledgers '!K$4,'TB '!$4:$4,0),0),0)</f>
        <v>0</v>
      </c>
      <c r="L392" s="37">
        <f>IFERROR(VLOOKUP(B392,'TB '!$A:$J,10,),0)</f>
        <v>0</v>
      </c>
      <c r="M392" s="71"/>
      <c r="N392" s="63">
        <f>IFERROR(VLOOKUP($B392,'TB YTD'!$4:$1048576,MATCH('List of Ledgers '!N$4,'TB YTD'!$4:$4,0),0),0)</f>
        <v>0</v>
      </c>
      <c r="O392" s="63">
        <f>IFERROR(VLOOKUP($B392,'TB YTD'!$4:$1048576,MATCH('List of Ledgers '!O$4,'TB YTD'!$4:$4,0),0),0)</f>
        <v>0</v>
      </c>
      <c r="P392" s="63">
        <f>IFERROR(VLOOKUP($B392,'TB YTD'!$4:$1048576,MATCH('List of Ledgers '!P$4,'TB YTD'!$4:$4,0),0),0)</f>
        <v>0</v>
      </c>
      <c r="Q392" s="63">
        <f>IFERROR(VLOOKUP($B392,'TB YTD'!$4:$1048576,MATCH('List of Ledgers '!Q$4,'TB YTD'!$4:$4,0),0),0)</f>
        <v>0</v>
      </c>
      <c r="R392" s="63"/>
    </row>
    <row r="393" spans="1:18" hidden="1" x14ac:dyDescent="0.25">
      <c r="A393" s="106">
        <v>381</v>
      </c>
      <c r="B393" s="8" t="s">
        <v>599</v>
      </c>
      <c r="C393" s="8" t="s">
        <v>124</v>
      </c>
      <c r="D393" s="17"/>
      <c r="E393" s="17"/>
      <c r="G393" s="17"/>
      <c r="H393" s="62"/>
      <c r="I393" s="37">
        <f>IFERROR(VLOOKUP(B393,'TB '!$A:$G,7,),0)</f>
        <v>18341.55</v>
      </c>
      <c r="J393" s="37">
        <f>IFERROR(VLOOKUP($B393,'TB '!$4:$1048576,MATCH('List of Ledgers '!J$4,'TB '!$4:$4,0),0),0)</f>
        <v>0</v>
      </c>
      <c r="K393" s="37">
        <f>IFERROR(VLOOKUP($B393,'TB '!$4:$1048576,MATCH('List of Ledgers '!K$4,'TB '!$4:$4,0),0),0)</f>
        <v>0</v>
      </c>
      <c r="L393" s="37">
        <f>IFERROR(VLOOKUP(B393,'TB '!$A:$J,10,),0)</f>
        <v>18341.55</v>
      </c>
      <c r="M393" s="71"/>
      <c r="N393" s="63">
        <f>IFERROR(VLOOKUP($B393,'TB YTD'!$4:$1048576,MATCH('List of Ledgers '!N$4,'TB YTD'!$4:$4,0),0),0)</f>
        <v>18341.55</v>
      </c>
      <c r="O393" s="63">
        <f>IFERROR(VLOOKUP($B393,'TB YTD'!$4:$1048576,MATCH('List of Ledgers '!O$4,'TB YTD'!$4:$4,0),0),0)</f>
        <v>0</v>
      </c>
      <c r="P393" s="63">
        <f>IFERROR(VLOOKUP($B393,'TB YTD'!$4:$1048576,MATCH('List of Ledgers '!P$4,'TB YTD'!$4:$4,0),0),0)</f>
        <v>0</v>
      </c>
      <c r="Q393" s="63">
        <f>IFERROR(VLOOKUP($B393,'TB YTD'!$4:$1048576,MATCH('List of Ledgers '!Q$4,'TB YTD'!$4:$4,0),0),0)</f>
        <v>18341.55</v>
      </c>
      <c r="R393" s="63"/>
    </row>
    <row r="394" spans="1:18" hidden="1" x14ac:dyDescent="0.25">
      <c r="A394" s="106">
        <v>382</v>
      </c>
      <c r="B394" s="8" t="s">
        <v>600</v>
      </c>
      <c r="C394" s="8" t="s">
        <v>140</v>
      </c>
      <c r="D394" s="17" t="s">
        <v>128</v>
      </c>
      <c r="E394" s="17" t="s">
        <v>131</v>
      </c>
      <c r="G394" s="17" t="s">
        <v>7</v>
      </c>
      <c r="H394" s="62"/>
      <c r="I394" s="37">
        <f>IFERROR(VLOOKUP(B394,'TB '!$A:$G,7,),0)</f>
        <v>0</v>
      </c>
      <c r="J394" s="37">
        <f>IFERROR(VLOOKUP($B394,'TB '!$4:$1048576,MATCH('List of Ledgers '!J$4,'TB '!$4:$4,0),0),0)</f>
        <v>0</v>
      </c>
      <c r="K394" s="37">
        <f>IFERROR(VLOOKUP($B394,'TB '!$4:$1048576,MATCH('List of Ledgers '!K$4,'TB '!$4:$4,0),0),0)</f>
        <v>0</v>
      </c>
      <c r="L394" s="37">
        <f>IFERROR(VLOOKUP(B394,'TB '!$A:$J,10,),0)</f>
        <v>0</v>
      </c>
      <c r="M394" s="71"/>
      <c r="N394" s="63">
        <f>IFERROR(VLOOKUP($B394,'TB YTD'!$4:$1048576,MATCH('List of Ledgers '!N$4,'TB YTD'!$4:$4,0),0),0)</f>
        <v>0</v>
      </c>
      <c r="O394" s="63">
        <f>IFERROR(VLOOKUP($B394,'TB YTD'!$4:$1048576,MATCH('List of Ledgers '!O$4,'TB YTD'!$4:$4,0),0),0)</f>
        <v>861</v>
      </c>
      <c r="P394" s="63">
        <f>IFERROR(VLOOKUP($B394,'TB YTD'!$4:$1048576,MATCH('List of Ledgers '!P$4,'TB YTD'!$4:$4,0),0),0)</f>
        <v>861</v>
      </c>
      <c r="Q394" s="63">
        <f>IFERROR(VLOOKUP($B394,'TB YTD'!$4:$1048576,MATCH('List of Ledgers '!Q$4,'TB YTD'!$4:$4,0),0),0)</f>
        <v>0</v>
      </c>
      <c r="R394" s="63"/>
    </row>
    <row r="395" spans="1:18" hidden="1" x14ac:dyDescent="0.25">
      <c r="A395" s="106">
        <v>383</v>
      </c>
      <c r="B395" s="8" t="s">
        <v>601</v>
      </c>
      <c r="C395" s="8" t="s">
        <v>356</v>
      </c>
      <c r="D395" s="17" t="s">
        <v>128</v>
      </c>
      <c r="E395" s="17" t="s">
        <v>131</v>
      </c>
      <c r="G395" s="17" t="s">
        <v>7</v>
      </c>
      <c r="H395" s="62"/>
      <c r="I395" s="37">
        <f>IFERROR(VLOOKUP(B395,'TB '!$A:$G,7,),0)</f>
        <v>0</v>
      </c>
      <c r="J395" s="37">
        <f>IFERROR(VLOOKUP($B395,'TB '!$4:$1048576,MATCH('List of Ledgers '!J$4,'TB '!$4:$4,0),0),0)</f>
        <v>0</v>
      </c>
      <c r="K395" s="37">
        <f>IFERROR(VLOOKUP($B395,'TB '!$4:$1048576,MATCH('List of Ledgers '!K$4,'TB '!$4:$4,0),0),0)</f>
        <v>0</v>
      </c>
      <c r="L395" s="37">
        <f>IFERROR(VLOOKUP(B395,'TB '!$A:$J,10,),0)</f>
        <v>0</v>
      </c>
      <c r="M395" s="71"/>
      <c r="N395" s="63">
        <f>IFERROR(VLOOKUP($B395,'TB YTD'!$4:$1048576,MATCH('List of Ledgers '!N$4,'TB YTD'!$4:$4,0),0),0)</f>
        <v>0</v>
      </c>
      <c r="O395" s="63">
        <f>IFERROR(VLOOKUP($B395,'TB YTD'!$4:$1048576,MATCH('List of Ledgers '!O$4,'TB YTD'!$4:$4,0),0),0)</f>
        <v>0</v>
      </c>
      <c r="P395" s="63">
        <f>IFERROR(VLOOKUP($B395,'TB YTD'!$4:$1048576,MATCH('List of Ledgers '!P$4,'TB YTD'!$4:$4,0),0),0)</f>
        <v>0</v>
      </c>
      <c r="Q395" s="63">
        <f>IFERROR(VLOOKUP($B395,'TB YTD'!$4:$1048576,MATCH('List of Ledgers '!Q$4,'TB YTD'!$4:$4,0),0),0)</f>
        <v>0</v>
      </c>
      <c r="R395" s="63"/>
    </row>
    <row r="396" spans="1:18" hidden="1" x14ac:dyDescent="0.25">
      <c r="A396" s="106">
        <v>384</v>
      </c>
      <c r="B396" s="8" t="s">
        <v>602</v>
      </c>
      <c r="C396" s="8" t="s">
        <v>136</v>
      </c>
      <c r="D396" s="12" t="s">
        <v>128</v>
      </c>
      <c r="E396" s="12" t="s">
        <v>134</v>
      </c>
      <c r="G396" s="12" t="s">
        <v>2</v>
      </c>
      <c r="H396" s="62"/>
      <c r="I396" s="37">
        <f>IFERROR(VLOOKUP(B396,'TB '!$A:$G,7,),0)</f>
        <v>0</v>
      </c>
      <c r="J396" s="37">
        <f>IFERROR(VLOOKUP($B396,'TB '!$4:$1048576,MATCH('List of Ledgers '!J$4,'TB '!$4:$4,0),0),0)</f>
        <v>0</v>
      </c>
      <c r="K396" s="37">
        <f>IFERROR(VLOOKUP($B396,'TB '!$4:$1048576,MATCH('List of Ledgers '!K$4,'TB '!$4:$4,0),0),0)</f>
        <v>0</v>
      </c>
      <c r="L396" s="37">
        <f>IFERROR(VLOOKUP(B396,'TB '!$A:$J,10,),0)</f>
        <v>0</v>
      </c>
      <c r="M396" s="71"/>
      <c r="N396" s="63">
        <f>IFERROR(VLOOKUP($B396,'TB YTD'!$4:$1048576,MATCH('List of Ledgers '!N$4,'TB YTD'!$4:$4,0),0),0)</f>
        <v>0</v>
      </c>
      <c r="O396" s="63">
        <f>IFERROR(VLOOKUP($B396,'TB YTD'!$4:$1048576,MATCH('List of Ledgers '!O$4,'TB YTD'!$4:$4,0),0),0)</f>
        <v>25960</v>
      </c>
      <c r="P396" s="63">
        <f>IFERROR(VLOOKUP($B396,'TB YTD'!$4:$1048576,MATCH('List of Ledgers '!P$4,'TB YTD'!$4:$4,0),0),0)</f>
        <v>25960</v>
      </c>
      <c r="Q396" s="63">
        <f>IFERROR(VLOOKUP($B396,'TB YTD'!$4:$1048576,MATCH('List of Ledgers '!Q$4,'TB YTD'!$4:$4,0),0),0)</f>
        <v>0</v>
      </c>
      <c r="R396" s="63"/>
    </row>
    <row r="397" spans="1:18" hidden="1" x14ac:dyDescent="0.25">
      <c r="A397" s="106">
        <v>385</v>
      </c>
      <c r="B397" s="8" t="s">
        <v>603</v>
      </c>
      <c r="C397" s="8" t="s">
        <v>124</v>
      </c>
      <c r="D397" s="17"/>
      <c r="E397" s="17"/>
      <c r="G397" s="17"/>
      <c r="H397" s="62"/>
      <c r="I397" s="37">
        <f>IFERROR(VLOOKUP(B397,'TB '!$A:$G,7,),0)</f>
        <v>26231.75</v>
      </c>
      <c r="J397" s="37">
        <f>IFERROR(VLOOKUP($B397,'TB '!$4:$1048576,MATCH('List of Ledgers '!J$4,'TB '!$4:$4,0),0),0)</f>
        <v>0</v>
      </c>
      <c r="K397" s="37">
        <f>IFERROR(VLOOKUP($B397,'TB '!$4:$1048576,MATCH('List of Ledgers '!K$4,'TB '!$4:$4,0),0),0)</f>
        <v>0</v>
      </c>
      <c r="L397" s="37">
        <f>IFERROR(VLOOKUP(B397,'TB '!$A:$J,10,),0)</f>
        <v>26231.75</v>
      </c>
      <c r="M397" s="71"/>
      <c r="N397" s="63">
        <f>IFERROR(VLOOKUP($B397,'TB YTD'!$4:$1048576,MATCH('List of Ledgers '!N$4,'TB YTD'!$4:$4,0),0),0)</f>
        <v>26231.75</v>
      </c>
      <c r="O397" s="63">
        <f>IFERROR(VLOOKUP($B397,'TB YTD'!$4:$1048576,MATCH('List of Ledgers '!O$4,'TB YTD'!$4:$4,0),0),0)</f>
        <v>0</v>
      </c>
      <c r="P397" s="63">
        <f>IFERROR(VLOOKUP($B397,'TB YTD'!$4:$1048576,MATCH('List of Ledgers '!P$4,'TB YTD'!$4:$4,0),0),0)</f>
        <v>0</v>
      </c>
      <c r="Q397" s="63">
        <f>IFERROR(VLOOKUP($B397,'TB YTD'!$4:$1048576,MATCH('List of Ledgers '!Q$4,'TB YTD'!$4:$4,0),0),0)</f>
        <v>26231.75</v>
      </c>
      <c r="R397" s="63"/>
    </row>
    <row r="398" spans="1:18" hidden="1" x14ac:dyDescent="0.25">
      <c r="A398" s="106">
        <v>386</v>
      </c>
      <c r="B398" s="8" t="s">
        <v>604</v>
      </c>
      <c r="C398" s="8" t="s">
        <v>150</v>
      </c>
      <c r="D398" s="17" t="s">
        <v>151</v>
      </c>
      <c r="E398" s="17" t="s">
        <v>152</v>
      </c>
      <c r="F398" s="12" t="s">
        <v>54</v>
      </c>
      <c r="G398" s="17" t="s">
        <v>2</v>
      </c>
      <c r="H398" s="62"/>
      <c r="I398" s="37">
        <f>IFERROR(VLOOKUP(B398,'TB '!$A:$G,7,),0)</f>
        <v>0</v>
      </c>
      <c r="J398" s="37">
        <f>IFERROR(VLOOKUP($B398,'TB '!$4:$1048576,MATCH('List of Ledgers '!J$4,'TB '!$4:$4,0),0),0)</f>
        <v>0</v>
      </c>
      <c r="K398" s="37">
        <f>IFERROR(VLOOKUP($B398,'TB '!$4:$1048576,MATCH('List of Ledgers '!K$4,'TB '!$4:$4,0),0),0)</f>
        <v>0</v>
      </c>
      <c r="L398" s="37">
        <f>IFERROR(VLOOKUP(B398,'TB '!$A:$J,10,),0)</f>
        <v>0</v>
      </c>
      <c r="M398" s="71"/>
      <c r="N398" s="63">
        <f>IFERROR(VLOOKUP($B398,'TB YTD'!$4:$1048576,MATCH('List of Ledgers '!N$4,'TB YTD'!$4:$4,0),0),0)</f>
        <v>0</v>
      </c>
      <c r="O398" s="63">
        <f>IFERROR(VLOOKUP($B398,'TB YTD'!$4:$1048576,MATCH('List of Ledgers '!O$4,'TB YTD'!$4:$4,0),0),0)</f>
        <v>13260</v>
      </c>
      <c r="P398" s="63">
        <f>IFERROR(VLOOKUP($B398,'TB YTD'!$4:$1048576,MATCH('List of Ledgers '!P$4,'TB YTD'!$4:$4,0),0),0)</f>
        <v>0</v>
      </c>
      <c r="Q398" s="63">
        <f>IFERROR(VLOOKUP($B398,'TB YTD'!$4:$1048576,MATCH('List of Ledgers '!Q$4,'TB YTD'!$4:$4,0),0),0)</f>
        <v>13260</v>
      </c>
      <c r="R398" s="63"/>
    </row>
    <row r="399" spans="1:18" hidden="1" x14ac:dyDescent="0.25">
      <c r="A399" s="106">
        <v>387</v>
      </c>
      <c r="B399" s="8" t="s">
        <v>605</v>
      </c>
      <c r="C399" s="8" t="s">
        <v>606</v>
      </c>
      <c r="D399" s="17" t="s">
        <v>128</v>
      </c>
      <c r="E399" s="17" t="s">
        <v>134</v>
      </c>
      <c r="G399" s="17" t="s">
        <v>2</v>
      </c>
      <c r="H399" s="62"/>
      <c r="I399" s="37">
        <f>IFERROR(VLOOKUP(B399,'TB '!$A:$G,7,),0)</f>
        <v>0</v>
      </c>
      <c r="J399" s="37">
        <f>IFERROR(VLOOKUP($B399,'TB '!$4:$1048576,MATCH('List of Ledgers '!J$4,'TB '!$4:$4,0),0),0)</f>
        <v>0</v>
      </c>
      <c r="K399" s="37">
        <f>IFERROR(VLOOKUP($B399,'TB '!$4:$1048576,MATCH('List of Ledgers '!K$4,'TB '!$4:$4,0),0),0)</f>
        <v>0</v>
      </c>
      <c r="L399" s="37">
        <f>IFERROR(VLOOKUP(B399,'TB '!$A:$J,10,),0)</f>
        <v>0</v>
      </c>
      <c r="M399" s="71"/>
      <c r="N399" s="63">
        <f>IFERROR(VLOOKUP($B399,'TB YTD'!$4:$1048576,MATCH('List of Ledgers '!N$4,'TB YTD'!$4:$4,0),0),0)</f>
        <v>0</v>
      </c>
      <c r="O399" s="63">
        <f>IFERROR(VLOOKUP($B399,'TB YTD'!$4:$1048576,MATCH('List of Ledgers '!O$4,'TB YTD'!$4:$4,0),0),0)</f>
        <v>0</v>
      </c>
      <c r="P399" s="63">
        <f>IFERROR(VLOOKUP($B399,'TB YTD'!$4:$1048576,MATCH('List of Ledgers '!P$4,'TB YTD'!$4:$4,0),0),0)</f>
        <v>0</v>
      </c>
      <c r="Q399" s="63">
        <f>IFERROR(VLOOKUP($B399,'TB YTD'!$4:$1048576,MATCH('List of Ledgers '!Q$4,'TB YTD'!$4:$4,0),0),0)</f>
        <v>0</v>
      </c>
      <c r="R399" s="63"/>
    </row>
    <row r="400" spans="1:18" hidden="1" x14ac:dyDescent="0.25">
      <c r="A400" s="106">
        <v>388</v>
      </c>
      <c r="B400" s="8" t="s">
        <v>607</v>
      </c>
      <c r="C400" s="8" t="s">
        <v>275</v>
      </c>
      <c r="D400" s="17" t="s">
        <v>151</v>
      </c>
      <c r="E400" s="17" t="s">
        <v>152</v>
      </c>
      <c r="F400" s="12" t="s">
        <v>60</v>
      </c>
      <c r="G400" s="17" t="s">
        <v>7</v>
      </c>
      <c r="H400" s="62"/>
      <c r="I400" s="37">
        <f>IFERROR(VLOOKUP(B400,'TB '!$A:$G,7,),0)</f>
        <v>0</v>
      </c>
      <c r="J400" s="37">
        <f>IFERROR(VLOOKUP($B400,'TB '!$4:$1048576,MATCH('List of Ledgers '!J$4,'TB '!$4:$4,0),0),0)</f>
        <v>0</v>
      </c>
      <c r="K400" s="37">
        <f>IFERROR(VLOOKUP($B400,'TB '!$4:$1048576,MATCH('List of Ledgers '!K$4,'TB '!$4:$4,0),0),0)</f>
        <v>0</v>
      </c>
      <c r="L400" s="37">
        <f>IFERROR(VLOOKUP(B400,'TB '!$A:$J,10,),0)</f>
        <v>0</v>
      </c>
      <c r="M400" s="71"/>
      <c r="N400" s="63">
        <f>IFERROR(VLOOKUP($B400,'TB YTD'!$4:$1048576,MATCH('List of Ledgers '!N$4,'TB YTD'!$4:$4,0),0),0)</f>
        <v>0</v>
      </c>
      <c r="O400" s="63">
        <f>IFERROR(VLOOKUP($B400,'TB YTD'!$4:$1048576,MATCH('List of Ledgers '!O$4,'TB YTD'!$4:$4,0),0),0)</f>
        <v>40000</v>
      </c>
      <c r="P400" s="63">
        <f>IFERROR(VLOOKUP($B400,'TB YTD'!$4:$1048576,MATCH('List of Ledgers '!P$4,'TB YTD'!$4:$4,0),0),0)</f>
        <v>0</v>
      </c>
      <c r="Q400" s="63">
        <f>IFERROR(VLOOKUP($B400,'TB YTD'!$4:$1048576,MATCH('List of Ledgers '!Q$4,'TB YTD'!$4:$4,0),0),0)</f>
        <v>40000</v>
      </c>
      <c r="R400" s="63"/>
    </row>
    <row r="401" spans="1:18" hidden="1" x14ac:dyDescent="0.25">
      <c r="A401" s="106">
        <v>389</v>
      </c>
      <c r="B401" s="8" t="s">
        <v>608</v>
      </c>
      <c r="C401" s="8" t="s">
        <v>609</v>
      </c>
      <c r="D401" s="12" t="s">
        <v>128</v>
      </c>
      <c r="E401" s="12" t="s">
        <v>134</v>
      </c>
      <c r="G401" s="12" t="s">
        <v>2</v>
      </c>
      <c r="H401" s="62"/>
      <c r="I401" s="37">
        <f>IFERROR(VLOOKUP(B401,'TB '!$A:$G,7,),0)</f>
        <v>0</v>
      </c>
      <c r="J401" s="37">
        <f>IFERROR(VLOOKUP($B401,'TB '!$4:$1048576,MATCH('List of Ledgers '!J$4,'TB '!$4:$4,0),0),0)</f>
        <v>0</v>
      </c>
      <c r="K401" s="37">
        <f>IFERROR(VLOOKUP($B401,'TB '!$4:$1048576,MATCH('List of Ledgers '!K$4,'TB '!$4:$4,0),0),0)</f>
        <v>0</v>
      </c>
      <c r="L401" s="37">
        <f>IFERROR(VLOOKUP(B401,'TB '!$A:$J,10,),0)</f>
        <v>0</v>
      </c>
      <c r="M401" s="71"/>
      <c r="N401" s="63">
        <f>IFERROR(VLOOKUP($B401,'TB YTD'!$4:$1048576,MATCH('List of Ledgers '!N$4,'TB YTD'!$4:$4,0),0),0)</f>
        <v>0</v>
      </c>
      <c r="O401" s="63">
        <f>IFERROR(VLOOKUP($B401,'TB YTD'!$4:$1048576,MATCH('List of Ledgers '!O$4,'TB YTD'!$4:$4,0),0),0)</f>
        <v>0</v>
      </c>
      <c r="P401" s="63">
        <f>IFERROR(VLOOKUP($B401,'TB YTD'!$4:$1048576,MATCH('List of Ledgers '!P$4,'TB YTD'!$4:$4,0),0),0)</f>
        <v>0</v>
      </c>
      <c r="Q401" s="63">
        <f>IFERROR(VLOOKUP($B401,'TB YTD'!$4:$1048576,MATCH('List of Ledgers '!Q$4,'TB YTD'!$4:$4,0),0),0)</f>
        <v>0</v>
      </c>
      <c r="R401" s="63"/>
    </row>
    <row r="402" spans="1:18" hidden="1" x14ac:dyDescent="0.25">
      <c r="A402" s="106">
        <v>390</v>
      </c>
      <c r="B402" s="8" t="s">
        <v>610</v>
      </c>
      <c r="C402" s="8" t="s">
        <v>267</v>
      </c>
      <c r="D402" s="17" t="s">
        <v>128</v>
      </c>
      <c r="E402" s="17" t="s">
        <v>134</v>
      </c>
      <c r="G402" s="17" t="s">
        <v>2</v>
      </c>
      <c r="H402" s="62"/>
      <c r="I402" s="37">
        <f>IFERROR(VLOOKUP(B402,'TB '!$A:$G,7,),0)</f>
        <v>39766</v>
      </c>
      <c r="J402" s="37">
        <f>IFERROR(VLOOKUP($B402,'TB '!$4:$1048576,MATCH('List of Ledgers '!J$4,'TB '!$4:$4,0),0),0)</f>
        <v>0</v>
      </c>
      <c r="K402" s="37">
        <f>IFERROR(VLOOKUP($B402,'TB '!$4:$1048576,MATCH('List of Ledgers '!K$4,'TB '!$4:$4,0),0),0)</f>
        <v>0</v>
      </c>
      <c r="L402" s="37">
        <f>IFERROR(VLOOKUP(B402,'TB '!$A:$J,10,),0)</f>
        <v>39766</v>
      </c>
      <c r="M402" s="71"/>
      <c r="N402" s="63">
        <f>IFERROR(VLOOKUP($B402,'TB YTD'!$4:$1048576,MATCH('List of Ledgers '!N$4,'TB YTD'!$4:$4,0),0),0)</f>
        <v>39766</v>
      </c>
      <c r="O402" s="63">
        <f>IFERROR(VLOOKUP($B402,'TB YTD'!$4:$1048576,MATCH('List of Ledgers '!O$4,'TB YTD'!$4:$4,0),0),0)</f>
        <v>0</v>
      </c>
      <c r="P402" s="63">
        <f>IFERROR(VLOOKUP($B402,'TB YTD'!$4:$1048576,MATCH('List of Ledgers '!P$4,'TB YTD'!$4:$4,0),0),0)</f>
        <v>0</v>
      </c>
      <c r="Q402" s="63">
        <f>IFERROR(VLOOKUP($B402,'TB YTD'!$4:$1048576,MATCH('List of Ledgers '!Q$4,'TB YTD'!$4:$4,0),0),0)</f>
        <v>39766</v>
      </c>
      <c r="R402" s="63"/>
    </row>
    <row r="403" spans="1:18" hidden="1" x14ac:dyDescent="0.25">
      <c r="A403" s="106">
        <v>391</v>
      </c>
      <c r="B403" s="8" t="s">
        <v>611</v>
      </c>
      <c r="C403" s="8" t="s">
        <v>322</v>
      </c>
      <c r="D403" s="17" t="s">
        <v>151</v>
      </c>
      <c r="E403" s="17" t="s">
        <v>152</v>
      </c>
      <c r="F403" s="12" t="s">
        <v>61</v>
      </c>
      <c r="G403" s="17" t="s">
        <v>7</v>
      </c>
      <c r="H403" s="62"/>
      <c r="I403" s="37">
        <f>IFERROR(VLOOKUP(B403,'TB '!$A:$G,7,),0)</f>
        <v>0</v>
      </c>
      <c r="J403" s="37">
        <f>IFERROR(VLOOKUP($B403,'TB '!$4:$1048576,MATCH('List of Ledgers '!J$4,'TB '!$4:$4,0),0),0)</f>
        <v>46305</v>
      </c>
      <c r="K403" s="37">
        <f>IFERROR(VLOOKUP($B403,'TB '!$4:$1048576,MATCH('List of Ledgers '!K$4,'TB '!$4:$4,0),0),0)</f>
        <v>0</v>
      </c>
      <c r="L403" s="37">
        <f>IFERROR(VLOOKUP(B403,'TB '!$A:$J,10,),0)</f>
        <v>46305</v>
      </c>
      <c r="M403" s="71"/>
      <c r="N403" s="63">
        <f>IFERROR(VLOOKUP($B403,'TB YTD'!$4:$1048576,MATCH('List of Ledgers '!N$4,'TB YTD'!$4:$4,0),0),0)</f>
        <v>0</v>
      </c>
      <c r="O403" s="63">
        <f>IFERROR(VLOOKUP($B403,'TB YTD'!$4:$1048576,MATCH('List of Ledgers '!O$4,'TB YTD'!$4:$4,0),0),0)</f>
        <v>533820</v>
      </c>
      <c r="P403" s="63">
        <f>IFERROR(VLOOKUP($B403,'TB YTD'!$4:$1048576,MATCH('List of Ledgers '!P$4,'TB YTD'!$4:$4,0),0),0)</f>
        <v>0</v>
      </c>
      <c r="Q403" s="63">
        <f>IFERROR(VLOOKUP($B403,'TB YTD'!$4:$1048576,MATCH('List of Ledgers '!Q$4,'TB YTD'!$4:$4,0),0),0)</f>
        <v>533820</v>
      </c>
      <c r="R403" s="63"/>
    </row>
    <row r="404" spans="1:18" hidden="1" x14ac:dyDescent="0.25">
      <c r="A404" s="106">
        <v>392</v>
      </c>
      <c r="B404" s="8" t="s">
        <v>612</v>
      </c>
      <c r="C404" s="8" t="s">
        <v>150</v>
      </c>
      <c r="D404" s="17" t="s">
        <v>151</v>
      </c>
      <c r="E404" s="17" t="s">
        <v>152</v>
      </c>
      <c r="F404" s="12" t="s">
        <v>63</v>
      </c>
      <c r="G404" s="17" t="s">
        <v>2</v>
      </c>
      <c r="H404" s="62"/>
      <c r="I404" s="37">
        <f>IFERROR(VLOOKUP(B404,'TB '!$A:$G,7,),0)</f>
        <v>0</v>
      </c>
      <c r="J404" s="37">
        <f>IFERROR(VLOOKUP($B404,'TB '!$4:$1048576,MATCH('List of Ledgers '!J$4,'TB '!$4:$4,0),0),0)</f>
        <v>0</v>
      </c>
      <c r="K404" s="37">
        <f>IFERROR(VLOOKUP($B404,'TB '!$4:$1048576,MATCH('List of Ledgers '!K$4,'TB '!$4:$4,0),0),0)</f>
        <v>0</v>
      </c>
      <c r="L404" s="37">
        <f>IFERROR(VLOOKUP(B404,'TB '!$A:$J,10,),0)</f>
        <v>0</v>
      </c>
      <c r="M404" s="71"/>
      <c r="N404" s="63">
        <f>IFERROR(VLOOKUP($B404,'TB YTD'!$4:$1048576,MATCH('List of Ledgers '!N$4,'TB YTD'!$4:$4,0),0),0)</f>
        <v>0</v>
      </c>
      <c r="O404" s="63">
        <f>IFERROR(VLOOKUP($B404,'TB YTD'!$4:$1048576,MATCH('List of Ledgers '!O$4,'TB YTD'!$4:$4,0),0),0)</f>
        <v>0</v>
      </c>
      <c r="P404" s="63">
        <f>IFERROR(VLOOKUP($B404,'TB YTD'!$4:$1048576,MATCH('List of Ledgers '!P$4,'TB YTD'!$4:$4,0),0),0)</f>
        <v>0</v>
      </c>
      <c r="Q404" s="63">
        <f>IFERROR(VLOOKUP($B404,'TB YTD'!$4:$1048576,MATCH('List of Ledgers '!Q$4,'TB YTD'!$4:$4,0),0),0)</f>
        <v>0</v>
      </c>
      <c r="R404" s="63"/>
    </row>
    <row r="405" spans="1:18" hidden="1" x14ac:dyDescent="0.25">
      <c r="A405" s="106">
        <v>393</v>
      </c>
      <c r="B405" s="8" t="s">
        <v>613</v>
      </c>
      <c r="C405" s="8" t="s">
        <v>361</v>
      </c>
      <c r="D405" s="17" t="s">
        <v>151</v>
      </c>
      <c r="E405" s="17" t="s">
        <v>152</v>
      </c>
      <c r="F405" s="12" t="s">
        <v>63</v>
      </c>
      <c r="G405" s="17" t="s">
        <v>3</v>
      </c>
      <c r="H405" s="62"/>
      <c r="I405" s="37">
        <f>IFERROR(VLOOKUP(B405,'TB '!$A:$G,7,),0)</f>
        <v>0</v>
      </c>
      <c r="J405" s="37">
        <f>IFERROR(VLOOKUP($B405,'TB '!$4:$1048576,MATCH('List of Ledgers '!J$4,'TB '!$4:$4,0),0),0)</f>
        <v>0</v>
      </c>
      <c r="K405" s="37">
        <f>IFERROR(VLOOKUP($B405,'TB '!$4:$1048576,MATCH('List of Ledgers '!K$4,'TB '!$4:$4,0),0),0)</f>
        <v>0</v>
      </c>
      <c r="L405" s="37">
        <f>IFERROR(VLOOKUP(B405,'TB '!$A:$J,10,),0)</f>
        <v>0</v>
      </c>
      <c r="M405" s="71"/>
      <c r="N405" s="63">
        <f>IFERROR(VLOOKUP($B405,'TB YTD'!$4:$1048576,MATCH('List of Ledgers '!N$4,'TB YTD'!$4:$4,0),0),0)</f>
        <v>0</v>
      </c>
      <c r="O405" s="63">
        <f>IFERROR(VLOOKUP($B405,'TB YTD'!$4:$1048576,MATCH('List of Ledgers '!O$4,'TB YTD'!$4:$4,0),0),0)</f>
        <v>6200</v>
      </c>
      <c r="P405" s="63">
        <f>IFERROR(VLOOKUP($B405,'TB YTD'!$4:$1048576,MATCH('List of Ledgers '!P$4,'TB YTD'!$4:$4,0),0),0)</f>
        <v>0</v>
      </c>
      <c r="Q405" s="63">
        <f>IFERROR(VLOOKUP($B405,'TB YTD'!$4:$1048576,MATCH('List of Ledgers '!Q$4,'TB YTD'!$4:$4,0),0),0)</f>
        <v>6200</v>
      </c>
      <c r="R405" s="63"/>
    </row>
    <row r="406" spans="1:18" hidden="1" x14ac:dyDescent="0.25">
      <c r="A406" s="106">
        <v>394</v>
      </c>
      <c r="B406" s="8" t="s">
        <v>614</v>
      </c>
      <c r="C406" s="8" t="s">
        <v>322</v>
      </c>
      <c r="D406" s="17" t="s">
        <v>151</v>
      </c>
      <c r="E406" s="17" t="s">
        <v>152</v>
      </c>
      <c r="F406" s="12" t="s">
        <v>63</v>
      </c>
      <c r="G406" s="17" t="s">
        <v>7</v>
      </c>
      <c r="H406" s="62"/>
      <c r="I406" s="37">
        <f>IFERROR(VLOOKUP(B406,'TB '!$A:$G,7,),0)</f>
        <v>0</v>
      </c>
      <c r="J406" s="37">
        <f>IFERROR(VLOOKUP($B406,'TB '!$4:$1048576,MATCH('List of Ledgers '!J$4,'TB '!$4:$4,0),0),0)</f>
        <v>0</v>
      </c>
      <c r="K406" s="37">
        <f>IFERROR(VLOOKUP($B406,'TB '!$4:$1048576,MATCH('List of Ledgers '!K$4,'TB '!$4:$4,0),0),0)</f>
        <v>0</v>
      </c>
      <c r="L406" s="37">
        <f>IFERROR(VLOOKUP(B406,'TB '!$A:$J,10,),0)</f>
        <v>0</v>
      </c>
      <c r="M406" s="71"/>
      <c r="N406" s="63">
        <f>IFERROR(VLOOKUP($B406,'TB YTD'!$4:$1048576,MATCH('List of Ledgers '!N$4,'TB YTD'!$4:$4,0),0),0)</f>
        <v>0</v>
      </c>
      <c r="O406" s="63">
        <f>IFERROR(VLOOKUP($B406,'TB YTD'!$4:$1048576,MATCH('List of Ledgers '!O$4,'TB YTD'!$4:$4,0),0),0)</f>
        <v>5409</v>
      </c>
      <c r="P406" s="63">
        <f>IFERROR(VLOOKUP($B406,'TB YTD'!$4:$1048576,MATCH('List of Ledgers '!P$4,'TB YTD'!$4:$4,0),0),0)</f>
        <v>0</v>
      </c>
      <c r="Q406" s="63">
        <f>IFERROR(VLOOKUP($B406,'TB YTD'!$4:$1048576,MATCH('List of Ledgers '!Q$4,'TB YTD'!$4:$4,0),0),0)</f>
        <v>5409</v>
      </c>
      <c r="R406" s="63"/>
    </row>
    <row r="407" spans="1:18" hidden="1" x14ac:dyDescent="0.25">
      <c r="A407" s="106">
        <v>395</v>
      </c>
      <c r="B407" s="8" t="s">
        <v>615</v>
      </c>
      <c r="C407" s="8" t="s">
        <v>275</v>
      </c>
      <c r="D407" s="17" t="s">
        <v>151</v>
      </c>
      <c r="E407" s="17" t="s">
        <v>152</v>
      </c>
      <c r="F407" s="12" t="s">
        <v>63</v>
      </c>
      <c r="G407" s="17" t="s">
        <v>7</v>
      </c>
      <c r="H407" s="62"/>
      <c r="I407" s="37">
        <f>IFERROR(VLOOKUP(B407,'TB '!$A:$G,7,),0)</f>
        <v>0</v>
      </c>
      <c r="J407" s="37">
        <f>IFERROR(VLOOKUP($B407,'TB '!$4:$1048576,MATCH('List of Ledgers '!J$4,'TB '!$4:$4,0),0),0)</f>
        <v>7480</v>
      </c>
      <c r="K407" s="37">
        <f>IFERROR(VLOOKUP($B407,'TB '!$4:$1048576,MATCH('List of Ledgers '!K$4,'TB '!$4:$4,0),0),0)</f>
        <v>0</v>
      </c>
      <c r="L407" s="37">
        <f>IFERROR(VLOOKUP(B407,'TB '!$A:$J,10,),0)</f>
        <v>7480</v>
      </c>
      <c r="M407" s="71"/>
      <c r="N407" s="63">
        <f>IFERROR(VLOOKUP($B407,'TB YTD'!$4:$1048576,MATCH('List of Ledgers '!N$4,'TB YTD'!$4:$4,0),0),0)</f>
        <v>0</v>
      </c>
      <c r="O407" s="63">
        <f>IFERROR(VLOOKUP($B407,'TB YTD'!$4:$1048576,MATCH('List of Ledgers '!O$4,'TB YTD'!$4:$4,0),0),0)</f>
        <v>7480</v>
      </c>
      <c r="P407" s="63">
        <f>IFERROR(VLOOKUP($B407,'TB YTD'!$4:$1048576,MATCH('List of Ledgers '!P$4,'TB YTD'!$4:$4,0),0),0)</f>
        <v>0</v>
      </c>
      <c r="Q407" s="63">
        <f>IFERROR(VLOOKUP($B407,'TB YTD'!$4:$1048576,MATCH('List of Ledgers '!Q$4,'TB YTD'!$4:$4,0),0),0)</f>
        <v>7480</v>
      </c>
      <c r="R407" s="63"/>
    </row>
    <row r="408" spans="1:18" hidden="1" x14ac:dyDescent="0.25">
      <c r="A408" s="106">
        <v>396</v>
      </c>
      <c r="B408" s="8" t="s">
        <v>616</v>
      </c>
      <c r="C408" s="8" t="s">
        <v>322</v>
      </c>
      <c r="D408" s="17" t="s">
        <v>151</v>
      </c>
      <c r="E408" s="17" t="s">
        <v>1291</v>
      </c>
      <c r="F408" s="12" t="s">
        <v>55</v>
      </c>
      <c r="G408" s="17" t="s">
        <v>5</v>
      </c>
      <c r="H408" s="62"/>
      <c r="I408" s="37">
        <f>IFERROR(VLOOKUP(B408,'TB '!$A:$G,7,),0)</f>
        <v>0</v>
      </c>
      <c r="J408" s="37">
        <f>IFERROR(VLOOKUP($B408,'TB '!$4:$1048576,MATCH('List of Ledgers '!J$4,'TB '!$4:$4,0),0),0)</f>
        <v>0</v>
      </c>
      <c r="K408" s="37">
        <f>IFERROR(VLOOKUP($B408,'TB '!$4:$1048576,MATCH('List of Ledgers '!K$4,'TB '!$4:$4,0),0),0)</f>
        <v>0</v>
      </c>
      <c r="L408" s="37">
        <f>IFERROR(VLOOKUP(B408,'TB '!$A:$J,10,),0)</f>
        <v>0</v>
      </c>
      <c r="M408" s="71"/>
      <c r="N408" s="63">
        <f>IFERROR(VLOOKUP($B408,'TB YTD'!$4:$1048576,MATCH('List of Ledgers '!N$4,'TB YTD'!$4:$4,0),0),0)</f>
        <v>0</v>
      </c>
      <c r="O408" s="63">
        <f>IFERROR(VLOOKUP($B408,'TB YTD'!$4:$1048576,MATCH('List of Ledgers '!O$4,'TB YTD'!$4:$4,0),0),0)</f>
        <v>0</v>
      </c>
      <c r="P408" s="63">
        <f>IFERROR(VLOOKUP($B408,'TB YTD'!$4:$1048576,MATCH('List of Ledgers '!P$4,'TB YTD'!$4:$4,0),0),0)</f>
        <v>0</v>
      </c>
      <c r="Q408" s="63">
        <f>IFERROR(VLOOKUP($B408,'TB YTD'!$4:$1048576,MATCH('List of Ledgers '!Q$4,'TB YTD'!$4:$4,0),0),0)</f>
        <v>0</v>
      </c>
      <c r="R408" s="63"/>
    </row>
    <row r="409" spans="1:18" hidden="1" x14ac:dyDescent="0.25">
      <c r="A409" s="106">
        <v>397</v>
      </c>
      <c r="B409" s="8" t="s">
        <v>617</v>
      </c>
      <c r="C409" s="8" t="s">
        <v>166</v>
      </c>
      <c r="D409" s="17" t="s">
        <v>151</v>
      </c>
      <c r="E409" s="17" t="s">
        <v>152</v>
      </c>
      <c r="F409" s="12" t="s">
        <v>56</v>
      </c>
      <c r="G409" s="17" t="s">
        <v>4</v>
      </c>
      <c r="H409" s="62"/>
      <c r="I409" s="37">
        <f>IFERROR(VLOOKUP(B409,'TB '!$A:$G,7,),0)</f>
        <v>0</v>
      </c>
      <c r="J409" s="37">
        <f>IFERROR(VLOOKUP($B409,'TB '!$4:$1048576,MATCH('List of Ledgers '!J$4,'TB '!$4:$4,0),0),0)</f>
        <v>0</v>
      </c>
      <c r="K409" s="37">
        <f>IFERROR(VLOOKUP($B409,'TB '!$4:$1048576,MATCH('List of Ledgers '!K$4,'TB '!$4:$4,0),0),0)</f>
        <v>0</v>
      </c>
      <c r="L409" s="37">
        <f>IFERROR(VLOOKUP(B409,'TB '!$A:$J,10,),0)</f>
        <v>0</v>
      </c>
      <c r="M409" s="71"/>
      <c r="N409" s="63">
        <f>IFERROR(VLOOKUP($B409,'TB YTD'!$4:$1048576,MATCH('List of Ledgers '!N$4,'TB YTD'!$4:$4,0),0),0)</f>
        <v>0</v>
      </c>
      <c r="O409" s="63">
        <f>IFERROR(VLOOKUP($B409,'TB YTD'!$4:$1048576,MATCH('List of Ledgers '!O$4,'TB YTD'!$4:$4,0),0),0)</f>
        <v>93223</v>
      </c>
      <c r="P409" s="63">
        <f>IFERROR(VLOOKUP($B409,'TB YTD'!$4:$1048576,MATCH('List of Ledgers '!P$4,'TB YTD'!$4:$4,0),0),0)</f>
        <v>0</v>
      </c>
      <c r="Q409" s="63">
        <f>IFERROR(VLOOKUP($B409,'TB YTD'!$4:$1048576,MATCH('List of Ledgers '!Q$4,'TB YTD'!$4:$4,0),0),0)</f>
        <v>93223</v>
      </c>
      <c r="R409" s="63"/>
    </row>
    <row r="410" spans="1:18" hidden="1" x14ac:dyDescent="0.25">
      <c r="A410" s="106">
        <v>398</v>
      </c>
      <c r="B410" s="151" t="s">
        <v>618</v>
      </c>
      <c r="C410" s="151" t="s">
        <v>1289</v>
      </c>
      <c r="D410" s="12" t="s">
        <v>151</v>
      </c>
      <c r="E410" s="17" t="s">
        <v>1291</v>
      </c>
      <c r="F410" s="12" t="s">
        <v>71</v>
      </c>
      <c r="G410" s="17" t="s">
        <v>4</v>
      </c>
      <c r="H410" s="63"/>
      <c r="I410" s="37">
        <f>IFERROR(VLOOKUP(B410,'TB '!$A:$G,7,),0)</f>
        <v>0</v>
      </c>
      <c r="J410" s="37">
        <f>IFERROR(VLOOKUP($B410,'TB '!$4:$1048576,MATCH('List of Ledgers '!J$4,'TB '!$4:$4,0),0),0)</f>
        <v>0</v>
      </c>
      <c r="K410" s="37">
        <f>IFERROR(VLOOKUP($B410,'TB '!$4:$1048576,MATCH('List of Ledgers '!K$4,'TB '!$4:$4,0),0),0)</f>
        <v>0</v>
      </c>
      <c r="L410" s="37">
        <f>IFERROR(VLOOKUP(B410,'TB '!$A:$J,10,),0)</f>
        <v>0</v>
      </c>
      <c r="M410" s="71"/>
      <c r="N410" s="63">
        <f>IFERROR(VLOOKUP($B410,'TB YTD'!$4:$1048576,MATCH('List of Ledgers '!N$4,'TB YTD'!$4:$4,0),0),0)</f>
        <v>0</v>
      </c>
      <c r="O410" s="63">
        <f>IFERROR(VLOOKUP($B410,'TB YTD'!$4:$1048576,MATCH('List of Ledgers '!O$4,'TB YTD'!$4:$4,0),0),0)</f>
        <v>2850</v>
      </c>
      <c r="P410" s="63">
        <f>IFERROR(VLOOKUP($B410,'TB YTD'!$4:$1048576,MATCH('List of Ledgers '!P$4,'TB YTD'!$4:$4,0),0),0)</f>
        <v>0</v>
      </c>
      <c r="Q410" s="63">
        <f>IFERROR(VLOOKUP($B410,'TB YTD'!$4:$1048576,MATCH('List of Ledgers '!Q$4,'TB YTD'!$4:$4,0),0),0)</f>
        <v>2850</v>
      </c>
      <c r="R410" s="63"/>
    </row>
    <row r="411" spans="1:18" hidden="1" x14ac:dyDescent="0.25">
      <c r="A411" s="106">
        <v>399</v>
      </c>
      <c r="B411" s="8" t="s">
        <v>619</v>
      </c>
      <c r="C411" s="8" t="s">
        <v>495</v>
      </c>
      <c r="D411" s="17" t="s">
        <v>128</v>
      </c>
      <c r="E411" s="17" t="s">
        <v>134</v>
      </c>
      <c r="G411" s="17" t="s">
        <v>7</v>
      </c>
      <c r="H411" s="62"/>
      <c r="I411" s="37">
        <f>IFERROR(VLOOKUP(B411,'TB '!$A:$G,7,),0)</f>
        <v>0</v>
      </c>
      <c r="J411" s="37">
        <f>IFERROR(VLOOKUP($B411,'TB '!$4:$1048576,MATCH('List of Ledgers '!J$4,'TB '!$4:$4,0),0),0)</f>
        <v>0</v>
      </c>
      <c r="K411" s="37">
        <f>IFERROR(VLOOKUP($B411,'TB '!$4:$1048576,MATCH('List of Ledgers '!K$4,'TB '!$4:$4,0),0),0)</f>
        <v>0</v>
      </c>
      <c r="L411" s="37">
        <f>IFERROR(VLOOKUP(B411,'TB '!$A:$J,10,),0)</f>
        <v>0</v>
      </c>
      <c r="M411" s="71"/>
      <c r="N411" s="63">
        <f>IFERROR(VLOOKUP($B411,'TB YTD'!$4:$1048576,MATCH('List of Ledgers '!N$4,'TB YTD'!$4:$4,0),0),0)</f>
        <v>0</v>
      </c>
      <c r="O411" s="63">
        <f>IFERROR(VLOOKUP($B411,'TB YTD'!$4:$1048576,MATCH('List of Ledgers '!O$4,'TB YTD'!$4:$4,0),0),0)</f>
        <v>0</v>
      </c>
      <c r="P411" s="63">
        <f>IFERROR(VLOOKUP($B411,'TB YTD'!$4:$1048576,MATCH('List of Ledgers '!P$4,'TB YTD'!$4:$4,0),0),0)</f>
        <v>0</v>
      </c>
      <c r="Q411" s="63">
        <f>IFERROR(VLOOKUP($B411,'TB YTD'!$4:$1048576,MATCH('List of Ledgers '!Q$4,'TB YTD'!$4:$4,0),0),0)</f>
        <v>0</v>
      </c>
      <c r="R411" s="63"/>
    </row>
    <row r="412" spans="1:18" hidden="1" x14ac:dyDescent="0.25">
      <c r="A412" s="106">
        <v>400</v>
      </c>
      <c r="B412" s="8" t="s">
        <v>620</v>
      </c>
      <c r="C412" s="8" t="s">
        <v>200</v>
      </c>
      <c r="D412" s="17"/>
      <c r="E412" s="17"/>
      <c r="G412" s="17"/>
      <c r="H412" s="62"/>
      <c r="I412" s="37">
        <f>IFERROR(VLOOKUP(B412,'TB '!$A:$G,7,),0)</f>
        <v>-1250000</v>
      </c>
      <c r="J412" s="37">
        <f>IFERROR(VLOOKUP($B412,'TB '!$4:$1048576,MATCH('List of Ledgers '!J$4,'TB '!$4:$4,0),0),0)</f>
        <v>0</v>
      </c>
      <c r="K412" s="37">
        <f>IFERROR(VLOOKUP($B412,'TB '!$4:$1048576,MATCH('List of Ledgers '!K$4,'TB '!$4:$4,0),0),0)</f>
        <v>0</v>
      </c>
      <c r="L412" s="37">
        <f>IFERROR(VLOOKUP(B412,'TB '!$A:$J,10,),0)</f>
        <v>-1250000</v>
      </c>
      <c r="M412" s="71"/>
      <c r="N412" s="63">
        <f>IFERROR(VLOOKUP($B412,'TB YTD'!$4:$1048576,MATCH('List of Ledgers '!N$4,'TB YTD'!$4:$4,0),0),0)</f>
        <v>-1250000</v>
      </c>
      <c r="O412" s="63">
        <f>IFERROR(VLOOKUP($B412,'TB YTD'!$4:$1048576,MATCH('List of Ledgers '!O$4,'TB YTD'!$4:$4,0),0),0)</f>
        <v>0</v>
      </c>
      <c r="P412" s="63">
        <f>IFERROR(VLOOKUP($B412,'TB YTD'!$4:$1048576,MATCH('List of Ledgers '!P$4,'TB YTD'!$4:$4,0),0),0)</f>
        <v>0</v>
      </c>
      <c r="Q412" s="63">
        <f>IFERROR(VLOOKUP($B412,'TB YTD'!$4:$1048576,MATCH('List of Ledgers '!Q$4,'TB YTD'!$4:$4,0),0),0)</f>
        <v>-1250000</v>
      </c>
      <c r="R412" s="63"/>
    </row>
    <row r="413" spans="1:18" hidden="1" x14ac:dyDescent="0.25">
      <c r="A413" s="106">
        <v>401</v>
      </c>
      <c r="B413" s="8" t="s">
        <v>621</v>
      </c>
      <c r="C413" s="8" t="s">
        <v>361</v>
      </c>
      <c r="D413" s="17" t="s">
        <v>151</v>
      </c>
      <c r="E413" s="17" t="s">
        <v>152</v>
      </c>
      <c r="F413" s="12" t="s">
        <v>62</v>
      </c>
      <c r="G413" s="17" t="s">
        <v>3</v>
      </c>
      <c r="H413" s="62"/>
      <c r="I413" s="37">
        <f>IFERROR(VLOOKUP(B413,'TB '!$A:$G,7,),0)</f>
        <v>0</v>
      </c>
      <c r="J413" s="37">
        <f>IFERROR(VLOOKUP($B413,'TB '!$4:$1048576,MATCH('List of Ledgers '!J$4,'TB '!$4:$4,0),0),0)</f>
        <v>18401.57</v>
      </c>
      <c r="K413" s="37">
        <f>IFERROR(VLOOKUP($B413,'TB '!$4:$1048576,MATCH('List of Ledgers '!K$4,'TB '!$4:$4,0),0),0)</f>
        <v>0</v>
      </c>
      <c r="L413" s="37">
        <f>IFERROR(VLOOKUP(B413,'TB '!$A:$J,10,),0)</f>
        <v>18401.57</v>
      </c>
      <c r="M413" s="71"/>
      <c r="N413" s="63">
        <f>IFERROR(VLOOKUP($B413,'TB YTD'!$4:$1048576,MATCH('List of Ledgers '!N$4,'TB YTD'!$4:$4,0),0),0)</f>
        <v>0</v>
      </c>
      <c r="O413" s="63">
        <f>IFERROR(VLOOKUP($B413,'TB YTD'!$4:$1048576,MATCH('List of Ledgers '!O$4,'TB YTD'!$4:$4,0),0),0)</f>
        <v>18401.57</v>
      </c>
      <c r="P413" s="63">
        <f>IFERROR(VLOOKUP($B413,'TB YTD'!$4:$1048576,MATCH('List of Ledgers '!P$4,'TB YTD'!$4:$4,0),0),0)</f>
        <v>0</v>
      </c>
      <c r="Q413" s="63">
        <f>IFERROR(VLOOKUP($B413,'TB YTD'!$4:$1048576,MATCH('List of Ledgers '!Q$4,'TB YTD'!$4:$4,0),0),0)</f>
        <v>18401.57</v>
      </c>
      <c r="R413" s="63"/>
    </row>
    <row r="414" spans="1:18" hidden="1" x14ac:dyDescent="0.25">
      <c r="A414" s="106">
        <v>402</v>
      </c>
      <c r="B414" s="8" t="s">
        <v>622</v>
      </c>
      <c r="C414" s="8" t="s">
        <v>158</v>
      </c>
      <c r="D414" s="17" t="s">
        <v>128</v>
      </c>
      <c r="E414" s="17" t="s">
        <v>131</v>
      </c>
      <c r="G414" s="17" t="s">
        <v>4</v>
      </c>
      <c r="H414" s="62"/>
      <c r="I414" s="37">
        <f>IFERROR(VLOOKUP(B414,'TB '!$A:$G,7,),0)</f>
        <v>0</v>
      </c>
      <c r="J414" s="37">
        <f>IFERROR(VLOOKUP($B414,'TB '!$4:$1048576,MATCH('List of Ledgers '!J$4,'TB '!$4:$4,0),0),0)</f>
        <v>0</v>
      </c>
      <c r="K414" s="37">
        <f>IFERROR(VLOOKUP($B414,'TB '!$4:$1048576,MATCH('List of Ledgers '!K$4,'TB '!$4:$4,0),0),0)</f>
        <v>0</v>
      </c>
      <c r="L414" s="37">
        <f>IFERROR(VLOOKUP(B414,'TB '!$A:$J,10,),0)</f>
        <v>0</v>
      </c>
      <c r="M414" s="71"/>
      <c r="N414" s="63">
        <f>IFERROR(VLOOKUP($B414,'TB YTD'!$4:$1048576,MATCH('List of Ledgers '!N$4,'TB YTD'!$4:$4,0),0),0)</f>
        <v>0</v>
      </c>
      <c r="O414" s="63">
        <f>IFERROR(VLOOKUP($B414,'TB YTD'!$4:$1048576,MATCH('List of Ledgers '!O$4,'TB YTD'!$4:$4,0),0),0)</f>
        <v>320721</v>
      </c>
      <c r="P414" s="63">
        <f>IFERROR(VLOOKUP($B414,'TB YTD'!$4:$1048576,MATCH('List of Ledgers '!P$4,'TB YTD'!$4:$4,0),0),0)</f>
        <v>320721</v>
      </c>
      <c r="Q414" s="63">
        <f>IFERROR(VLOOKUP($B414,'TB YTD'!$4:$1048576,MATCH('List of Ledgers '!Q$4,'TB YTD'!$4:$4,0),0),0)</f>
        <v>0</v>
      </c>
      <c r="R414" s="63"/>
    </row>
    <row r="415" spans="1:18" hidden="1" x14ac:dyDescent="0.25">
      <c r="A415" s="106">
        <v>403</v>
      </c>
      <c r="B415" s="8" t="s">
        <v>623</v>
      </c>
      <c r="C415" s="8" t="s">
        <v>185</v>
      </c>
      <c r="D415" s="106" t="s">
        <v>128</v>
      </c>
      <c r="E415" s="17" t="s">
        <v>134</v>
      </c>
      <c r="G415" s="17" t="s">
        <v>3</v>
      </c>
      <c r="H415" s="62"/>
      <c r="I415" s="37">
        <f>IFERROR(VLOOKUP(B415,'TB '!$A:$G,7,),0)</f>
        <v>0</v>
      </c>
      <c r="J415" s="37">
        <f>IFERROR(VLOOKUP($B415,'TB '!$4:$1048576,MATCH('List of Ledgers '!J$4,'TB '!$4:$4,0),0),0)</f>
        <v>0</v>
      </c>
      <c r="K415" s="37">
        <f>IFERROR(VLOOKUP($B415,'TB '!$4:$1048576,MATCH('List of Ledgers '!K$4,'TB '!$4:$4,0),0),0)</f>
        <v>0</v>
      </c>
      <c r="L415" s="37">
        <f>IFERROR(VLOOKUP(B415,'TB '!$A:$J,10,),0)</f>
        <v>0</v>
      </c>
      <c r="M415" s="71"/>
      <c r="N415" s="63">
        <f>IFERROR(VLOOKUP($B415,'TB YTD'!$4:$1048576,MATCH('List of Ledgers '!N$4,'TB YTD'!$4:$4,0),0),0)</f>
        <v>0</v>
      </c>
      <c r="O415" s="63">
        <f>IFERROR(VLOOKUP($B415,'TB YTD'!$4:$1048576,MATCH('List of Ledgers '!O$4,'TB YTD'!$4:$4,0),0),0)</f>
        <v>0</v>
      </c>
      <c r="P415" s="63">
        <f>IFERROR(VLOOKUP($B415,'TB YTD'!$4:$1048576,MATCH('List of Ledgers '!P$4,'TB YTD'!$4:$4,0),0),0)</f>
        <v>0</v>
      </c>
      <c r="Q415" s="63">
        <f>IFERROR(VLOOKUP($B415,'TB YTD'!$4:$1048576,MATCH('List of Ledgers '!Q$4,'TB YTD'!$4:$4,0),0),0)</f>
        <v>0</v>
      </c>
      <c r="R415" s="63"/>
    </row>
    <row r="416" spans="1:18" hidden="1" x14ac:dyDescent="0.25">
      <c r="A416" s="106">
        <v>404</v>
      </c>
      <c r="B416" s="8" t="s">
        <v>624</v>
      </c>
      <c r="C416" s="8" t="s">
        <v>275</v>
      </c>
      <c r="D416" s="17" t="s">
        <v>151</v>
      </c>
      <c r="E416" s="17" t="s">
        <v>152</v>
      </c>
      <c r="F416" s="12" t="s">
        <v>62</v>
      </c>
      <c r="G416" s="17" t="s">
        <v>7</v>
      </c>
      <c r="H416" s="62"/>
      <c r="I416" s="37">
        <f>IFERROR(VLOOKUP(B416,'TB '!$A:$G,7,),0)</f>
        <v>0</v>
      </c>
      <c r="J416" s="37">
        <f>IFERROR(VLOOKUP($B416,'TB '!$4:$1048576,MATCH('List of Ledgers '!J$4,'TB '!$4:$4,0),0),0)</f>
        <v>0</v>
      </c>
      <c r="K416" s="37">
        <f>IFERROR(VLOOKUP($B416,'TB '!$4:$1048576,MATCH('List of Ledgers '!K$4,'TB '!$4:$4,0),0),0)</f>
        <v>0</v>
      </c>
      <c r="L416" s="37">
        <f>IFERROR(VLOOKUP(B416,'TB '!$A:$J,10,),0)</f>
        <v>0</v>
      </c>
      <c r="M416" s="71"/>
      <c r="N416" s="63">
        <f>IFERROR(VLOOKUP($B416,'TB YTD'!$4:$1048576,MATCH('List of Ledgers '!N$4,'TB YTD'!$4:$4,0),0),0)</f>
        <v>0</v>
      </c>
      <c r="O416" s="63">
        <f>IFERROR(VLOOKUP($B416,'TB YTD'!$4:$1048576,MATCH('List of Ledgers '!O$4,'TB YTD'!$4:$4,0),0),0)</f>
        <v>37648</v>
      </c>
      <c r="P416" s="63">
        <f>IFERROR(VLOOKUP($B416,'TB YTD'!$4:$1048576,MATCH('List of Ledgers '!P$4,'TB YTD'!$4:$4,0),0),0)</f>
        <v>0</v>
      </c>
      <c r="Q416" s="63">
        <f>IFERROR(VLOOKUP($B416,'TB YTD'!$4:$1048576,MATCH('List of Ledgers '!Q$4,'TB YTD'!$4:$4,0),0),0)</f>
        <v>37648</v>
      </c>
      <c r="R416" s="63"/>
    </row>
    <row r="417" spans="1:20" hidden="1" x14ac:dyDescent="0.25">
      <c r="A417" s="106">
        <v>405</v>
      </c>
      <c r="B417" s="8" t="s">
        <v>625</v>
      </c>
      <c r="C417" s="8" t="s">
        <v>207</v>
      </c>
      <c r="D417" s="17" t="s">
        <v>128</v>
      </c>
      <c r="E417" s="17" t="s">
        <v>131</v>
      </c>
      <c r="G417" s="17" t="s">
        <v>3</v>
      </c>
      <c r="H417" s="62"/>
      <c r="I417" s="37">
        <f>IFERROR(VLOOKUP(B417,'TB '!$A:$G,7,),0)</f>
        <v>0</v>
      </c>
      <c r="J417" s="37">
        <f>IFERROR(VLOOKUP($B417,'TB '!$4:$1048576,MATCH('List of Ledgers '!J$4,'TB '!$4:$4,0),0),0)</f>
        <v>0</v>
      </c>
      <c r="K417" s="37">
        <f>IFERROR(VLOOKUP($B417,'TB '!$4:$1048576,MATCH('List of Ledgers '!K$4,'TB '!$4:$4,0),0),0)</f>
        <v>0</v>
      </c>
      <c r="L417" s="37">
        <f>IFERROR(VLOOKUP(B417,'TB '!$A:$J,10,),0)</f>
        <v>0</v>
      </c>
      <c r="M417" s="71"/>
      <c r="N417" s="63">
        <f>IFERROR(VLOOKUP($B417,'TB YTD'!$4:$1048576,MATCH('List of Ledgers '!N$4,'TB YTD'!$4:$4,0),0),0)</f>
        <v>0</v>
      </c>
      <c r="O417" s="63">
        <f>IFERROR(VLOOKUP($B417,'TB YTD'!$4:$1048576,MATCH('List of Ledgers '!O$4,'TB YTD'!$4:$4,0),0),0)</f>
        <v>0</v>
      </c>
      <c r="P417" s="63">
        <f>IFERROR(VLOOKUP($B417,'TB YTD'!$4:$1048576,MATCH('List of Ledgers '!P$4,'TB YTD'!$4:$4,0),0),0)</f>
        <v>0</v>
      </c>
      <c r="Q417" s="63">
        <f>IFERROR(VLOOKUP($B417,'TB YTD'!$4:$1048576,MATCH('List of Ledgers '!Q$4,'TB YTD'!$4:$4,0),0),0)</f>
        <v>0</v>
      </c>
      <c r="R417" s="63"/>
    </row>
    <row r="418" spans="1:20" hidden="1" x14ac:dyDescent="0.25">
      <c r="A418" s="106">
        <v>406</v>
      </c>
      <c r="B418" s="8" t="s">
        <v>626</v>
      </c>
      <c r="C418" s="8" t="s">
        <v>158</v>
      </c>
      <c r="D418" s="17" t="s">
        <v>128</v>
      </c>
      <c r="E418" s="17" t="s">
        <v>131</v>
      </c>
      <c r="G418" s="17" t="s">
        <v>4</v>
      </c>
      <c r="H418" s="62"/>
      <c r="I418" s="37">
        <f>IFERROR(VLOOKUP(B418,'TB '!$A:$G,7,),0)</f>
        <v>0</v>
      </c>
      <c r="J418" s="37">
        <f>IFERROR(VLOOKUP($B418,'TB '!$4:$1048576,MATCH('List of Ledgers '!J$4,'TB '!$4:$4,0),0),0)</f>
        <v>0</v>
      </c>
      <c r="K418" s="37">
        <f>IFERROR(VLOOKUP($B418,'TB '!$4:$1048576,MATCH('List of Ledgers '!K$4,'TB '!$4:$4,0),0),0)</f>
        <v>0</v>
      </c>
      <c r="L418" s="37">
        <f>IFERROR(VLOOKUP(B418,'TB '!$A:$J,10,),0)</f>
        <v>0</v>
      </c>
      <c r="M418" s="71"/>
      <c r="N418" s="63">
        <f>IFERROR(VLOOKUP($B418,'TB YTD'!$4:$1048576,MATCH('List of Ledgers '!N$4,'TB YTD'!$4:$4,0),0),0)</f>
        <v>0</v>
      </c>
      <c r="O418" s="63">
        <f>IFERROR(VLOOKUP($B418,'TB YTD'!$4:$1048576,MATCH('List of Ledgers '!O$4,'TB YTD'!$4:$4,0),0),0)</f>
        <v>0</v>
      </c>
      <c r="P418" s="63">
        <f>IFERROR(VLOOKUP($B418,'TB YTD'!$4:$1048576,MATCH('List of Ledgers '!P$4,'TB YTD'!$4:$4,0),0),0)</f>
        <v>0</v>
      </c>
      <c r="Q418" s="63">
        <f>IFERROR(VLOOKUP($B418,'TB YTD'!$4:$1048576,MATCH('List of Ledgers '!Q$4,'TB YTD'!$4:$4,0),0),0)</f>
        <v>0</v>
      </c>
      <c r="R418" s="63"/>
    </row>
    <row r="419" spans="1:20" hidden="1" x14ac:dyDescent="0.25">
      <c r="A419" s="106">
        <v>407</v>
      </c>
      <c r="B419" s="8" t="s">
        <v>627</v>
      </c>
      <c r="C419" s="8" t="s">
        <v>140</v>
      </c>
      <c r="D419" s="17" t="s">
        <v>128</v>
      </c>
      <c r="E419" s="17" t="s">
        <v>131</v>
      </c>
      <c r="G419" s="17" t="s">
        <v>7</v>
      </c>
      <c r="H419" s="62"/>
      <c r="I419" s="37">
        <f>IFERROR(VLOOKUP(B419,'TB '!$A:$G,7,),0)</f>
        <v>0</v>
      </c>
      <c r="J419" s="37">
        <f>IFERROR(VLOOKUP($B419,'TB '!$4:$1048576,MATCH('List of Ledgers '!J$4,'TB '!$4:$4,0),0),0)</f>
        <v>0</v>
      </c>
      <c r="K419" s="37">
        <f>IFERROR(VLOOKUP($B419,'TB '!$4:$1048576,MATCH('List of Ledgers '!K$4,'TB '!$4:$4,0),0),0)</f>
        <v>0</v>
      </c>
      <c r="L419" s="37">
        <f>IFERROR(VLOOKUP(B419,'TB '!$A:$J,10,),0)</f>
        <v>0</v>
      </c>
      <c r="M419" s="71"/>
      <c r="N419" s="63">
        <f>IFERROR(VLOOKUP($B419,'TB YTD'!$4:$1048576,MATCH('List of Ledgers '!N$4,'TB YTD'!$4:$4,0),0),0)</f>
        <v>0</v>
      </c>
      <c r="O419" s="63">
        <f>IFERROR(VLOOKUP($B419,'TB YTD'!$4:$1048576,MATCH('List of Ledgers '!O$4,'TB YTD'!$4:$4,0),0),0)</f>
        <v>0</v>
      </c>
      <c r="P419" s="63">
        <f>IFERROR(VLOOKUP($B419,'TB YTD'!$4:$1048576,MATCH('List of Ledgers '!P$4,'TB YTD'!$4:$4,0),0),0)</f>
        <v>0</v>
      </c>
      <c r="Q419" s="63">
        <f>IFERROR(VLOOKUP($B419,'TB YTD'!$4:$1048576,MATCH('List of Ledgers '!Q$4,'TB YTD'!$4:$4,0),0),0)</f>
        <v>0</v>
      </c>
      <c r="R419" s="63"/>
    </row>
    <row r="420" spans="1:20" hidden="1" x14ac:dyDescent="0.25">
      <c r="A420" s="106">
        <v>408</v>
      </c>
      <c r="B420" s="8" t="s">
        <v>628</v>
      </c>
      <c r="C420" s="8" t="s">
        <v>629</v>
      </c>
      <c r="D420" s="17" t="s">
        <v>128</v>
      </c>
      <c r="E420" s="17" t="s">
        <v>134</v>
      </c>
      <c r="G420" s="17" t="s">
        <v>2</v>
      </c>
      <c r="H420" s="62"/>
      <c r="I420" s="37">
        <f>IFERROR(VLOOKUP(B420,'TB '!$A:$G,7,),0)</f>
        <v>0</v>
      </c>
      <c r="J420" s="37">
        <f>IFERROR(VLOOKUP($B420,'TB '!$4:$1048576,MATCH('List of Ledgers '!J$4,'TB '!$4:$4,0),0),0)</f>
        <v>0</v>
      </c>
      <c r="K420" s="37">
        <f>IFERROR(VLOOKUP($B420,'TB '!$4:$1048576,MATCH('List of Ledgers '!K$4,'TB '!$4:$4,0),0),0)</f>
        <v>0</v>
      </c>
      <c r="L420" s="37">
        <f>IFERROR(VLOOKUP(B420,'TB '!$A:$J,10,),0)</f>
        <v>0</v>
      </c>
      <c r="M420" s="71"/>
      <c r="N420" s="63">
        <f>IFERROR(VLOOKUP($B420,'TB YTD'!$4:$1048576,MATCH('List of Ledgers '!N$4,'TB YTD'!$4:$4,0),0),0)</f>
        <v>0</v>
      </c>
      <c r="O420" s="63">
        <f>IFERROR(VLOOKUP($B420,'TB YTD'!$4:$1048576,MATCH('List of Ledgers '!O$4,'TB YTD'!$4:$4,0),0),0)</f>
        <v>0</v>
      </c>
      <c r="P420" s="63">
        <f>IFERROR(VLOOKUP($B420,'TB YTD'!$4:$1048576,MATCH('List of Ledgers '!P$4,'TB YTD'!$4:$4,0),0),0)</f>
        <v>0</v>
      </c>
      <c r="Q420" s="63">
        <f>IFERROR(VLOOKUP($B420,'TB YTD'!$4:$1048576,MATCH('List of Ledgers '!Q$4,'TB YTD'!$4:$4,0),0),0)</f>
        <v>0</v>
      </c>
      <c r="R420" s="63"/>
    </row>
    <row r="421" spans="1:20" hidden="1" x14ac:dyDescent="0.25">
      <c r="A421" s="106">
        <v>409</v>
      </c>
      <c r="B421" s="8" t="s">
        <v>630</v>
      </c>
      <c r="C421" s="8" t="s">
        <v>142</v>
      </c>
      <c r="D421" s="17"/>
      <c r="E421" s="17"/>
      <c r="G421" s="17"/>
      <c r="H421" s="62"/>
      <c r="I421" s="37">
        <f>IFERROR(VLOOKUP(B421,'TB '!$A:$G,7,),0)</f>
        <v>0</v>
      </c>
      <c r="J421" s="37">
        <f>IFERROR(VLOOKUP($B421,'TB '!$4:$1048576,MATCH('List of Ledgers '!J$4,'TB '!$4:$4,0),0),0)</f>
        <v>0</v>
      </c>
      <c r="K421" s="37">
        <f>IFERROR(VLOOKUP($B421,'TB '!$4:$1048576,MATCH('List of Ledgers '!K$4,'TB '!$4:$4,0),0),0)</f>
        <v>0</v>
      </c>
      <c r="L421" s="37">
        <f>IFERROR(VLOOKUP(B421,'TB '!$A:$J,10,),0)</f>
        <v>0</v>
      </c>
      <c r="M421" s="71"/>
      <c r="N421" s="63">
        <f>IFERROR(VLOOKUP($B421,'TB YTD'!$4:$1048576,MATCH('List of Ledgers '!N$4,'TB YTD'!$4:$4,0),0),0)</f>
        <v>0</v>
      </c>
      <c r="O421" s="63">
        <f>IFERROR(VLOOKUP($B421,'TB YTD'!$4:$1048576,MATCH('List of Ledgers '!O$4,'TB YTD'!$4:$4,0),0),0)</f>
        <v>0</v>
      </c>
      <c r="P421" s="63">
        <f>IFERROR(VLOOKUP($B421,'TB YTD'!$4:$1048576,MATCH('List of Ledgers '!P$4,'TB YTD'!$4:$4,0),0),0)</f>
        <v>0</v>
      </c>
      <c r="Q421" s="63">
        <f>IFERROR(VLOOKUP($B421,'TB YTD'!$4:$1048576,MATCH('List of Ledgers '!Q$4,'TB YTD'!$4:$4,0),0),0)</f>
        <v>0</v>
      </c>
      <c r="R421" s="63"/>
    </row>
    <row r="422" spans="1:20" hidden="1" x14ac:dyDescent="0.25">
      <c r="A422" s="106">
        <v>410</v>
      </c>
      <c r="B422" s="8" t="s">
        <v>631</v>
      </c>
      <c r="C422" s="8" t="s">
        <v>160</v>
      </c>
      <c r="D422" s="17"/>
      <c r="E422" s="17"/>
      <c r="G422" s="17"/>
      <c r="H422" s="62"/>
      <c r="I422" s="37">
        <f>IFERROR(VLOOKUP(B422,'TB '!$A:$G,7,),0)</f>
        <v>7500</v>
      </c>
      <c r="J422" s="37">
        <f>IFERROR(VLOOKUP($B422,'TB '!$4:$1048576,MATCH('List of Ledgers '!J$4,'TB '!$4:$4,0),0),0)</f>
        <v>0</v>
      </c>
      <c r="K422" s="37">
        <f>IFERROR(VLOOKUP($B422,'TB '!$4:$1048576,MATCH('List of Ledgers '!K$4,'TB '!$4:$4,0),0),0)</f>
        <v>0</v>
      </c>
      <c r="L422" s="37">
        <f>IFERROR(VLOOKUP(B422,'TB '!$A:$J,10,),0)</f>
        <v>7500</v>
      </c>
      <c r="M422" s="71"/>
      <c r="N422" s="63">
        <f>IFERROR(VLOOKUP($B422,'TB YTD'!$4:$1048576,MATCH('List of Ledgers '!N$4,'TB YTD'!$4:$4,0),0),0)</f>
        <v>7500</v>
      </c>
      <c r="O422" s="63">
        <f>IFERROR(VLOOKUP($B422,'TB YTD'!$4:$1048576,MATCH('List of Ledgers '!O$4,'TB YTD'!$4:$4,0),0),0)</f>
        <v>0</v>
      </c>
      <c r="P422" s="63">
        <f>IFERROR(VLOOKUP($B422,'TB YTD'!$4:$1048576,MATCH('List of Ledgers '!P$4,'TB YTD'!$4:$4,0),0),0)</f>
        <v>0</v>
      </c>
      <c r="Q422" s="63">
        <f>IFERROR(VLOOKUP($B422,'TB YTD'!$4:$1048576,MATCH('List of Ledgers '!Q$4,'TB YTD'!$4:$4,0),0),0)</f>
        <v>7500</v>
      </c>
      <c r="R422" s="63"/>
    </row>
    <row r="423" spans="1:20" hidden="1" x14ac:dyDescent="0.25">
      <c r="A423" s="106">
        <v>411</v>
      </c>
      <c r="B423" s="8" t="s">
        <v>632</v>
      </c>
      <c r="C423" s="8" t="s">
        <v>180</v>
      </c>
      <c r="D423" s="17" t="s">
        <v>128</v>
      </c>
      <c r="E423" s="17" t="s">
        <v>131</v>
      </c>
      <c r="G423" s="17" t="s">
        <v>2</v>
      </c>
      <c r="H423" s="62"/>
      <c r="I423" s="37">
        <f>IFERROR(VLOOKUP(B423,'TB '!$A:$G,7,),0)</f>
        <v>-23961</v>
      </c>
      <c r="J423" s="37">
        <f>IFERROR(VLOOKUP($B423,'TB '!$4:$1048576,MATCH('List of Ledgers '!J$4,'TB '!$4:$4,0),0),0)</f>
        <v>0</v>
      </c>
      <c r="K423" s="37">
        <f>IFERROR(VLOOKUP($B423,'TB '!$4:$1048576,MATCH('List of Ledgers '!K$4,'TB '!$4:$4,0),0),0)</f>
        <v>0</v>
      </c>
      <c r="L423" s="37">
        <f>IFERROR(VLOOKUP(B423,'TB '!$A:$J,10,),0)</f>
        <v>-23961</v>
      </c>
      <c r="M423" s="71"/>
      <c r="N423" s="63">
        <f>IFERROR(VLOOKUP($B423,'TB YTD'!$4:$1048576,MATCH('List of Ledgers '!N$4,'TB YTD'!$4:$4,0),0),0)</f>
        <v>-23961</v>
      </c>
      <c r="O423" s="63">
        <f>IFERROR(VLOOKUP($B423,'TB YTD'!$4:$1048576,MATCH('List of Ledgers '!O$4,'TB YTD'!$4:$4,0),0),0)</f>
        <v>3865</v>
      </c>
      <c r="P423" s="63">
        <f>IFERROR(VLOOKUP($B423,'TB YTD'!$4:$1048576,MATCH('List of Ledgers '!P$4,'TB YTD'!$4:$4,0),0),0)</f>
        <v>3865</v>
      </c>
      <c r="Q423" s="63">
        <f>IFERROR(VLOOKUP($B423,'TB YTD'!$4:$1048576,MATCH('List of Ledgers '!Q$4,'TB YTD'!$4:$4,0),0),0)</f>
        <v>-23961</v>
      </c>
      <c r="R423" s="63"/>
    </row>
    <row r="424" spans="1:20" hidden="1" x14ac:dyDescent="0.25">
      <c r="A424" s="106">
        <v>412</v>
      </c>
      <c r="B424" s="8" t="s">
        <v>633</v>
      </c>
      <c r="C424" s="8" t="s">
        <v>166</v>
      </c>
      <c r="D424" s="17" t="s">
        <v>151</v>
      </c>
      <c r="E424" s="17" t="s">
        <v>152</v>
      </c>
      <c r="F424" s="12" t="s">
        <v>41</v>
      </c>
      <c r="G424" s="17" t="s">
        <v>4</v>
      </c>
      <c r="H424" s="62"/>
      <c r="I424" s="37">
        <f>IFERROR(VLOOKUP(B424,'TB '!$A:$G,7,),0)</f>
        <v>0</v>
      </c>
      <c r="J424" s="37">
        <f>IFERROR(VLOOKUP($B424,'TB '!$4:$1048576,MATCH('List of Ledgers '!J$4,'TB '!$4:$4,0),0),0)</f>
        <v>0</v>
      </c>
      <c r="K424" s="37">
        <f>IFERROR(VLOOKUP($B424,'TB '!$4:$1048576,MATCH('List of Ledgers '!K$4,'TB '!$4:$4,0),0),0)</f>
        <v>0</v>
      </c>
      <c r="L424" s="37">
        <f>IFERROR(VLOOKUP(B424,'TB '!$A:$J,10,),0)</f>
        <v>0</v>
      </c>
      <c r="M424" s="71"/>
      <c r="N424" s="63">
        <f>IFERROR(VLOOKUP($B424,'TB YTD'!$4:$1048576,MATCH('List of Ledgers '!N$4,'TB YTD'!$4:$4,0),0),0)</f>
        <v>0</v>
      </c>
      <c r="O424" s="63">
        <f>IFERROR(VLOOKUP($B424,'TB YTD'!$4:$1048576,MATCH('List of Ledgers '!O$4,'TB YTD'!$4:$4,0),0),0)</f>
        <v>0</v>
      </c>
      <c r="P424" s="63">
        <f>IFERROR(VLOOKUP($B424,'TB YTD'!$4:$1048576,MATCH('List of Ledgers '!P$4,'TB YTD'!$4:$4,0),0),0)</f>
        <v>0</v>
      </c>
      <c r="Q424" s="63">
        <f>IFERROR(VLOOKUP($B424,'TB YTD'!$4:$1048576,MATCH('List of Ledgers '!Q$4,'TB YTD'!$4:$4,0),0),0)</f>
        <v>0</v>
      </c>
      <c r="R424" s="63"/>
    </row>
    <row r="425" spans="1:20" hidden="1" x14ac:dyDescent="0.25">
      <c r="A425" s="165">
        <f>A424+1</f>
        <v>413</v>
      </c>
      <c r="B425" s="2" t="s">
        <v>1129</v>
      </c>
      <c r="C425" s="2" t="s">
        <v>160</v>
      </c>
      <c r="D425" s="17"/>
      <c r="E425" s="17"/>
      <c r="I425" s="37">
        <f>IFERROR(VLOOKUP(B425,'TB '!$A:$G,7,),0)</f>
        <v>26694.92</v>
      </c>
      <c r="J425" s="37">
        <f>IFERROR(VLOOKUP($B425,'TB '!$4:$1048576,MATCH('List of Ledgers '!J$4,'TB '!$4:$4,0),0),0)</f>
        <v>0</v>
      </c>
      <c r="K425" s="37">
        <f>IFERROR(VLOOKUP($B425,'TB '!$4:$1048576,MATCH('List of Ledgers '!K$4,'TB '!$4:$4,0),0),0)</f>
        <v>0</v>
      </c>
      <c r="L425" s="37">
        <f>IFERROR(VLOOKUP(B425,'TB '!$A:$J,10,),0)</f>
        <v>26694.92</v>
      </c>
      <c r="M425" s="71"/>
      <c r="N425" s="63">
        <f>IFERROR(VLOOKUP($B425,'TB YTD'!$4:$1048576,MATCH('List of Ledgers '!N$4,'TB YTD'!$4:$4,0),0),0)</f>
        <v>0</v>
      </c>
      <c r="O425" s="63">
        <f>IFERROR(VLOOKUP($B425,'TB YTD'!$4:$1048576,MATCH('List of Ledgers '!O$4,'TB YTD'!$4:$4,0),0),0)</f>
        <v>26694.92</v>
      </c>
      <c r="P425" s="63">
        <f>IFERROR(VLOOKUP($B425,'TB YTD'!$4:$1048576,MATCH('List of Ledgers '!P$4,'TB YTD'!$4:$4,0),0),0)</f>
        <v>0</v>
      </c>
      <c r="Q425" s="63">
        <f>IFERROR(VLOOKUP($B425,'TB YTD'!$4:$1048576,MATCH('List of Ledgers '!Q$4,'TB YTD'!$4:$4,0),0),0)</f>
        <v>26694.92</v>
      </c>
      <c r="R425" s="63"/>
    </row>
    <row r="426" spans="1:20" s="103" customFormat="1" hidden="1" x14ac:dyDescent="0.25">
      <c r="A426" s="106">
        <v>413</v>
      </c>
      <c r="B426" s="2" t="s">
        <v>634</v>
      </c>
      <c r="C426" s="2" t="s">
        <v>154</v>
      </c>
      <c r="D426" s="12" t="s">
        <v>151</v>
      </c>
      <c r="E426" s="17" t="s">
        <v>152</v>
      </c>
      <c r="F426" s="12" t="s">
        <v>16</v>
      </c>
      <c r="G426" s="12" t="s">
        <v>4</v>
      </c>
      <c r="H426" s="41"/>
      <c r="I426" s="37">
        <f>IFERROR(VLOOKUP(B426,'TB '!$A:$G,7,),0)</f>
        <v>0</v>
      </c>
      <c r="J426" s="37">
        <f>IFERROR(VLOOKUP($B426,'TB '!$4:$1048576,MATCH('List of Ledgers '!J$4,'TB '!$4:$4,0),0),0)</f>
        <v>30000</v>
      </c>
      <c r="K426" s="37">
        <f>IFERROR(VLOOKUP($B426,'TB '!$4:$1048576,MATCH('List of Ledgers '!K$4,'TB '!$4:$4,0),0),0)</f>
        <v>0</v>
      </c>
      <c r="L426" s="37">
        <f>IFERROR(VLOOKUP(B426,'TB '!$A:$J,10,),0)</f>
        <v>30000</v>
      </c>
      <c r="M426" s="71"/>
      <c r="N426" s="63">
        <f>IFERROR(VLOOKUP($B426,'TB YTD'!$4:$1048576,MATCH('List of Ledgers '!N$4,'TB YTD'!$4:$4,0),0),0)</f>
        <v>0</v>
      </c>
      <c r="O426" s="63">
        <f>IFERROR(VLOOKUP($B426,'TB YTD'!$4:$1048576,MATCH('List of Ledgers '!O$4,'TB YTD'!$4:$4,0),0),0)</f>
        <v>30000</v>
      </c>
      <c r="P426" s="63">
        <f>IFERROR(VLOOKUP($B426,'TB YTD'!$4:$1048576,MATCH('List of Ledgers '!P$4,'TB YTD'!$4:$4,0),0),0)</f>
        <v>0</v>
      </c>
      <c r="Q426" s="63">
        <f>IFERROR(VLOOKUP($B426,'TB YTD'!$4:$1048576,MATCH('List of Ledgers '!Q$4,'TB YTD'!$4:$4,0),0),0)</f>
        <v>30000</v>
      </c>
      <c r="R426" s="41"/>
      <c r="S426" s="2"/>
      <c r="T426" s="2"/>
    </row>
    <row r="427" spans="1:20" hidden="1" x14ac:dyDescent="0.25">
      <c r="A427" s="106">
        <v>414</v>
      </c>
      <c r="B427" s="8" t="s">
        <v>635</v>
      </c>
      <c r="C427" s="8" t="s">
        <v>583</v>
      </c>
      <c r="D427" s="17" t="s">
        <v>128</v>
      </c>
      <c r="E427" s="17" t="s">
        <v>134</v>
      </c>
      <c r="G427" s="17" t="s">
        <v>2</v>
      </c>
      <c r="H427" s="62"/>
      <c r="I427" s="37">
        <f>IFERROR(VLOOKUP(B427,'TB '!$A:$G,7,),0)</f>
        <v>0</v>
      </c>
      <c r="J427" s="37">
        <f>IFERROR(VLOOKUP($B427,'TB '!$4:$1048576,MATCH('List of Ledgers '!J$4,'TB '!$4:$4,0),0),0)</f>
        <v>0</v>
      </c>
      <c r="K427" s="37">
        <f>IFERROR(VLOOKUP($B427,'TB '!$4:$1048576,MATCH('List of Ledgers '!K$4,'TB '!$4:$4,0),0),0)</f>
        <v>0</v>
      </c>
      <c r="L427" s="37">
        <f>IFERROR(VLOOKUP(B427,'TB '!$A:$J,10,),0)</f>
        <v>0</v>
      </c>
      <c r="M427" s="71"/>
      <c r="N427" s="63">
        <f>IFERROR(VLOOKUP($B427,'TB YTD'!$4:$1048576,MATCH('List of Ledgers '!N$4,'TB YTD'!$4:$4,0),0),0)</f>
        <v>0</v>
      </c>
      <c r="O427" s="63">
        <f>IFERROR(VLOOKUP($B427,'TB YTD'!$4:$1048576,MATCH('List of Ledgers '!O$4,'TB YTD'!$4:$4,0),0),0)</f>
        <v>6835</v>
      </c>
      <c r="P427" s="63">
        <f>IFERROR(VLOOKUP($B427,'TB YTD'!$4:$1048576,MATCH('List of Ledgers '!P$4,'TB YTD'!$4:$4,0),0),0)</f>
        <v>6835</v>
      </c>
      <c r="Q427" s="63">
        <f>IFERROR(VLOOKUP($B427,'TB YTD'!$4:$1048576,MATCH('List of Ledgers '!Q$4,'TB YTD'!$4:$4,0),0),0)</f>
        <v>0</v>
      </c>
      <c r="R427" s="63"/>
    </row>
    <row r="428" spans="1:20" hidden="1" x14ac:dyDescent="0.25">
      <c r="A428" s="106">
        <v>415</v>
      </c>
      <c r="B428" s="8" t="s">
        <v>636</v>
      </c>
      <c r="C428" s="8" t="s">
        <v>267</v>
      </c>
      <c r="D428" s="17" t="s">
        <v>128</v>
      </c>
      <c r="E428" s="17" t="s">
        <v>134</v>
      </c>
      <c r="G428" s="17" t="s">
        <v>2</v>
      </c>
      <c r="H428" s="62"/>
      <c r="I428" s="37">
        <f>IFERROR(VLOOKUP(B428,'TB '!$A:$G,7,),0)</f>
        <v>-474</v>
      </c>
      <c r="J428" s="37">
        <f>IFERROR(VLOOKUP($B428,'TB '!$4:$1048576,MATCH('List of Ledgers '!J$4,'TB '!$4:$4,0),0),0)</f>
        <v>0</v>
      </c>
      <c r="K428" s="37">
        <f>IFERROR(VLOOKUP($B428,'TB '!$4:$1048576,MATCH('List of Ledgers '!K$4,'TB '!$4:$4,0),0),0)</f>
        <v>0</v>
      </c>
      <c r="L428" s="37">
        <f>IFERROR(VLOOKUP(B428,'TB '!$A:$J,10,),0)</f>
        <v>-474</v>
      </c>
      <c r="M428" s="71"/>
      <c r="N428" s="63">
        <f>IFERROR(VLOOKUP($B428,'TB YTD'!$4:$1048576,MATCH('List of Ledgers '!N$4,'TB YTD'!$4:$4,0),0),0)</f>
        <v>-474</v>
      </c>
      <c r="O428" s="63">
        <f>IFERROR(VLOOKUP($B428,'TB YTD'!$4:$1048576,MATCH('List of Ledgers '!O$4,'TB YTD'!$4:$4,0),0),0)</f>
        <v>26342</v>
      </c>
      <c r="P428" s="63">
        <f>IFERROR(VLOOKUP($B428,'TB YTD'!$4:$1048576,MATCH('List of Ledgers '!P$4,'TB YTD'!$4:$4,0),0),0)</f>
        <v>26342</v>
      </c>
      <c r="Q428" s="63">
        <f>IFERROR(VLOOKUP($B428,'TB YTD'!$4:$1048576,MATCH('List of Ledgers '!Q$4,'TB YTD'!$4:$4,0),0),0)</f>
        <v>-474</v>
      </c>
      <c r="R428" s="63"/>
    </row>
    <row r="429" spans="1:20" hidden="1" x14ac:dyDescent="0.25">
      <c r="A429" s="106">
        <v>416</v>
      </c>
      <c r="B429" s="8" t="s">
        <v>637</v>
      </c>
      <c r="C429" s="8" t="s">
        <v>238</v>
      </c>
      <c r="D429" s="17" t="s">
        <v>151</v>
      </c>
      <c r="E429" s="17" t="s">
        <v>152</v>
      </c>
      <c r="F429" s="12" t="s">
        <v>63</v>
      </c>
      <c r="G429" s="17" t="s">
        <v>7</v>
      </c>
      <c r="H429" s="62"/>
      <c r="I429" s="37">
        <f>IFERROR(VLOOKUP(B429,'TB '!$A:$G,7,),0)</f>
        <v>0</v>
      </c>
      <c r="J429" s="37">
        <f>IFERROR(VLOOKUP($B429,'TB '!$4:$1048576,MATCH('List of Ledgers '!J$4,'TB '!$4:$4,0),0),0)</f>
        <v>0</v>
      </c>
      <c r="K429" s="37">
        <f>IFERROR(VLOOKUP($B429,'TB '!$4:$1048576,MATCH('List of Ledgers '!K$4,'TB '!$4:$4,0),0),0)</f>
        <v>0</v>
      </c>
      <c r="L429" s="37">
        <f>IFERROR(VLOOKUP(B429,'TB '!$A:$J,10,),0)</f>
        <v>0</v>
      </c>
      <c r="M429" s="71"/>
      <c r="N429" s="63">
        <f>IFERROR(VLOOKUP($B429,'TB YTD'!$4:$1048576,MATCH('List of Ledgers '!N$4,'TB YTD'!$4:$4,0),0),0)</f>
        <v>0</v>
      </c>
      <c r="O429" s="63">
        <f>IFERROR(VLOOKUP($B429,'TB YTD'!$4:$1048576,MATCH('List of Ledgers '!O$4,'TB YTD'!$4:$4,0),0),0)</f>
        <v>6220</v>
      </c>
      <c r="P429" s="63">
        <f>IFERROR(VLOOKUP($B429,'TB YTD'!$4:$1048576,MATCH('List of Ledgers '!P$4,'TB YTD'!$4:$4,0),0),0)</f>
        <v>0</v>
      </c>
      <c r="Q429" s="63">
        <f>IFERROR(VLOOKUP($B429,'TB YTD'!$4:$1048576,MATCH('List of Ledgers '!Q$4,'TB YTD'!$4:$4,0),0),0)</f>
        <v>6220</v>
      </c>
      <c r="R429" s="63"/>
    </row>
    <row r="430" spans="1:20" hidden="1" x14ac:dyDescent="0.25">
      <c r="A430" s="106">
        <v>417</v>
      </c>
      <c r="B430" s="8" t="s">
        <v>638</v>
      </c>
      <c r="C430" s="8" t="s">
        <v>185</v>
      </c>
      <c r="D430" s="106" t="s">
        <v>128</v>
      </c>
      <c r="E430" s="17" t="s">
        <v>134</v>
      </c>
      <c r="G430" s="17" t="s">
        <v>3</v>
      </c>
      <c r="H430" s="62"/>
      <c r="I430" s="37">
        <f>IFERROR(VLOOKUP(B430,'TB '!$A:$G,7,),0)</f>
        <v>0</v>
      </c>
      <c r="J430" s="37">
        <f>IFERROR(VLOOKUP($B430,'TB '!$4:$1048576,MATCH('List of Ledgers '!J$4,'TB '!$4:$4,0),0),0)</f>
        <v>0</v>
      </c>
      <c r="K430" s="37">
        <f>IFERROR(VLOOKUP($B430,'TB '!$4:$1048576,MATCH('List of Ledgers '!K$4,'TB '!$4:$4,0),0),0)</f>
        <v>0</v>
      </c>
      <c r="L430" s="37">
        <f>IFERROR(VLOOKUP(B430,'TB '!$A:$J,10,),0)</f>
        <v>0</v>
      </c>
      <c r="M430" s="71"/>
      <c r="N430" s="63">
        <f>IFERROR(VLOOKUP($B430,'TB YTD'!$4:$1048576,MATCH('List of Ledgers '!N$4,'TB YTD'!$4:$4,0),0),0)</f>
        <v>0</v>
      </c>
      <c r="O430" s="63">
        <f>IFERROR(VLOOKUP($B430,'TB YTD'!$4:$1048576,MATCH('List of Ledgers '!O$4,'TB YTD'!$4:$4,0),0),0)</f>
        <v>0</v>
      </c>
      <c r="P430" s="63">
        <f>IFERROR(VLOOKUP($B430,'TB YTD'!$4:$1048576,MATCH('List of Ledgers '!P$4,'TB YTD'!$4:$4,0),0),0)</f>
        <v>0</v>
      </c>
      <c r="Q430" s="63">
        <f>IFERROR(VLOOKUP($B430,'TB YTD'!$4:$1048576,MATCH('List of Ledgers '!Q$4,'TB YTD'!$4:$4,0),0),0)</f>
        <v>0</v>
      </c>
      <c r="R430" s="63"/>
    </row>
    <row r="431" spans="1:20" hidden="1" x14ac:dyDescent="0.25">
      <c r="A431" s="106">
        <v>418</v>
      </c>
      <c r="B431" s="151" t="s">
        <v>639</v>
      </c>
      <c r="C431" s="151" t="s">
        <v>158</v>
      </c>
      <c r="D431" s="12" t="s">
        <v>128</v>
      </c>
      <c r="E431" s="12" t="s">
        <v>131</v>
      </c>
      <c r="G431" s="17" t="s">
        <v>4</v>
      </c>
      <c r="I431" s="37">
        <f>IFERROR(VLOOKUP(B431,'TB '!$A:$G,7,),0)</f>
        <v>0</v>
      </c>
      <c r="J431" s="37">
        <f>IFERROR(VLOOKUP($B431,'TB '!$4:$1048576,MATCH('List of Ledgers '!J$4,'TB '!$4:$4,0),0),0)</f>
        <v>0</v>
      </c>
      <c r="K431" s="37">
        <f>IFERROR(VLOOKUP($B431,'TB '!$4:$1048576,MATCH('List of Ledgers '!K$4,'TB '!$4:$4,0),0),0)</f>
        <v>0</v>
      </c>
      <c r="L431" s="37">
        <f>IFERROR(VLOOKUP(B431,'TB '!$A:$J,10,),0)</f>
        <v>0</v>
      </c>
      <c r="M431" s="71"/>
      <c r="N431" s="63">
        <f>IFERROR(VLOOKUP($B431,'TB YTD'!$4:$1048576,MATCH('List of Ledgers '!N$4,'TB YTD'!$4:$4,0),0),0)</f>
        <v>0</v>
      </c>
      <c r="O431" s="63">
        <f>IFERROR(VLOOKUP($B431,'TB YTD'!$4:$1048576,MATCH('List of Ledgers '!O$4,'TB YTD'!$4:$4,0),0),0)</f>
        <v>2043500</v>
      </c>
      <c r="P431" s="63">
        <f>IFERROR(VLOOKUP($B431,'TB YTD'!$4:$1048576,MATCH('List of Ledgers '!P$4,'TB YTD'!$4:$4,0),0),0)</f>
        <v>2043500</v>
      </c>
      <c r="Q431" s="63">
        <f>IFERROR(VLOOKUP($B431,'TB YTD'!$4:$1048576,MATCH('List of Ledgers '!Q$4,'TB YTD'!$4:$4,0),0),0)</f>
        <v>0</v>
      </c>
    </row>
    <row r="432" spans="1:20" hidden="1" x14ac:dyDescent="0.25">
      <c r="A432" s="106">
        <v>419</v>
      </c>
      <c r="B432" s="8" t="s">
        <v>640</v>
      </c>
      <c r="C432" s="8" t="s">
        <v>176</v>
      </c>
      <c r="D432" s="17" t="s">
        <v>128</v>
      </c>
      <c r="E432" s="17" t="s">
        <v>131</v>
      </c>
      <c r="G432" s="17" t="s">
        <v>7</v>
      </c>
      <c r="H432" s="62"/>
      <c r="I432" s="37">
        <f>IFERROR(VLOOKUP(B432,'TB '!$A:$G,7,),0)</f>
        <v>0</v>
      </c>
      <c r="J432" s="37">
        <f>IFERROR(VLOOKUP($B432,'TB '!$4:$1048576,MATCH('List of Ledgers '!J$4,'TB '!$4:$4,0),0),0)</f>
        <v>0</v>
      </c>
      <c r="K432" s="37">
        <f>IFERROR(VLOOKUP($B432,'TB '!$4:$1048576,MATCH('List of Ledgers '!K$4,'TB '!$4:$4,0),0),0)</f>
        <v>0</v>
      </c>
      <c r="L432" s="37">
        <f>IFERROR(VLOOKUP(B432,'TB '!$A:$J,10,),0)</f>
        <v>0</v>
      </c>
      <c r="M432" s="71"/>
      <c r="N432" s="63">
        <f>IFERROR(VLOOKUP($B432,'TB YTD'!$4:$1048576,MATCH('List of Ledgers '!N$4,'TB YTD'!$4:$4,0),0),0)</f>
        <v>0</v>
      </c>
      <c r="O432" s="63">
        <f>IFERROR(VLOOKUP($B432,'TB YTD'!$4:$1048576,MATCH('List of Ledgers '!O$4,'TB YTD'!$4:$4,0),0),0)</f>
        <v>0</v>
      </c>
      <c r="P432" s="63">
        <f>IFERROR(VLOOKUP($B432,'TB YTD'!$4:$1048576,MATCH('List of Ledgers '!P$4,'TB YTD'!$4:$4,0),0),0)</f>
        <v>0</v>
      </c>
      <c r="Q432" s="63">
        <f>IFERROR(VLOOKUP($B432,'TB YTD'!$4:$1048576,MATCH('List of Ledgers '!Q$4,'TB YTD'!$4:$4,0),0),0)</f>
        <v>0</v>
      </c>
      <c r="R432" s="63"/>
    </row>
    <row r="433" spans="1:18" hidden="1" x14ac:dyDescent="0.25">
      <c r="A433" s="106">
        <v>420</v>
      </c>
      <c r="B433" s="8" t="s">
        <v>641</v>
      </c>
      <c r="C433" s="8" t="s">
        <v>130</v>
      </c>
      <c r="D433" s="17" t="s">
        <v>128</v>
      </c>
      <c r="E433" s="17" t="s">
        <v>131</v>
      </c>
      <c r="G433" s="17" t="s">
        <v>7</v>
      </c>
      <c r="H433" s="62"/>
      <c r="I433" s="37">
        <f>IFERROR(VLOOKUP(B433,'TB '!$A:$G,7,),0)</f>
        <v>-26320</v>
      </c>
      <c r="J433" s="37">
        <f>IFERROR(VLOOKUP($B433,'TB '!$4:$1048576,MATCH('List of Ledgers '!J$4,'TB '!$4:$4,0),0),0)</f>
        <v>452520</v>
      </c>
      <c r="K433" s="37">
        <f>IFERROR(VLOOKUP($B433,'TB '!$4:$1048576,MATCH('List of Ledgers '!K$4,'TB '!$4:$4,0),0),0)</f>
        <v>447800</v>
      </c>
      <c r="L433" s="37">
        <f>IFERROR(VLOOKUP(B433,'TB '!$A:$J,10,),0)</f>
        <v>-21600</v>
      </c>
      <c r="M433" s="71"/>
      <c r="N433" s="63">
        <f>IFERROR(VLOOKUP($B433,'TB YTD'!$4:$1048576,MATCH('List of Ledgers '!N$4,'TB YTD'!$4:$4,0),0),0)</f>
        <v>-21600</v>
      </c>
      <c r="O433" s="63">
        <f>IFERROR(VLOOKUP($B433,'TB YTD'!$4:$1048576,MATCH('List of Ledgers '!O$4,'TB YTD'!$4:$4,0),0),0)</f>
        <v>712120</v>
      </c>
      <c r="P433" s="63">
        <f>IFERROR(VLOOKUP($B433,'TB YTD'!$4:$1048576,MATCH('List of Ledgers '!P$4,'TB YTD'!$4:$4,0),0),0)</f>
        <v>712120</v>
      </c>
      <c r="Q433" s="63">
        <f>IFERROR(VLOOKUP($B433,'TB YTD'!$4:$1048576,MATCH('List of Ledgers '!Q$4,'TB YTD'!$4:$4,0),0),0)</f>
        <v>-21600</v>
      </c>
      <c r="R433" s="63"/>
    </row>
    <row r="434" spans="1:18" hidden="1" x14ac:dyDescent="0.25">
      <c r="A434" s="106">
        <v>421</v>
      </c>
      <c r="B434" s="8" t="s">
        <v>642</v>
      </c>
      <c r="C434" s="8" t="s">
        <v>140</v>
      </c>
      <c r="D434" s="17" t="s">
        <v>128</v>
      </c>
      <c r="E434" s="17" t="s">
        <v>131</v>
      </c>
      <c r="G434" s="17" t="s">
        <v>7</v>
      </c>
      <c r="H434" s="62"/>
      <c r="I434" s="37">
        <f>IFERROR(VLOOKUP(B434,'TB '!$A:$G,7,),0)</f>
        <v>0</v>
      </c>
      <c r="J434" s="37">
        <f>IFERROR(VLOOKUP($B434,'TB '!$4:$1048576,MATCH('List of Ledgers '!J$4,'TB '!$4:$4,0),0),0)</f>
        <v>0</v>
      </c>
      <c r="K434" s="37">
        <f>IFERROR(VLOOKUP($B434,'TB '!$4:$1048576,MATCH('List of Ledgers '!K$4,'TB '!$4:$4,0),0),0)</f>
        <v>0</v>
      </c>
      <c r="L434" s="37">
        <f>IFERROR(VLOOKUP(B434,'TB '!$A:$J,10,),0)</f>
        <v>0</v>
      </c>
      <c r="M434" s="71"/>
      <c r="N434" s="63">
        <f>IFERROR(VLOOKUP($B434,'TB YTD'!$4:$1048576,MATCH('List of Ledgers '!N$4,'TB YTD'!$4:$4,0),0),0)</f>
        <v>0</v>
      </c>
      <c r="O434" s="63">
        <f>IFERROR(VLOOKUP($B434,'TB YTD'!$4:$1048576,MATCH('List of Ledgers '!O$4,'TB YTD'!$4:$4,0),0),0)</f>
        <v>9523</v>
      </c>
      <c r="P434" s="63">
        <f>IFERROR(VLOOKUP($B434,'TB YTD'!$4:$1048576,MATCH('List of Ledgers '!P$4,'TB YTD'!$4:$4,0),0),0)</f>
        <v>9523</v>
      </c>
      <c r="Q434" s="63">
        <f>IFERROR(VLOOKUP($B434,'TB YTD'!$4:$1048576,MATCH('List of Ledgers '!Q$4,'TB YTD'!$4:$4,0),0),0)</f>
        <v>0</v>
      </c>
      <c r="R434" s="63"/>
    </row>
    <row r="435" spans="1:18" s="72" customFormat="1" hidden="1" x14ac:dyDescent="0.25">
      <c r="A435" s="166">
        <v>422</v>
      </c>
      <c r="B435" s="167" t="s">
        <v>643</v>
      </c>
      <c r="C435" s="167" t="s">
        <v>166</v>
      </c>
      <c r="D435" s="168" t="s">
        <v>151</v>
      </c>
      <c r="E435" s="168" t="s">
        <v>152</v>
      </c>
      <c r="F435" s="73" t="s">
        <v>67</v>
      </c>
      <c r="G435" s="168" t="s">
        <v>4</v>
      </c>
      <c r="H435" s="169"/>
      <c r="I435" s="170">
        <f>IFERROR(VLOOKUP(B435,'TB '!$A:$G,7,),0)</f>
        <v>0</v>
      </c>
      <c r="J435" s="170">
        <f>IFERROR(VLOOKUP($B435,'TB '!$4:$1048576,MATCH('List of Ledgers '!J$4,'TB '!$4:$4,0),0),0)</f>
        <v>4473.46</v>
      </c>
      <c r="K435" s="170">
        <f>IFERROR(VLOOKUP($B435,'TB '!$4:$1048576,MATCH('List of Ledgers '!K$4,'TB '!$4:$4,0),0),0)</f>
        <v>0</v>
      </c>
      <c r="L435" s="170">
        <f>IFERROR(VLOOKUP(B435,'TB '!$A:$J,10,),0)</f>
        <v>4473.46</v>
      </c>
      <c r="M435" s="171"/>
      <c r="N435" s="172">
        <f>IFERROR(VLOOKUP($B435,'TB YTD'!$4:$1048576,MATCH('List of Ledgers '!N$4,'TB YTD'!$4:$4,0),0),0)</f>
        <v>0</v>
      </c>
      <c r="O435" s="172">
        <f>IFERROR(VLOOKUP($B435,'TB YTD'!$4:$1048576,MATCH('List of Ledgers '!O$4,'TB YTD'!$4:$4,0),0),0)</f>
        <v>91086.49</v>
      </c>
      <c r="P435" s="172">
        <f>IFERROR(VLOOKUP($B435,'TB YTD'!$4:$1048576,MATCH('List of Ledgers '!P$4,'TB YTD'!$4:$4,0),0),0)</f>
        <v>0</v>
      </c>
      <c r="Q435" s="172">
        <f>IFERROR(VLOOKUP($B435,'TB YTD'!$4:$1048576,MATCH('List of Ledgers '!Q$4,'TB YTD'!$4:$4,0),0),0)</f>
        <v>91086.49</v>
      </c>
      <c r="R435" s="172"/>
    </row>
    <row r="436" spans="1:18" hidden="1" x14ac:dyDescent="0.25">
      <c r="A436" s="106">
        <v>423</v>
      </c>
      <c r="B436" s="8" t="s">
        <v>644</v>
      </c>
      <c r="C436" s="8" t="s">
        <v>160</v>
      </c>
      <c r="D436" s="17"/>
      <c r="E436" s="17"/>
      <c r="G436" s="17"/>
      <c r="H436" s="62"/>
      <c r="I436" s="37">
        <f>IFERROR(VLOOKUP(B436,'TB '!$A:$G,7,),0)</f>
        <v>336143.22</v>
      </c>
      <c r="J436" s="37">
        <f>IFERROR(VLOOKUP($B436,'TB '!$4:$1048576,MATCH('List of Ledgers '!J$4,'TB '!$4:$4,0),0),0)</f>
        <v>110168.64</v>
      </c>
      <c r="K436" s="37">
        <f>IFERROR(VLOOKUP($B436,'TB '!$4:$1048576,MATCH('List of Ledgers '!K$4,'TB '!$4:$4,0),0),0)</f>
        <v>0</v>
      </c>
      <c r="L436" s="37">
        <f>IFERROR(VLOOKUP(B436,'TB '!$A:$J,10,),0)</f>
        <v>446311.86</v>
      </c>
      <c r="M436" s="71"/>
      <c r="N436" s="63">
        <f>IFERROR(VLOOKUP($B436,'TB YTD'!$4:$1048576,MATCH('List of Ledgers '!N$4,'TB YTD'!$4:$4,0),0),0)</f>
        <v>287076.26</v>
      </c>
      <c r="O436" s="63">
        <f>IFERROR(VLOOKUP($B436,'TB YTD'!$4:$1048576,MATCH('List of Ledgers '!O$4,'TB YTD'!$4:$4,0),0),0)</f>
        <v>169235.6</v>
      </c>
      <c r="P436" s="63">
        <f>IFERROR(VLOOKUP($B436,'TB YTD'!$4:$1048576,MATCH('List of Ledgers '!P$4,'TB YTD'!$4:$4,0),0),0)</f>
        <v>10000</v>
      </c>
      <c r="Q436" s="63">
        <f>IFERROR(VLOOKUP($B436,'TB YTD'!$4:$1048576,MATCH('List of Ledgers '!Q$4,'TB YTD'!$4:$4,0),0),0)</f>
        <v>446311.86</v>
      </c>
      <c r="R436" s="63"/>
    </row>
    <row r="437" spans="1:18" hidden="1" x14ac:dyDescent="0.25">
      <c r="A437" s="106">
        <v>424</v>
      </c>
      <c r="B437" s="8" t="s">
        <v>645</v>
      </c>
      <c r="C437" s="8" t="s">
        <v>140</v>
      </c>
      <c r="D437" s="17" t="s">
        <v>128</v>
      </c>
      <c r="E437" s="17" t="s">
        <v>131</v>
      </c>
      <c r="G437" s="17" t="s">
        <v>7</v>
      </c>
      <c r="H437" s="62"/>
      <c r="I437" s="37">
        <f>IFERROR(VLOOKUP(B437,'TB '!$A:$G,7,),0)</f>
        <v>0</v>
      </c>
      <c r="J437" s="37">
        <f>IFERROR(VLOOKUP($B437,'TB '!$4:$1048576,MATCH('List of Ledgers '!J$4,'TB '!$4:$4,0),0),0)</f>
        <v>0</v>
      </c>
      <c r="K437" s="37">
        <f>IFERROR(VLOOKUP($B437,'TB '!$4:$1048576,MATCH('List of Ledgers '!K$4,'TB '!$4:$4,0),0),0)</f>
        <v>0</v>
      </c>
      <c r="L437" s="37">
        <f>IFERROR(VLOOKUP(B437,'TB '!$A:$J,10,),0)</f>
        <v>0</v>
      </c>
      <c r="M437" s="71"/>
      <c r="N437" s="63">
        <f>IFERROR(VLOOKUP($B437,'TB YTD'!$4:$1048576,MATCH('List of Ledgers '!N$4,'TB YTD'!$4:$4,0),0),0)</f>
        <v>0</v>
      </c>
      <c r="O437" s="63">
        <f>IFERROR(VLOOKUP($B437,'TB YTD'!$4:$1048576,MATCH('List of Ledgers '!O$4,'TB YTD'!$4:$4,0),0),0)</f>
        <v>0</v>
      </c>
      <c r="P437" s="63">
        <f>IFERROR(VLOOKUP($B437,'TB YTD'!$4:$1048576,MATCH('List of Ledgers '!P$4,'TB YTD'!$4:$4,0),0),0)</f>
        <v>0</v>
      </c>
      <c r="Q437" s="63">
        <f>IFERROR(VLOOKUP($B437,'TB YTD'!$4:$1048576,MATCH('List of Ledgers '!Q$4,'TB YTD'!$4:$4,0),0),0)</f>
        <v>0</v>
      </c>
      <c r="R437" s="63"/>
    </row>
    <row r="438" spans="1:18" hidden="1" x14ac:dyDescent="0.25">
      <c r="A438" s="106">
        <v>425</v>
      </c>
      <c r="B438" s="8" t="s">
        <v>646</v>
      </c>
      <c r="C438" s="8" t="s">
        <v>286</v>
      </c>
      <c r="D438" s="17"/>
      <c r="E438" s="17"/>
      <c r="G438" s="17"/>
      <c r="H438" s="62"/>
      <c r="I438" s="37">
        <f>IFERROR(VLOOKUP(B438,'TB '!$A:$G,7,),0)</f>
        <v>0</v>
      </c>
      <c r="J438" s="37">
        <f>IFERROR(VLOOKUP($B438,'TB '!$4:$1048576,MATCH('List of Ledgers '!J$4,'TB '!$4:$4,0),0),0)</f>
        <v>0</v>
      </c>
      <c r="K438" s="37">
        <f>IFERROR(VLOOKUP($B438,'TB '!$4:$1048576,MATCH('List of Ledgers '!K$4,'TB '!$4:$4,0),0),0)</f>
        <v>0</v>
      </c>
      <c r="L438" s="37">
        <f>IFERROR(VLOOKUP(B438,'TB '!$A:$J,10,),0)</f>
        <v>0</v>
      </c>
      <c r="M438" s="71"/>
      <c r="N438" s="63">
        <f>IFERROR(VLOOKUP($B438,'TB YTD'!$4:$1048576,MATCH('List of Ledgers '!N$4,'TB YTD'!$4:$4,0),0),0)</f>
        <v>118139.95</v>
      </c>
      <c r="O438" s="63">
        <f>IFERROR(VLOOKUP($B438,'TB YTD'!$4:$1048576,MATCH('List of Ledgers '!O$4,'TB YTD'!$4:$4,0),0),0)</f>
        <v>104.09</v>
      </c>
      <c r="P438" s="63">
        <f>IFERROR(VLOOKUP($B438,'TB YTD'!$4:$1048576,MATCH('List of Ledgers '!P$4,'TB YTD'!$4:$4,0),0),0)</f>
        <v>118244.04</v>
      </c>
      <c r="Q438" s="63">
        <f>IFERROR(VLOOKUP($B438,'TB YTD'!$4:$1048576,MATCH('List of Ledgers '!Q$4,'TB YTD'!$4:$4,0),0),0)</f>
        <v>0</v>
      </c>
      <c r="R438" s="63"/>
    </row>
    <row r="439" spans="1:18" hidden="1" x14ac:dyDescent="0.25">
      <c r="A439" s="106">
        <v>426</v>
      </c>
      <c r="B439" s="8" t="s">
        <v>647</v>
      </c>
      <c r="C439" s="8" t="s">
        <v>124</v>
      </c>
      <c r="D439" s="17"/>
      <c r="E439" s="17"/>
      <c r="G439" s="17"/>
      <c r="H439" s="62"/>
      <c r="I439" s="37">
        <f>IFERROR(VLOOKUP(B439,'TB '!$A:$G,7,),0)</f>
        <v>3132.28</v>
      </c>
      <c r="J439" s="37">
        <f>IFERROR(VLOOKUP($B439,'TB '!$4:$1048576,MATCH('List of Ledgers '!J$4,'TB '!$4:$4,0),0),0)</f>
        <v>0</v>
      </c>
      <c r="K439" s="37">
        <f>IFERROR(VLOOKUP($B439,'TB '!$4:$1048576,MATCH('List of Ledgers '!K$4,'TB '!$4:$4,0),0),0)</f>
        <v>0</v>
      </c>
      <c r="L439" s="37">
        <f>IFERROR(VLOOKUP(B439,'TB '!$A:$J,10,),0)</f>
        <v>3132.28</v>
      </c>
      <c r="M439" s="71"/>
      <c r="N439" s="63">
        <f>IFERROR(VLOOKUP($B439,'TB YTD'!$4:$1048576,MATCH('List of Ledgers '!N$4,'TB YTD'!$4:$4,0),0),0)</f>
        <v>3132.28</v>
      </c>
      <c r="O439" s="63">
        <f>IFERROR(VLOOKUP($B439,'TB YTD'!$4:$1048576,MATCH('List of Ledgers '!O$4,'TB YTD'!$4:$4,0),0),0)</f>
        <v>0</v>
      </c>
      <c r="P439" s="63">
        <f>IFERROR(VLOOKUP($B439,'TB YTD'!$4:$1048576,MATCH('List of Ledgers '!P$4,'TB YTD'!$4:$4,0),0),0)</f>
        <v>0</v>
      </c>
      <c r="Q439" s="63">
        <f>IFERROR(VLOOKUP($B439,'TB YTD'!$4:$1048576,MATCH('List of Ledgers '!Q$4,'TB YTD'!$4:$4,0),0),0)</f>
        <v>3132.28</v>
      </c>
      <c r="R439" s="63"/>
    </row>
    <row r="440" spans="1:18" hidden="1" x14ac:dyDescent="0.25">
      <c r="A440" s="106">
        <v>427</v>
      </c>
      <c r="B440" s="8" t="s">
        <v>648</v>
      </c>
      <c r="C440" s="8" t="s">
        <v>140</v>
      </c>
      <c r="D440" s="17" t="s">
        <v>128</v>
      </c>
      <c r="E440" s="17" t="s">
        <v>131</v>
      </c>
      <c r="G440" s="17" t="s">
        <v>7</v>
      </c>
      <c r="H440" s="62"/>
      <c r="I440" s="37">
        <f>IFERROR(VLOOKUP(B440,'TB '!$A:$G,7,),0)</f>
        <v>0</v>
      </c>
      <c r="J440" s="37">
        <f>IFERROR(VLOOKUP($B440,'TB '!$4:$1048576,MATCH('List of Ledgers '!J$4,'TB '!$4:$4,0),0),0)</f>
        <v>0</v>
      </c>
      <c r="K440" s="37">
        <f>IFERROR(VLOOKUP($B440,'TB '!$4:$1048576,MATCH('List of Ledgers '!K$4,'TB '!$4:$4,0),0),0)</f>
        <v>0</v>
      </c>
      <c r="L440" s="37">
        <f>IFERROR(VLOOKUP(B440,'TB '!$A:$J,10,),0)</f>
        <v>0</v>
      </c>
      <c r="M440" s="71"/>
      <c r="N440" s="63">
        <f>IFERROR(VLOOKUP($B440,'TB YTD'!$4:$1048576,MATCH('List of Ledgers '!N$4,'TB YTD'!$4:$4,0),0),0)</f>
        <v>-1947</v>
      </c>
      <c r="O440" s="63">
        <f>IFERROR(VLOOKUP($B440,'TB YTD'!$4:$1048576,MATCH('List of Ledgers '!O$4,'TB YTD'!$4:$4,0),0),0)</f>
        <v>1947</v>
      </c>
      <c r="P440" s="63">
        <f>IFERROR(VLOOKUP($B440,'TB YTD'!$4:$1048576,MATCH('List of Ledgers '!P$4,'TB YTD'!$4:$4,0),0),0)</f>
        <v>0</v>
      </c>
      <c r="Q440" s="63">
        <f>IFERROR(VLOOKUP($B440,'TB YTD'!$4:$1048576,MATCH('List of Ledgers '!Q$4,'TB YTD'!$4:$4,0),0),0)</f>
        <v>0</v>
      </c>
      <c r="R440" s="63"/>
    </row>
    <row r="441" spans="1:18" hidden="1" x14ac:dyDescent="0.25">
      <c r="A441" s="106">
        <v>428</v>
      </c>
      <c r="B441" s="151" t="s">
        <v>649</v>
      </c>
      <c r="C441" s="151" t="s">
        <v>1289</v>
      </c>
      <c r="D441" s="12" t="s">
        <v>151</v>
      </c>
      <c r="E441" s="17" t="s">
        <v>1291</v>
      </c>
      <c r="F441" s="12" t="s">
        <v>71</v>
      </c>
      <c r="G441" s="17" t="s">
        <v>4</v>
      </c>
      <c r="H441" s="63"/>
      <c r="I441" s="37">
        <f>IFERROR(VLOOKUP(B441,'TB '!$A:$G,7,),0)</f>
        <v>0</v>
      </c>
      <c r="J441" s="37">
        <f>IFERROR(VLOOKUP($B441,'TB '!$4:$1048576,MATCH('List of Ledgers '!J$4,'TB '!$4:$4,0),0),0)</f>
        <v>0</v>
      </c>
      <c r="K441" s="37">
        <f>IFERROR(VLOOKUP($B441,'TB '!$4:$1048576,MATCH('List of Ledgers '!K$4,'TB '!$4:$4,0),0),0)</f>
        <v>0</v>
      </c>
      <c r="L441" s="37">
        <f>IFERROR(VLOOKUP(B441,'TB '!$A:$J,10,),0)</f>
        <v>0</v>
      </c>
      <c r="M441" s="71"/>
      <c r="N441" s="63">
        <f>IFERROR(VLOOKUP($B441,'TB YTD'!$4:$1048576,MATCH('List of Ledgers '!N$4,'TB YTD'!$4:$4,0),0),0)</f>
        <v>0</v>
      </c>
      <c r="O441" s="63">
        <f>IFERROR(VLOOKUP($B441,'TB YTD'!$4:$1048576,MATCH('List of Ledgers '!O$4,'TB YTD'!$4:$4,0),0),0)</f>
        <v>850</v>
      </c>
      <c r="P441" s="63">
        <f>IFERROR(VLOOKUP($B441,'TB YTD'!$4:$1048576,MATCH('List of Ledgers '!P$4,'TB YTD'!$4:$4,0),0),0)</f>
        <v>0</v>
      </c>
      <c r="Q441" s="63">
        <f>IFERROR(VLOOKUP($B441,'TB YTD'!$4:$1048576,MATCH('List of Ledgers '!Q$4,'TB YTD'!$4:$4,0),0),0)</f>
        <v>850</v>
      </c>
      <c r="R441" s="63"/>
    </row>
    <row r="442" spans="1:18" hidden="1" x14ac:dyDescent="0.25">
      <c r="A442" s="106">
        <v>429</v>
      </c>
      <c r="B442" s="8" t="s">
        <v>650</v>
      </c>
      <c r="C442" s="8" t="s">
        <v>140</v>
      </c>
      <c r="D442" s="17" t="s">
        <v>128</v>
      </c>
      <c r="E442" s="17" t="s">
        <v>131</v>
      </c>
      <c r="G442" s="17" t="s">
        <v>7</v>
      </c>
      <c r="H442" s="62"/>
      <c r="I442" s="37">
        <f>IFERROR(VLOOKUP(B442,'TB '!$A:$G,7,),0)</f>
        <v>0</v>
      </c>
      <c r="J442" s="37">
        <f>IFERROR(VLOOKUP($B442,'TB '!$4:$1048576,MATCH('List of Ledgers '!J$4,'TB '!$4:$4,0),0),0)</f>
        <v>18510</v>
      </c>
      <c r="K442" s="37">
        <f>IFERROR(VLOOKUP($B442,'TB '!$4:$1048576,MATCH('List of Ledgers '!K$4,'TB '!$4:$4,0),0),0)</f>
        <v>18510</v>
      </c>
      <c r="L442" s="37">
        <f>IFERROR(VLOOKUP(B442,'TB '!$A:$J,10,),0)</f>
        <v>0</v>
      </c>
      <c r="M442" s="71"/>
      <c r="N442" s="63">
        <f>IFERROR(VLOOKUP($B442,'TB YTD'!$4:$1048576,MATCH('List of Ledgers '!N$4,'TB YTD'!$4:$4,0),0),0)</f>
        <v>0</v>
      </c>
      <c r="O442" s="63">
        <f>IFERROR(VLOOKUP($B442,'TB YTD'!$4:$1048576,MATCH('List of Ledgers '!O$4,'TB YTD'!$4:$4,0),0),0)</f>
        <v>60190</v>
      </c>
      <c r="P442" s="63">
        <f>IFERROR(VLOOKUP($B442,'TB YTD'!$4:$1048576,MATCH('List of Ledgers '!P$4,'TB YTD'!$4:$4,0),0),0)</f>
        <v>60190</v>
      </c>
      <c r="Q442" s="63">
        <f>IFERROR(VLOOKUP($B442,'TB YTD'!$4:$1048576,MATCH('List of Ledgers '!Q$4,'TB YTD'!$4:$4,0),0),0)</f>
        <v>0</v>
      </c>
      <c r="R442" s="63"/>
    </row>
    <row r="443" spans="1:18" hidden="1" x14ac:dyDescent="0.25">
      <c r="A443" s="106">
        <v>430</v>
      </c>
      <c r="B443" s="8" t="s">
        <v>651</v>
      </c>
      <c r="C443" s="8" t="s">
        <v>140</v>
      </c>
      <c r="D443" s="17" t="s">
        <v>128</v>
      </c>
      <c r="E443" s="17" t="s">
        <v>131</v>
      </c>
      <c r="G443" s="17" t="s">
        <v>7</v>
      </c>
      <c r="H443" s="62"/>
      <c r="I443" s="37">
        <f>IFERROR(VLOOKUP(B443,'TB '!$A:$G,7,),0)</f>
        <v>0</v>
      </c>
      <c r="J443" s="37">
        <f>IFERROR(VLOOKUP($B443,'TB '!$4:$1048576,MATCH('List of Ledgers '!J$4,'TB '!$4:$4,0),0),0)</f>
        <v>0</v>
      </c>
      <c r="K443" s="37">
        <f>IFERROR(VLOOKUP($B443,'TB '!$4:$1048576,MATCH('List of Ledgers '!K$4,'TB '!$4:$4,0),0),0)</f>
        <v>0</v>
      </c>
      <c r="L443" s="37">
        <f>IFERROR(VLOOKUP(B443,'TB '!$A:$J,10,),0)</f>
        <v>0</v>
      </c>
      <c r="M443" s="71"/>
      <c r="N443" s="63">
        <f>IFERROR(VLOOKUP($B443,'TB YTD'!$4:$1048576,MATCH('List of Ledgers '!N$4,'TB YTD'!$4:$4,0),0),0)</f>
        <v>0</v>
      </c>
      <c r="O443" s="63">
        <f>IFERROR(VLOOKUP($B443,'TB YTD'!$4:$1048576,MATCH('List of Ledgers '!O$4,'TB YTD'!$4:$4,0),0),0)</f>
        <v>0</v>
      </c>
      <c r="P443" s="63">
        <f>IFERROR(VLOOKUP($B443,'TB YTD'!$4:$1048576,MATCH('List of Ledgers '!P$4,'TB YTD'!$4:$4,0),0),0)</f>
        <v>0</v>
      </c>
      <c r="Q443" s="63">
        <f>IFERROR(VLOOKUP($B443,'TB YTD'!$4:$1048576,MATCH('List of Ledgers '!Q$4,'TB YTD'!$4:$4,0),0),0)</f>
        <v>0</v>
      </c>
      <c r="R443" s="63"/>
    </row>
    <row r="444" spans="1:18" hidden="1" x14ac:dyDescent="0.25">
      <c r="A444" s="106">
        <v>431</v>
      </c>
      <c r="B444" s="8" t="s">
        <v>652</v>
      </c>
      <c r="C444" s="8" t="s">
        <v>124</v>
      </c>
      <c r="D444" s="17"/>
      <c r="E444" s="17"/>
      <c r="H444" s="62"/>
      <c r="I444" s="37">
        <f>IFERROR(VLOOKUP(B444,'TB '!$A:$G,7,),0)</f>
        <v>145129.1</v>
      </c>
      <c r="J444" s="37">
        <f>IFERROR(VLOOKUP($B444,'TB '!$4:$1048576,MATCH('List of Ledgers '!J$4,'TB '!$4:$4,0),0),0)</f>
        <v>0</v>
      </c>
      <c r="K444" s="37">
        <f>IFERROR(VLOOKUP($B444,'TB '!$4:$1048576,MATCH('List of Ledgers '!K$4,'TB '!$4:$4,0),0),0)</f>
        <v>0</v>
      </c>
      <c r="L444" s="37">
        <f>IFERROR(VLOOKUP(B444,'TB '!$A:$J,10,),0)</f>
        <v>145129.1</v>
      </c>
      <c r="M444" s="71"/>
      <c r="N444" s="63">
        <f>IFERROR(VLOOKUP($B444,'TB YTD'!$4:$1048576,MATCH('List of Ledgers '!N$4,'TB YTD'!$4:$4,0),0),0)</f>
        <v>145129.1</v>
      </c>
      <c r="O444" s="63">
        <f>IFERROR(VLOOKUP($B444,'TB YTD'!$4:$1048576,MATCH('List of Ledgers '!O$4,'TB YTD'!$4:$4,0),0),0)</f>
        <v>0</v>
      </c>
      <c r="P444" s="63">
        <f>IFERROR(VLOOKUP($B444,'TB YTD'!$4:$1048576,MATCH('List of Ledgers '!P$4,'TB YTD'!$4:$4,0),0),0)</f>
        <v>0</v>
      </c>
      <c r="Q444" s="63">
        <f>IFERROR(VLOOKUP($B444,'TB YTD'!$4:$1048576,MATCH('List of Ledgers '!Q$4,'TB YTD'!$4:$4,0),0),0)</f>
        <v>145129.1</v>
      </c>
      <c r="R444" s="63"/>
    </row>
    <row r="445" spans="1:18" hidden="1" x14ac:dyDescent="0.25">
      <c r="A445" s="106">
        <v>432</v>
      </c>
      <c r="B445" s="8" t="s">
        <v>653</v>
      </c>
      <c r="C445" s="8" t="s">
        <v>124</v>
      </c>
      <c r="D445" s="17"/>
      <c r="E445" s="17"/>
      <c r="G445" s="17"/>
      <c r="H445" s="62"/>
      <c r="I445" s="37">
        <f>IFERROR(VLOOKUP(B445,'TB '!$A:$G,7,),0)</f>
        <v>241882.11</v>
      </c>
      <c r="J445" s="37">
        <f>IFERROR(VLOOKUP($B445,'TB '!$4:$1048576,MATCH('List of Ledgers '!J$4,'TB '!$4:$4,0),0),0)</f>
        <v>0</v>
      </c>
      <c r="K445" s="37">
        <f>IFERROR(VLOOKUP($B445,'TB '!$4:$1048576,MATCH('List of Ledgers '!K$4,'TB '!$4:$4,0),0),0)</f>
        <v>0</v>
      </c>
      <c r="L445" s="37">
        <f>IFERROR(VLOOKUP(B445,'TB '!$A:$J,10,),0)</f>
        <v>241882.11</v>
      </c>
      <c r="M445" s="71"/>
      <c r="N445" s="63">
        <f>IFERROR(VLOOKUP($B445,'TB YTD'!$4:$1048576,MATCH('List of Ledgers '!N$4,'TB YTD'!$4:$4,0),0),0)</f>
        <v>241882.11</v>
      </c>
      <c r="O445" s="63">
        <f>IFERROR(VLOOKUP($B445,'TB YTD'!$4:$1048576,MATCH('List of Ledgers '!O$4,'TB YTD'!$4:$4,0),0),0)</f>
        <v>0</v>
      </c>
      <c r="P445" s="63">
        <f>IFERROR(VLOOKUP($B445,'TB YTD'!$4:$1048576,MATCH('List of Ledgers '!P$4,'TB YTD'!$4:$4,0),0),0)</f>
        <v>0</v>
      </c>
      <c r="Q445" s="63">
        <f>IFERROR(VLOOKUP($B445,'TB YTD'!$4:$1048576,MATCH('List of Ledgers '!Q$4,'TB YTD'!$4:$4,0),0),0)</f>
        <v>241882.11</v>
      </c>
      <c r="R445" s="63"/>
    </row>
    <row r="446" spans="1:18" hidden="1" x14ac:dyDescent="0.25">
      <c r="A446" s="106">
        <v>433</v>
      </c>
      <c r="B446" s="8" t="s">
        <v>654</v>
      </c>
      <c r="C446" s="8" t="s">
        <v>124</v>
      </c>
      <c r="D446" s="17"/>
      <c r="E446" s="17"/>
      <c r="G446" s="17"/>
      <c r="H446" s="62"/>
      <c r="I446" s="37">
        <f>IFERROR(VLOOKUP(B446,'TB '!$A:$G,7,),0)</f>
        <v>338635.12</v>
      </c>
      <c r="J446" s="37">
        <f>IFERROR(VLOOKUP($B446,'TB '!$4:$1048576,MATCH('List of Ledgers '!J$4,'TB '!$4:$4,0),0),0)</f>
        <v>0</v>
      </c>
      <c r="K446" s="37">
        <f>IFERROR(VLOOKUP($B446,'TB '!$4:$1048576,MATCH('List of Ledgers '!K$4,'TB '!$4:$4,0),0),0)</f>
        <v>0</v>
      </c>
      <c r="L446" s="37">
        <f>IFERROR(VLOOKUP(B446,'TB '!$A:$J,10,),0)</f>
        <v>338635.12</v>
      </c>
      <c r="M446" s="71"/>
      <c r="N446" s="63">
        <f>IFERROR(VLOOKUP($B446,'TB YTD'!$4:$1048576,MATCH('List of Ledgers '!N$4,'TB YTD'!$4:$4,0),0),0)</f>
        <v>338635.12</v>
      </c>
      <c r="O446" s="63">
        <f>IFERROR(VLOOKUP($B446,'TB YTD'!$4:$1048576,MATCH('List of Ledgers '!O$4,'TB YTD'!$4:$4,0),0),0)</f>
        <v>0</v>
      </c>
      <c r="P446" s="63">
        <f>IFERROR(VLOOKUP($B446,'TB YTD'!$4:$1048576,MATCH('List of Ledgers '!P$4,'TB YTD'!$4:$4,0),0),0)</f>
        <v>0</v>
      </c>
      <c r="Q446" s="63">
        <f>IFERROR(VLOOKUP($B446,'TB YTD'!$4:$1048576,MATCH('List of Ledgers '!Q$4,'TB YTD'!$4:$4,0),0),0)</f>
        <v>338635.12</v>
      </c>
      <c r="R446" s="63"/>
    </row>
    <row r="447" spans="1:18" hidden="1" x14ac:dyDescent="0.25">
      <c r="A447" s="106">
        <v>434</v>
      </c>
      <c r="B447" s="8" t="s">
        <v>655</v>
      </c>
      <c r="C447" s="8" t="s">
        <v>185</v>
      </c>
      <c r="D447" s="106" t="s">
        <v>128</v>
      </c>
      <c r="E447" s="17" t="s">
        <v>134</v>
      </c>
      <c r="G447" s="17" t="s">
        <v>3</v>
      </c>
      <c r="H447" s="62"/>
      <c r="I447" s="37">
        <f>IFERROR(VLOOKUP(B447,'TB '!$A:$G,7,),0)</f>
        <v>300</v>
      </c>
      <c r="J447" s="37">
        <f>IFERROR(VLOOKUP($B447,'TB '!$4:$1048576,MATCH('List of Ledgers '!J$4,'TB '!$4:$4,0),0),0)</f>
        <v>0</v>
      </c>
      <c r="K447" s="37">
        <f>IFERROR(VLOOKUP($B447,'TB '!$4:$1048576,MATCH('List of Ledgers '!K$4,'TB '!$4:$4,0),0),0)</f>
        <v>0</v>
      </c>
      <c r="L447" s="37">
        <f>IFERROR(VLOOKUP(B447,'TB '!$A:$J,10,),0)</f>
        <v>300</v>
      </c>
      <c r="M447" s="71"/>
      <c r="N447" s="63">
        <f>IFERROR(VLOOKUP($B447,'TB YTD'!$4:$1048576,MATCH('List of Ledgers '!N$4,'TB YTD'!$4:$4,0),0),0)</f>
        <v>300</v>
      </c>
      <c r="O447" s="63">
        <f>IFERROR(VLOOKUP($B447,'TB YTD'!$4:$1048576,MATCH('List of Ledgers '!O$4,'TB YTD'!$4:$4,0),0),0)</f>
        <v>71966</v>
      </c>
      <c r="P447" s="63">
        <f>IFERROR(VLOOKUP($B447,'TB YTD'!$4:$1048576,MATCH('List of Ledgers '!P$4,'TB YTD'!$4:$4,0),0),0)</f>
        <v>71966</v>
      </c>
      <c r="Q447" s="63">
        <f>IFERROR(VLOOKUP($B447,'TB YTD'!$4:$1048576,MATCH('List of Ledgers '!Q$4,'TB YTD'!$4:$4,0),0),0)</f>
        <v>300</v>
      </c>
      <c r="R447" s="63"/>
    </row>
    <row r="448" spans="1:18" hidden="1" x14ac:dyDescent="0.25">
      <c r="A448" s="106">
        <v>435</v>
      </c>
      <c r="B448" s="8" t="s">
        <v>656</v>
      </c>
      <c r="C448" s="8" t="s">
        <v>185</v>
      </c>
      <c r="D448" s="106" t="s">
        <v>128</v>
      </c>
      <c r="E448" s="17" t="s">
        <v>134</v>
      </c>
      <c r="G448" s="17" t="s">
        <v>3</v>
      </c>
      <c r="H448" s="62"/>
      <c r="I448" s="37">
        <f>IFERROR(VLOOKUP(B448,'TB '!$A:$G,7,),0)</f>
        <v>0</v>
      </c>
      <c r="J448" s="37">
        <f>IFERROR(VLOOKUP($B448,'TB '!$4:$1048576,MATCH('List of Ledgers '!J$4,'TB '!$4:$4,0),0),0)</f>
        <v>0</v>
      </c>
      <c r="K448" s="37">
        <f>IFERROR(VLOOKUP($B448,'TB '!$4:$1048576,MATCH('List of Ledgers '!K$4,'TB '!$4:$4,0),0),0)</f>
        <v>0</v>
      </c>
      <c r="L448" s="37">
        <f>IFERROR(VLOOKUP(B448,'TB '!$A:$J,10,),0)</f>
        <v>0</v>
      </c>
      <c r="M448" s="71"/>
      <c r="N448" s="63">
        <f>IFERROR(VLOOKUP($B448,'TB YTD'!$4:$1048576,MATCH('List of Ledgers '!N$4,'TB YTD'!$4:$4,0),0),0)</f>
        <v>0</v>
      </c>
      <c r="O448" s="63">
        <f>IFERROR(VLOOKUP($B448,'TB YTD'!$4:$1048576,MATCH('List of Ledgers '!O$4,'TB YTD'!$4:$4,0),0),0)</f>
        <v>13293</v>
      </c>
      <c r="P448" s="63">
        <f>IFERROR(VLOOKUP($B448,'TB YTD'!$4:$1048576,MATCH('List of Ledgers '!P$4,'TB YTD'!$4:$4,0),0),0)</f>
        <v>13293</v>
      </c>
      <c r="Q448" s="63">
        <f>IFERROR(VLOOKUP($B448,'TB YTD'!$4:$1048576,MATCH('List of Ledgers '!Q$4,'TB YTD'!$4:$4,0),0),0)</f>
        <v>0</v>
      </c>
      <c r="R448" s="63"/>
    </row>
    <row r="449" spans="1:18" hidden="1" x14ac:dyDescent="0.25">
      <c r="A449" s="106">
        <v>436</v>
      </c>
      <c r="B449" s="8" t="s">
        <v>657</v>
      </c>
      <c r="C449" s="8" t="s">
        <v>185</v>
      </c>
      <c r="D449" s="106" t="s">
        <v>128</v>
      </c>
      <c r="E449" s="17" t="s">
        <v>134</v>
      </c>
      <c r="G449" s="17" t="s">
        <v>3</v>
      </c>
      <c r="H449" s="62"/>
      <c r="I449" s="37">
        <f>IFERROR(VLOOKUP(B449,'TB '!$A:$G,7,),0)</f>
        <v>0</v>
      </c>
      <c r="J449" s="37">
        <f>IFERROR(VLOOKUP($B449,'TB '!$4:$1048576,MATCH('List of Ledgers '!J$4,'TB '!$4:$4,0),0),0)</f>
        <v>0</v>
      </c>
      <c r="K449" s="37">
        <f>IFERROR(VLOOKUP($B449,'TB '!$4:$1048576,MATCH('List of Ledgers '!K$4,'TB '!$4:$4,0),0),0)</f>
        <v>0</v>
      </c>
      <c r="L449" s="37">
        <f>IFERROR(VLOOKUP(B449,'TB '!$A:$J,10,),0)</f>
        <v>0</v>
      </c>
      <c r="M449" s="71"/>
      <c r="N449" s="63">
        <f>IFERROR(VLOOKUP($B449,'TB YTD'!$4:$1048576,MATCH('List of Ledgers '!N$4,'TB YTD'!$4:$4,0),0),0)</f>
        <v>0</v>
      </c>
      <c r="O449" s="63">
        <f>IFERROR(VLOOKUP($B449,'TB YTD'!$4:$1048576,MATCH('List of Ledgers '!O$4,'TB YTD'!$4:$4,0),0),0)</f>
        <v>0</v>
      </c>
      <c r="P449" s="63">
        <f>IFERROR(VLOOKUP($B449,'TB YTD'!$4:$1048576,MATCH('List of Ledgers '!P$4,'TB YTD'!$4:$4,0),0),0)</f>
        <v>0</v>
      </c>
      <c r="Q449" s="63">
        <f>IFERROR(VLOOKUP($B449,'TB YTD'!$4:$1048576,MATCH('List of Ledgers '!Q$4,'TB YTD'!$4:$4,0),0),0)</f>
        <v>0</v>
      </c>
      <c r="R449" s="63"/>
    </row>
    <row r="450" spans="1:18" hidden="1" x14ac:dyDescent="0.25">
      <c r="A450" s="106">
        <v>437</v>
      </c>
      <c r="B450" s="8" t="s">
        <v>658</v>
      </c>
      <c r="C450" s="8" t="s">
        <v>187</v>
      </c>
      <c r="D450" s="17" t="s">
        <v>128</v>
      </c>
      <c r="E450" s="17" t="s">
        <v>134</v>
      </c>
      <c r="G450" s="17" t="s">
        <v>2</v>
      </c>
      <c r="H450" s="62"/>
      <c r="I450" s="37">
        <f>IFERROR(VLOOKUP(B450,'TB '!$A:$G,7,),0)</f>
        <v>0</v>
      </c>
      <c r="J450" s="37">
        <f>IFERROR(VLOOKUP($B450,'TB '!$4:$1048576,MATCH('List of Ledgers '!J$4,'TB '!$4:$4,0),0),0)</f>
        <v>0</v>
      </c>
      <c r="K450" s="37">
        <f>IFERROR(VLOOKUP($B450,'TB '!$4:$1048576,MATCH('List of Ledgers '!K$4,'TB '!$4:$4,0),0),0)</f>
        <v>0</v>
      </c>
      <c r="L450" s="37">
        <f>IFERROR(VLOOKUP(B450,'TB '!$A:$J,10,),0)</f>
        <v>0</v>
      </c>
      <c r="M450" s="71"/>
      <c r="N450" s="63">
        <f>IFERROR(VLOOKUP($B450,'TB YTD'!$4:$1048576,MATCH('List of Ledgers '!N$4,'TB YTD'!$4:$4,0),0),0)</f>
        <v>0</v>
      </c>
      <c r="O450" s="63">
        <f>IFERROR(VLOOKUP($B450,'TB YTD'!$4:$1048576,MATCH('List of Ledgers '!O$4,'TB YTD'!$4:$4,0),0),0)</f>
        <v>0</v>
      </c>
      <c r="P450" s="63">
        <f>IFERROR(VLOOKUP($B450,'TB YTD'!$4:$1048576,MATCH('List of Ledgers '!P$4,'TB YTD'!$4:$4,0),0),0)</f>
        <v>0</v>
      </c>
      <c r="Q450" s="63">
        <f>IFERROR(VLOOKUP($B450,'TB YTD'!$4:$1048576,MATCH('List of Ledgers '!Q$4,'TB YTD'!$4:$4,0),0),0)</f>
        <v>0</v>
      </c>
      <c r="R450" s="63"/>
    </row>
    <row r="451" spans="1:18" hidden="1" x14ac:dyDescent="0.25">
      <c r="A451" s="106">
        <v>438</v>
      </c>
      <c r="B451" s="8" t="s">
        <v>659</v>
      </c>
      <c r="C451" s="8" t="s">
        <v>142</v>
      </c>
      <c r="D451" s="17"/>
      <c r="E451" s="17"/>
      <c r="G451" s="17"/>
      <c r="H451" s="62"/>
      <c r="I451" s="37">
        <f>IFERROR(VLOOKUP(B451,'TB '!$A:$G,7,),0)</f>
        <v>0</v>
      </c>
      <c r="J451" s="37">
        <f>IFERROR(VLOOKUP($B451,'TB '!$4:$1048576,MATCH('List of Ledgers '!J$4,'TB '!$4:$4,0),0),0)</f>
        <v>0</v>
      </c>
      <c r="K451" s="37">
        <f>IFERROR(VLOOKUP($B451,'TB '!$4:$1048576,MATCH('List of Ledgers '!K$4,'TB '!$4:$4,0),0),0)</f>
        <v>0</v>
      </c>
      <c r="L451" s="37">
        <f>IFERROR(VLOOKUP(B451,'TB '!$A:$J,10,),0)</f>
        <v>0</v>
      </c>
      <c r="M451" s="71"/>
      <c r="N451" s="63">
        <f>IFERROR(VLOOKUP($B451,'TB YTD'!$4:$1048576,MATCH('List of Ledgers '!N$4,'TB YTD'!$4:$4,0),0),0)</f>
        <v>0</v>
      </c>
      <c r="O451" s="63">
        <f>IFERROR(VLOOKUP($B451,'TB YTD'!$4:$1048576,MATCH('List of Ledgers '!O$4,'TB YTD'!$4:$4,0),0),0)</f>
        <v>0</v>
      </c>
      <c r="P451" s="63">
        <f>IFERROR(VLOOKUP($B451,'TB YTD'!$4:$1048576,MATCH('List of Ledgers '!P$4,'TB YTD'!$4:$4,0),0),0)</f>
        <v>0</v>
      </c>
      <c r="Q451" s="63">
        <f>IFERROR(VLOOKUP($B451,'TB YTD'!$4:$1048576,MATCH('List of Ledgers '!Q$4,'TB YTD'!$4:$4,0),0),0)</f>
        <v>0</v>
      </c>
      <c r="R451" s="63"/>
    </row>
    <row r="452" spans="1:18" hidden="1" x14ac:dyDescent="0.25">
      <c r="A452" s="106">
        <v>439</v>
      </c>
      <c r="B452" s="8" t="s">
        <v>660</v>
      </c>
      <c r="C452" s="8" t="s">
        <v>180</v>
      </c>
      <c r="D452" s="17" t="s">
        <v>128</v>
      </c>
      <c r="E452" s="17" t="s">
        <v>131</v>
      </c>
      <c r="G452" s="17" t="s">
        <v>2</v>
      </c>
      <c r="H452" s="62"/>
      <c r="I452" s="37">
        <f>IFERROR(VLOOKUP(B452,'TB '!$A:$G,7,),0)</f>
        <v>0</v>
      </c>
      <c r="J452" s="37">
        <f>IFERROR(VLOOKUP($B452,'TB '!$4:$1048576,MATCH('List of Ledgers '!J$4,'TB '!$4:$4,0),0),0)</f>
        <v>0</v>
      </c>
      <c r="K452" s="37">
        <f>IFERROR(VLOOKUP($B452,'TB '!$4:$1048576,MATCH('List of Ledgers '!K$4,'TB '!$4:$4,0),0),0)</f>
        <v>0</v>
      </c>
      <c r="L452" s="37">
        <f>IFERROR(VLOOKUP(B452,'TB '!$A:$J,10,),0)</f>
        <v>0</v>
      </c>
      <c r="M452" s="71"/>
      <c r="N452" s="63">
        <f>IFERROR(VLOOKUP($B452,'TB YTD'!$4:$1048576,MATCH('List of Ledgers '!N$4,'TB YTD'!$4:$4,0),0),0)</f>
        <v>0</v>
      </c>
      <c r="O452" s="63">
        <f>IFERROR(VLOOKUP($B452,'TB YTD'!$4:$1048576,MATCH('List of Ledgers '!O$4,'TB YTD'!$4:$4,0),0),0)</f>
        <v>0</v>
      </c>
      <c r="P452" s="63">
        <f>IFERROR(VLOOKUP($B452,'TB YTD'!$4:$1048576,MATCH('List of Ledgers '!P$4,'TB YTD'!$4:$4,0),0),0)</f>
        <v>0</v>
      </c>
      <c r="Q452" s="63">
        <f>IFERROR(VLOOKUP($B452,'TB YTD'!$4:$1048576,MATCH('List of Ledgers '!Q$4,'TB YTD'!$4:$4,0),0),0)</f>
        <v>0</v>
      </c>
      <c r="R452" s="63"/>
    </row>
    <row r="453" spans="1:18" hidden="1" x14ac:dyDescent="0.25">
      <c r="A453" s="106">
        <v>440</v>
      </c>
      <c r="B453" s="8" t="s">
        <v>661</v>
      </c>
      <c r="C453" s="8" t="s">
        <v>158</v>
      </c>
      <c r="D453" s="17" t="s">
        <v>128</v>
      </c>
      <c r="E453" s="17" t="s">
        <v>131</v>
      </c>
      <c r="G453" s="17" t="s">
        <v>4</v>
      </c>
      <c r="H453" s="62"/>
      <c r="I453" s="37">
        <f>IFERROR(VLOOKUP(B453,'TB '!$A:$G,7,),0)</f>
        <v>21588</v>
      </c>
      <c r="J453" s="37">
        <f>IFERROR(VLOOKUP($B453,'TB '!$4:$1048576,MATCH('List of Ledgers '!J$4,'TB '!$4:$4,0),0),0)</f>
        <v>617630</v>
      </c>
      <c r="K453" s="37">
        <f>IFERROR(VLOOKUP($B453,'TB '!$4:$1048576,MATCH('List of Ledgers '!K$4,'TB '!$4:$4,0),0),0)</f>
        <v>1199284</v>
      </c>
      <c r="L453" s="37">
        <f>IFERROR(VLOOKUP(B453,'TB '!$A:$J,10,),0)</f>
        <v>-560066</v>
      </c>
      <c r="M453" s="71"/>
      <c r="N453" s="63">
        <f>IFERROR(VLOOKUP($B453,'TB YTD'!$4:$1048576,MATCH('List of Ledgers '!N$4,'TB YTD'!$4:$4,0),0),0)</f>
        <v>0</v>
      </c>
      <c r="O453" s="63">
        <f>IFERROR(VLOOKUP($B453,'TB YTD'!$4:$1048576,MATCH('List of Ledgers '!O$4,'TB YTD'!$4:$4,0),0),0)</f>
        <v>4092498</v>
      </c>
      <c r="P453" s="63">
        <f>IFERROR(VLOOKUP($B453,'TB YTD'!$4:$1048576,MATCH('List of Ledgers '!P$4,'TB YTD'!$4:$4,0),0),0)</f>
        <v>4652564</v>
      </c>
      <c r="Q453" s="63">
        <f>IFERROR(VLOOKUP($B453,'TB YTD'!$4:$1048576,MATCH('List of Ledgers '!Q$4,'TB YTD'!$4:$4,0),0),0)</f>
        <v>-560066</v>
      </c>
      <c r="R453" s="63"/>
    </row>
    <row r="454" spans="1:18" hidden="1" x14ac:dyDescent="0.25">
      <c r="A454" s="106">
        <v>441</v>
      </c>
      <c r="B454" s="8" t="s">
        <v>662</v>
      </c>
      <c r="C454" s="8" t="s">
        <v>250</v>
      </c>
      <c r="D454" s="17" t="s">
        <v>128</v>
      </c>
      <c r="E454" s="17" t="s">
        <v>131</v>
      </c>
      <c r="G454" s="17" t="s">
        <v>7</v>
      </c>
      <c r="H454" s="62"/>
      <c r="I454" s="37">
        <f>IFERROR(VLOOKUP(B454,'TB '!$A:$G,7,),0)</f>
        <v>0</v>
      </c>
      <c r="J454" s="37">
        <f>IFERROR(VLOOKUP($B454,'TB '!$4:$1048576,MATCH('List of Ledgers '!J$4,'TB '!$4:$4,0),0),0)</f>
        <v>0</v>
      </c>
      <c r="K454" s="37">
        <f>IFERROR(VLOOKUP($B454,'TB '!$4:$1048576,MATCH('List of Ledgers '!K$4,'TB '!$4:$4,0),0),0)</f>
        <v>0</v>
      </c>
      <c r="L454" s="37">
        <f>IFERROR(VLOOKUP(B454,'TB '!$A:$J,10,),0)</f>
        <v>0</v>
      </c>
      <c r="M454" s="71"/>
      <c r="N454" s="63">
        <f>IFERROR(VLOOKUP($B454,'TB YTD'!$4:$1048576,MATCH('List of Ledgers '!N$4,'TB YTD'!$4:$4,0),0),0)</f>
        <v>-0.08</v>
      </c>
      <c r="O454" s="63">
        <f>IFERROR(VLOOKUP($B454,'TB YTD'!$4:$1048576,MATCH('List of Ledgers '!O$4,'TB YTD'!$4:$4,0),0),0)</f>
        <v>0.08</v>
      </c>
      <c r="P454" s="63">
        <f>IFERROR(VLOOKUP($B454,'TB YTD'!$4:$1048576,MATCH('List of Ledgers '!P$4,'TB YTD'!$4:$4,0),0),0)</f>
        <v>0</v>
      </c>
      <c r="Q454" s="63">
        <f>IFERROR(VLOOKUP($B454,'TB YTD'!$4:$1048576,MATCH('List of Ledgers '!Q$4,'TB YTD'!$4:$4,0),0),0)</f>
        <v>0</v>
      </c>
      <c r="R454" s="63"/>
    </row>
    <row r="455" spans="1:18" hidden="1" x14ac:dyDescent="0.25">
      <c r="A455" s="106">
        <v>442</v>
      </c>
      <c r="B455" s="8" t="s">
        <v>663</v>
      </c>
      <c r="C455" s="8" t="s">
        <v>140</v>
      </c>
      <c r="D455" s="17" t="s">
        <v>128</v>
      </c>
      <c r="E455" s="17" t="s">
        <v>131</v>
      </c>
      <c r="G455" s="17" t="s">
        <v>7</v>
      </c>
      <c r="H455" s="62"/>
      <c r="I455" s="37">
        <f>IFERROR(VLOOKUP(B455,'TB '!$A:$G,7,),0)</f>
        <v>0</v>
      </c>
      <c r="J455" s="37">
        <f>IFERROR(VLOOKUP($B455,'TB '!$4:$1048576,MATCH('List of Ledgers '!J$4,'TB '!$4:$4,0),0),0)</f>
        <v>0</v>
      </c>
      <c r="K455" s="37">
        <f>IFERROR(VLOOKUP($B455,'TB '!$4:$1048576,MATCH('List of Ledgers '!K$4,'TB '!$4:$4,0),0),0)</f>
        <v>0</v>
      </c>
      <c r="L455" s="37">
        <f>IFERROR(VLOOKUP(B455,'TB '!$A:$J,10,),0)</f>
        <v>0</v>
      </c>
      <c r="M455" s="71"/>
      <c r="N455" s="63">
        <f>IFERROR(VLOOKUP($B455,'TB YTD'!$4:$1048576,MATCH('List of Ledgers '!N$4,'TB YTD'!$4:$4,0),0),0)</f>
        <v>0</v>
      </c>
      <c r="O455" s="63">
        <f>IFERROR(VLOOKUP($B455,'TB YTD'!$4:$1048576,MATCH('List of Ledgers '!O$4,'TB YTD'!$4:$4,0),0),0)</f>
        <v>0</v>
      </c>
      <c r="P455" s="63">
        <f>IFERROR(VLOOKUP($B455,'TB YTD'!$4:$1048576,MATCH('List of Ledgers '!P$4,'TB YTD'!$4:$4,0),0),0)</f>
        <v>0</v>
      </c>
      <c r="Q455" s="63">
        <f>IFERROR(VLOOKUP($B455,'TB YTD'!$4:$1048576,MATCH('List of Ledgers '!Q$4,'TB YTD'!$4:$4,0),0),0)</f>
        <v>0</v>
      </c>
      <c r="R455" s="63"/>
    </row>
    <row r="456" spans="1:18" hidden="1" x14ac:dyDescent="0.25">
      <c r="A456" s="106">
        <v>443</v>
      </c>
      <c r="B456" s="8" t="s">
        <v>160</v>
      </c>
      <c r="C456" s="8" t="s">
        <v>160</v>
      </c>
      <c r="D456" s="17"/>
      <c r="E456" s="17"/>
      <c r="G456" s="17"/>
      <c r="H456" s="62"/>
      <c r="I456" s="37">
        <f>IFERROR(VLOOKUP(B456,'TB '!$A:$G,7,),0)</f>
        <v>-331909.33</v>
      </c>
      <c r="J456" s="37">
        <f>IFERROR(VLOOKUP($B456,'TB '!$4:$1048576,MATCH('List of Ledgers '!J$4,'TB '!$4:$4,0),0),0)</f>
        <v>0</v>
      </c>
      <c r="K456" s="37">
        <f>IFERROR(VLOOKUP($B456,'TB '!$4:$1048576,MATCH('List of Ledgers '!K$4,'TB '!$4:$4,0),0),0)</f>
        <v>0</v>
      </c>
      <c r="L456" s="37">
        <f>IFERROR(VLOOKUP(B456,'TB '!$A:$J,10,),0)</f>
        <v>-331909.33</v>
      </c>
      <c r="M456" s="71"/>
      <c r="N456" s="63">
        <f>IFERROR(VLOOKUP($B456,'TB YTD'!$4:$1048576,MATCH('List of Ledgers '!N$4,'TB YTD'!$4:$4,0),0),0)</f>
        <v>-370252.83</v>
      </c>
      <c r="O456" s="63">
        <f>IFERROR(VLOOKUP($B456,'TB YTD'!$4:$1048576,MATCH('List of Ledgers '!O$4,'TB YTD'!$4:$4,0),0),0)</f>
        <v>38343.5</v>
      </c>
      <c r="P456" s="63">
        <f>IFERROR(VLOOKUP($B456,'TB YTD'!$4:$1048576,MATCH('List of Ledgers '!P$4,'TB YTD'!$4:$4,0),0),0)</f>
        <v>0</v>
      </c>
      <c r="Q456" s="63">
        <f>IFERROR(VLOOKUP($B456,'TB YTD'!$4:$1048576,MATCH('List of Ledgers '!Q$4,'TB YTD'!$4:$4,0),0),0)</f>
        <v>-331909.33</v>
      </c>
      <c r="R456" s="63"/>
    </row>
    <row r="457" spans="1:18" hidden="1" x14ac:dyDescent="0.25">
      <c r="A457" s="106">
        <v>444</v>
      </c>
      <c r="B457" s="8" t="s">
        <v>664</v>
      </c>
      <c r="C457" s="8" t="s">
        <v>158</v>
      </c>
      <c r="D457" s="17" t="s">
        <v>128</v>
      </c>
      <c r="E457" s="17" t="s">
        <v>131</v>
      </c>
      <c r="G457" s="17" t="s">
        <v>4</v>
      </c>
      <c r="H457" s="62"/>
      <c r="I457" s="37">
        <f>IFERROR(VLOOKUP(B457,'TB '!$A:$G,7,),0)</f>
        <v>0</v>
      </c>
      <c r="J457" s="37">
        <f>IFERROR(VLOOKUP($B457,'TB '!$4:$1048576,MATCH('List of Ledgers '!J$4,'TB '!$4:$4,0),0),0)</f>
        <v>0</v>
      </c>
      <c r="K457" s="37">
        <f>IFERROR(VLOOKUP($B457,'TB '!$4:$1048576,MATCH('List of Ledgers '!K$4,'TB '!$4:$4,0),0),0)</f>
        <v>0</v>
      </c>
      <c r="L457" s="37">
        <f>IFERROR(VLOOKUP(B457,'TB '!$A:$J,10,),0)</f>
        <v>0</v>
      </c>
      <c r="M457" s="71"/>
      <c r="N457" s="63">
        <f>IFERROR(VLOOKUP($B457,'TB YTD'!$4:$1048576,MATCH('List of Ledgers '!N$4,'TB YTD'!$4:$4,0),0),0)</f>
        <v>0</v>
      </c>
      <c r="O457" s="63">
        <f>IFERROR(VLOOKUP($B457,'TB YTD'!$4:$1048576,MATCH('List of Ledgers '!O$4,'TB YTD'!$4:$4,0),0),0)</f>
        <v>0</v>
      </c>
      <c r="P457" s="63">
        <f>IFERROR(VLOOKUP($B457,'TB YTD'!$4:$1048576,MATCH('List of Ledgers '!P$4,'TB YTD'!$4:$4,0),0),0)</f>
        <v>0</v>
      </c>
      <c r="Q457" s="63">
        <f>IFERROR(VLOOKUP($B457,'TB YTD'!$4:$1048576,MATCH('List of Ledgers '!Q$4,'TB YTD'!$4:$4,0),0),0)</f>
        <v>0</v>
      </c>
      <c r="R457" s="63"/>
    </row>
    <row r="458" spans="1:18" hidden="1" x14ac:dyDescent="0.25">
      <c r="A458" s="106">
        <v>445</v>
      </c>
      <c r="B458" s="8" t="s">
        <v>665</v>
      </c>
      <c r="C458" s="8" t="s">
        <v>183</v>
      </c>
      <c r="D458" s="17" t="s">
        <v>128</v>
      </c>
      <c r="E458" s="17" t="s">
        <v>134</v>
      </c>
      <c r="G458" s="17" t="s">
        <v>2</v>
      </c>
      <c r="H458" s="62"/>
      <c r="I458" s="37">
        <f>IFERROR(VLOOKUP(B458,'TB '!$A:$G,7,),0)</f>
        <v>0</v>
      </c>
      <c r="J458" s="37">
        <f>IFERROR(VLOOKUP($B458,'TB '!$4:$1048576,MATCH('List of Ledgers '!J$4,'TB '!$4:$4,0),0),0)</f>
        <v>0</v>
      </c>
      <c r="K458" s="37">
        <f>IFERROR(VLOOKUP($B458,'TB '!$4:$1048576,MATCH('List of Ledgers '!K$4,'TB '!$4:$4,0),0),0)</f>
        <v>0</v>
      </c>
      <c r="L458" s="37">
        <f>IFERROR(VLOOKUP(B458,'TB '!$A:$J,10,),0)</f>
        <v>0</v>
      </c>
      <c r="M458" s="71"/>
      <c r="N458" s="63">
        <f>IFERROR(VLOOKUP($B458,'TB YTD'!$4:$1048576,MATCH('List of Ledgers '!N$4,'TB YTD'!$4:$4,0),0),0)</f>
        <v>0</v>
      </c>
      <c r="O458" s="63">
        <f>IFERROR(VLOOKUP($B458,'TB YTD'!$4:$1048576,MATCH('List of Ledgers '!O$4,'TB YTD'!$4:$4,0),0),0)</f>
        <v>0</v>
      </c>
      <c r="P458" s="63">
        <f>IFERROR(VLOOKUP($B458,'TB YTD'!$4:$1048576,MATCH('List of Ledgers '!P$4,'TB YTD'!$4:$4,0),0),0)</f>
        <v>0</v>
      </c>
      <c r="Q458" s="63">
        <f>IFERROR(VLOOKUP($B458,'TB YTD'!$4:$1048576,MATCH('List of Ledgers '!Q$4,'TB YTD'!$4:$4,0),0),0)</f>
        <v>0</v>
      </c>
      <c r="R458" s="63"/>
    </row>
    <row r="459" spans="1:18" hidden="1" x14ac:dyDescent="0.25">
      <c r="A459" s="106">
        <v>446</v>
      </c>
      <c r="B459" s="8" t="s">
        <v>666</v>
      </c>
      <c r="C459" s="8" t="s">
        <v>667</v>
      </c>
      <c r="D459" s="17"/>
      <c r="E459" s="17"/>
      <c r="G459" s="17"/>
      <c r="H459" s="62"/>
      <c r="I459" s="37">
        <f>IFERROR(VLOOKUP(B459,'TB '!$A:$G,7,),0)</f>
        <v>7623</v>
      </c>
      <c r="J459" s="37">
        <f>IFERROR(VLOOKUP($B459,'TB '!$4:$1048576,MATCH('List of Ledgers '!J$4,'TB '!$4:$4,0),0),0)</f>
        <v>0</v>
      </c>
      <c r="K459" s="37">
        <f>IFERROR(VLOOKUP($B459,'TB '!$4:$1048576,MATCH('List of Ledgers '!K$4,'TB '!$4:$4,0),0),0)</f>
        <v>0</v>
      </c>
      <c r="L459" s="37">
        <f>IFERROR(VLOOKUP(B459,'TB '!$A:$J,10,),0)</f>
        <v>7623</v>
      </c>
      <c r="M459" s="71"/>
      <c r="N459" s="63">
        <f>IFERROR(VLOOKUP($B459,'TB YTD'!$4:$1048576,MATCH('List of Ledgers '!N$4,'TB YTD'!$4:$4,0),0),0)</f>
        <v>7623</v>
      </c>
      <c r="O459" s="63">
        <f>IFERROR(VLOOKUP($B459,'TB YTD'!$4:$1048576,MATCH('List of Ledgers '!O$4,'TB YTD'!$4:$4,0),0),0)</f>
        <v>0</v>
      </c>
      <c r="P459" s="63">
        <f>IFERROR(VLOOKUP($B459,'TB YTD'!$4:$1048576,MATCH('List of Ledgers '!P$4,'TB YTD'!$4:$4,0),0),0)</f>
        <v>0</v>
      </c>
      <c r="Q459" s="63">
        <f>IFERROR(VLOOKUP($B459,'TB YTD'!$4:$1048576,MATCH('List of Ledgers '!Q$4,'TB YTD'!$4:$4,0),0),0)</f>
        <v>7623</v>
      </c>
      <c r="R459" s="63"/>
    </row>
    <row r="460" spans="1:18" hidden="1" x14ac:dyDescent="0.25">
      <c r="A460" s="106">
        <v>447</v>
      </c>
      <c r="B460" s="151" t="s">
        <v>668</v>
      </c>
      <c r="C460" s="151" t="s">
        <v>1289</v>
      </c>
      <c r="D460" s="12" t="s">
        <v>151</v>
      </c>
      <c r="E460" s="17" t="s">
        <v>1291</v>
      </c>
      <c r="F460" s="12" t="s">
        <v>71</v>
      </c>
      <c r="G460" s="17" t="s">
        <v>4</v>
      </c>
      <c r="H460" s="63"/>
      <c r="I460" s="37">
        <f>IFERROR(VLOOKUP(B460,'TB '!$A:$G,7,),0)</f>
        <v>0</v>
      </c>
      <c r="J460" s="37">
        <f>IFERROR(VLOOKUP($B460,'TB '!$4:$1048576,MATCH('List of Ledgers '!J$4,'TB '!$4:$4,0),0),0)</f>
        <v>0</v>
      </c>
      <c r="K460" s="37">
        <f>IFERROR(VLOOKUP($B460,'TB '!$4:$1048576,MATCH('List of Ledgers '!K$4,'TB '!$4:$4,0),0),0)</f>
        <v>0</v>
      </c>
      <c r="L460" s="37">
        <f>IFERROR(VLOOKUP(B460,'TB '!$A:$J,10,),0)</f>
        <v>0</v>
      </c>
      <c r="M460" s="71"/>
      <c r="N460" s="63">
        <f>IFERROR(VLOOKUP($B460,'TB YTD'!$4:$1048576,MATCH('List of Ledgers '!N$4,'TB YTD'!$4:$4,0),0),0)</f>
        <v>0</v>
      </c>
      <c r="O460" s="63">
        <f>IFERROR(VLOOKUP($B460,'TB YTD'!$4:$1048576,MATCH('List of Ledgers '!O$4,'TB YTD'!$4:$4,0),0),0)</f>
        <v>74300</v>
      </c>
      <c r="P460" s="63">
        <f>IFERROR(VLOOKUP($B460,'TB YTD'!$4:$1048576,MATCH('List of Ledgers '!P$4,'TB YTD'!$4:$4,0),0),0)</f>
        <v>0</v>
      </c>
      <c r="Q460" s="63">
        <f>IFERROR(VLOOKUP($B460,'TB YTD'!$4:$1048576,MATCH('List of Ledgers '!Q$4,'TB YTD'!$4:$4,0),0),0)</f>
        <v>74300</v>
      </c>
      <c r="R460" s="63"/>
    </row>
    <row r="461" spans="1:18" hidden="1" x14ac:dyDescent="0.25">
      <c r="A461" s="106">
        <v>448</v>
      </c>
      <c r="B461" s="8" t="s">
        <v>669</v>
      </c>
      <c r="C461" s="8" t="s">
        <v>606</v>
      </c>
      <c r="D461" s="17" t="s">
        <v>128</v>
      </c>
      <c r="E461" s="17" t="s">
        <v>134</v>
      </c>
      <c r="G461" s="17" t="s">
        <v>2</v>
      </c>
      <c r="H461" s="62"/>
      <c r="I461" s="37">
        <f>IFERROR(VLOOKUP(B461,'TB '!$A:$G,7,),0)</f>
        <v>0</v>
      </c>
      <c r="J461" s="37">
        <f>IFERROR(VLOOKUP($B461,'TB '!$4:$1048576,MATCH('List of Ledgers '!J$4,'TB '!$4:$4,0),0),0)</f>
        <v>0</v>
      </c>
      <c r="K461" s="37">
        <f>IFERROR(VLOOKUP($B461,'TB '!$4:$1048576,MATCH('List of Ledgers '!K$4,'TB '!$4:$4,0),0),0)</f>
        <v>0</v>
      </c>
      <c r="L461" s="37">
        <f>IFERROR(VLOOKUP(B461,'TB '!$A:$J,10,),0)</f>
        <v>0</v>
      </c>
      <c r="M461" s="71"/>
      <c r="N461" s="63">
        <f>IFERROR(VLOOKUP($B461,'TB YTD'!$4:$1048576,MATCH('List of Ledgers '!N$4,'TB YTD'!$4:$4,0),0),0)</f>
        <v>0</v>
      </c>
      <c r="O461" s="63">
        <f>IFERROR(VLOOKUP($B461,'TB YTD'!$4:$1048576,MATCH('List of Ledgers '!O$4,'TB YTD'!$4:$4,0),0),0)</f>
        <v>0</v>
      </c>
      <c r="P461" s="63">
        <f>IFERROR(VLOOKUP($B461,'TB YTD'!$4:$1048576,MATCH('List of Ledgers '!P$4,'TB YTD'!$4:$4,0),0),0)</f>
        <v>0</v>
      </c>
      <c r="Q461" s="63">
        <f>IFERROR(VLOOKUP($B461,'TB YTD'!$4:$1048576,MATCH('List of Ledgers '!Q$4,'TB YTD'!$4:$4,0),0),0)</f>
        <v>0</v>
      </c>
      <c r="R461" s="63"/>
    </row>
    <row r="462" spans="1:18" hidden="1" x14ac:dyDescent="0.25">
      <c r="A462" s="106">
        <v>449</v>
      </c>
      <c r="B462" s="151" t="s">
        <v>670</v>
      </c>
      <c r="C462" s="151" t="s">
        <v>158</v>
      </c>
      <c r="D462" s="12" t="s">
        <v>128</v>
      </c>
      <c r="E462" s="12" t="s">
        <v>131</v>
      </c>
      <c r="G462" s="17" t="s">
        <v>4</v>
      </c>
      <c r="I462" s="37">
        <f>IFERROR(VLOOKUP(B462,'TB '!$A:$G,7,),0)</f>
        <v>0</v>
      </c>
      <c r="J462" s="37">
        <f>IFERROR(VLOOKUP($B462,'TB '!$4:$1048576,MATCH('List of Ledgers '!J$4,'TB '!$4:$4,0),0),0)</f>
        <v>0</v>
      </c>
      <c r="K462" s="37">
        <f>IFERROR(VLOOKUP($B462,'TB '!$4:$1048576,MATCH('List of Ledgers '!K$4,'TB '!$4:$4,0),0),0)</f>
        <v>0</v>
      </c>
      <c r="L462" s="37">
        <f>IFERROR(VLOOKUP(B462,'TB '!$A:$J,10,),0)</f>
        <v>0</v>
      </c>
      <c r="M462" s="71"/>
      <c r="N462" s="63">
        <f>IFERROR(VLOOKUP($B462,'TB YTD'!$4:$1048576,MATCH('List of Ledgers '!N$4,'TB YTD'!$4:$4,0),0),0)</f>
        <v>0</v>
      </c>
      <c r="O462" s="63">
        <f>IFERROR(VLOOKUP($B462,'TB YTD'!$4:$1048576,MATCH('List of Ledgers '!O$4,'TB YTD'!$4:$4,0),0),0)</f>
        <v>31860</v>
      </c>
      <c r="P462" s="63">
        <f>IFERROR(VLOOKUP($B462,'TB YTD'!$4:$1048576,MATCH('List of Ledgers '!P$4,'TB YTD'!$4:$4,0),0),0)</f>
        <v>31860</v>
      </c>
      <c r="Q462" s="63">
        <f>IFERROR(VLOOKUP($B462,'TB YTD'!$4:$1048576,MATCH('List of Ledgers '!Q$4,'TB YTD'!$4:$4,0),0),0)</f>
        <v>0</v>
      </c>
    </row>
    <row r="463" spans="1:18" hidden="1" x14ac:dyDescent="0.25">
      <c r="A463" s="106">
        <v>450</v>
      </c>
      <c r="B463" s="8" t="s">
        <v>671</v>
      </c>
      <c r="C463" s="8" t="s">
        <v>166</v>
      </c>
      <c r="D463" s="17" t="s">
        <v>151</v>
      </c>
      <c r="E463" s="17" t="s">
        <v>1291</v>
      </c>
      <c r="F463" s="12" t="s">
        <v>1290</v>
      </c>
      <c r="G463" s="17" t="s">
        <v>4</v>
      </c>
      <c r="H463" s="62"/>
      <c r="I463" s="37">
        <f>IFERROR(VLOOKUP(B463,'TB '!$A:$G,7,),0)</f>
        <v>0</v>
      </c>
      <c r="J463" s="37">
        <f>IFERROR(VLOOKUP($B463,'TB '!$4:$1048576,MATCH('List of Ledgers '!J$4,'TB '!$4:$4,0),0),0)</f>
        <v>4770</v>
      </c>
      <c r="K463" s="37">
        <f>IFERROR(VLOOKUP($B463,'TB '!$4:$1048576,MATCH('List of Ledgers '!K$4,'TB '!$4:$4,0),0),0)</f>
        <v>0</v>
      </c>
      <c r="L463" s="37">
        <f>IFERROR(VLOOKUP(B463,'TB '!$A:$J,10,),0)</f>
        <v>4770</v>
      </c>
      <c r="M463" s="71"/>
      <c r="N463" s="63">
        <f>IFERROR(VLOOKUP($B463,'TB YTD'!$4:$1048576,MATCH('List of Ledgers '!N$4,'TB YTD'!$4:$4,0),0),0)</f>
        <v>0</v>
      </c>
      <c r="O463" s="63">
        <f>IFERROR(VLOOKUP($B463,'TB YTD'!$4:$1048576,MATCH('List of Ledgers '!O$4,'TB YTD'!$4:$4,0),0),0)</f>
        <v>6660</v>
      </c>
      <c r="P463" s="63">
        <f>IFERROR(VLOOKUP($B463,'TB YTD'!$4:$1048576,MATCH('List of Ledgers '!P$4,'TB YTD'!$4:$4,0),0),0)</f>
        <v>0</v>
      </c>
      <c r="Q463" s="63">
        <f>IFERROR(VLOOKUP($B463,'TB YTD'!$4:$1048576,MATCH('List of Ledgers '!Q$4,'TB YTD'!$4:$4,0),0),0)</f>
        <v>6660</v>
      </c>
      <c r="R463" s="63"/>
    </row>
    <row r="464" spans="1:18" hidden="1" x14ac:dyDescent="0.25">
      <c r="A464" s="106">
        <v>451</v>
      </c>
      <c r="B464" s="8" t="s">
        <v>672</v>
      </c>
      <c r="C464" s="8" t="s">
        <v>166</v>
      </c>
      <c r="D464" s="17" t="s">
        <v>151</v>
      </c>
      <c r="E464" s="17" t="s">
        <v>1291</v>
      </c>
      <c r="F464" s="12" t="s">
        <v>1290</v>
      </c>
      <c r="G464" s="17" t="s">
        <v>4</v>
      </c>
      <c r="H464" s="62"/>
      <c r="I464" s="37">
        <f>IFERROR(VLOOKUP(B464,'TB '!$A:$G,7,),0)</f>
        <v>0</v>
      </c>
      <c r="J464" s="37">
        <f>IFERROR(VLOOKUP($B464,'TB '!$4:$1048576,MATCH('List of Ledgers '!J$4,'TB '!$4:$4,0),0),0)</f>
        <v>0</v>
      </c>
      <c r="K464" s="37">
        <f>IFERROR(VLOOKUP($B464,'TB '!$4:$1048576,MATCH('List of Ledgers '!K$4,'TB '!$4:$4,0),0),0)</f>
        <v>0</v>
      </c>
      <c r="L464" s="37">
        <f>IFERROR(VLOOKUP(B464,'TB '!$A:$J,10,),0)</f>
        <v>0</v>
      </c>
      <c r="M464" s="71"/>
      <c r="N464" s="63">
        <f>IFERROR(VLOOKUP($B464,'TB YTD'!$4:$1048576,MATCH('List of Ledgers '!N$4,'TB YTD'!$4:$4,0),0),0)</f>
        <v>0</v>
      </c>
      <c r="O464" s="63">
        <f>IFERROR(VLOOKUP($B464,'TB YTD'!$4:$1048576,MATCH('List of Ledgers '!O$4,'TB YTD'!$4:$4,0),0),0)</f>
        <v>12000</v>
      </c>
      <c r="P464" s="63">
        <f>IFERROR(VLOOKUP($B464,'TB YTD'!$4:$1048576,MATCH('List of Ledgers '!P$4,'TB YTD'!$4:$4,0),0),0)</f>
        <v>0</v>
      </c>
      <c r="Q464" s="63">
        <f>IFERROR(VLOOKUP($B464,'TB YTD'!$4:$1048576,MATCH('List of Ledgers '!Q$4,'TB YTD'!$4:$4,0),0),0)</f>
        <v>12000</v>
      </c>
      <c r="R464" s="63"/>
    </row>
    <row r="465" spans="1:18" hidden="1" x14ac:dyDescent="0.25">
      <c r="A465" s="106">
        <v>452</v>
      </c>
      <c r="B465" s="8" t="s">
        <v>673</v>
      </c>
      <c r="C465" s="8" t="s">
        <v>136</v>
      </c>
      <c r="D465" s="12" t="s">
        <v>128</v>
      </c>
      <c r="E465" s="12" t="s">
        <v>134</v>
      </c>
      <c r="G465" s="12" t="s">
        <v>2</v>
      </c>
      <c r="H465" s="62"/>
      <c r="I465" s="37">
        <f>IFERROR(VLOOKUP(B465,'TB '!$A:$G,7,),0)</f>
        <v>1821</v>
      </c>
      <c r="J465" s="37">
        <f>IFERROR(VLOOKUP($B465,'TB '!$4:$1048576,MATCH('List of Ledgers '!J$4,'TB '!$4:$4,0),0),0)</f>
        <v>0</v>
      </c>
      <c r="K465" s="37">
        <f>IFERROR(VLOOKUP($B465,'TB '!$4:$1048576,MATCH('List of Ledgers '!K$4,'TB '!$4:$4,0),0),0)</f>
        <v>0</v>
      </c>
      <c r="L465" s="37">
        <f>IFERROR(VLOOKUP(B465,'TB '!$A:$J,10,),0)</f>
        <v>1821</v>
      </c>
      <c r="M465" s="71"/>
      <c r="N465" s="63">
        <f>IFERROR(VLOOKUP($B465,'TB YTD'!$4:$1048576,MATCH('List of Ledgers '!N$4,'TB YTD'!$4:$4,0),0),0)</f>
        <v>1821</v>
      </c>
      <c r="O465" s="63">
        <f>IFERROR(VLOOKUP($B465,'TB YTD'!$4:$1048576,MATCH('List of Ledgers '!O$4,'TB YTD'!$4:$4,0),0),0)</f>
        <v>0</v>
      </c>
      <c r="P465" s="63">
        <f>IFERROR(VLOOKUP($B465,'TB YTD'!$4:$1048576,MATCH('List of Ledgers '!P$4,'TB YTD'!$4:$4,0),0),0)</f>
        <v>0</v>
      </c>
      <c r="Q465" s="63">
        <f>IFERROR(VLOOKUP($B465,'TB YTD'!$4:$1048576,MATCH('List of Ledgers '!Q$4,'TB YTD'!$4:$4,0),0),0)</f>
        <v>1821</v>
      </c>
      <c r="R465" s="63"/>
    </row>
    <row r="466" spans="1:18" hidden="1" x14ac:dyDescent="0.25">
      <c r="A466" s="106">
        <v>453</v>
      </c>
      <c r="B466" s="8" t="s">
        <v>674</v>
      </c>
      <c r="C466" s="8" t="s">
        <v>140</v>
      </c>
      <c r="D466" s="17" t="s">
        <v>128</v>
      </c>
      <c r="E466" s="17" t="s">
        <v>131</v>
      </c>
      <c r="G466" s="17" t="s">
        <v>7</v>
      </c>
      <c r="H466" s="62"/>
      <c r="I466" s="37">
        <f>IFERROR(VLOOKUP(B466,'TB '!$A:$G,7,),0)</f>
        <v>0</v>
      </c>
      <c r="J466" s="37">
        <f>IFERROR(VLOOKUP($B466,'TB '!$4:$1048576,MATCH('List of Ledgers '!J$4,'TB '!$4:$4,0),0),0)</f>
        <v>0</v>
      </c>
      <c r="K466" s="37">
        <f>IFERROR(VLOOKUP($B466,'TB '!$4:$1048576,MATCH('List of Ledgers '!K$4,'TB '!$4:$4,0),0),0)</f>
        <v>0</v>
      </c>
      <c r="L466" s="37">
        <f>IFERROR(VLOOKUP(B466,'TB '!$A:$J,10,),0)</f>
        <v>0</v>
      </c>
      <c r="M466" s="71"/>
      <c r="N466" s="63">
        <f>IFERROR(VLOOKUP($B466,'TB YTD'!$4:$1048576,MATCH('List of Ledgers '!N$4,'TB YTD'!$4:$4,0),0),0)</f>
        <v>0</v>
      </c>
      <c r="O466" s="63">
        <f>IFERROR(VLOOKUP($B466,'TB YTD'!$4:$1048576,MATCH('List of Ledgers '!O$4,'TB YTD'!$4:$4,0),0),0)</f>
        <v>0</v>
      </c>
      <c r="P466" s="63">
        <f>IFERROR(VLOOKUP($B466,'TB YTD'!$4:$1048576,MATCH('List of Ledgers '!P$4,'TB YTD'!$4:$4,0),0),0)</f>
        <v>0</v>
      </c>
      <c r="Q466" s="63">
        <f>IFERROR(VLOOKUP($B466,'TB YTD'!$4:$1048576,MATCH('List of Ledgers '!Q$4,'TB YTD'!$4:$4,0),0),0)</f>
        <v>0</v>
      </c>
      <c r="R466" s="63"/>
    </row>
    <row r="467" spans="1:18" hidden="1" x14ac:dyDescent="0.25">
      <c r="A467" s="106">
        <v>454</v>
      </c>
      <c r="B467" s="8" t="s">
        <v>675</v>
      </c>
      <c r="C467" s="8" t="s">
        <v>185</v>
      </c>
      <c r="D467" s="106" t="s">
        <v>128</v>
      </c>
      <c r="E467" s="17" t="s">
        <v>134</v>
      </c>
      <c r="G467" s="17" t="s">
        <v>3</v>
      </c>
      <c r="H467" s="62"/>
      <c r="I467" s="37">
        <f>IFERROR(VLOOKUP(B467,'TB '!$A:$G,7,),0)</f>
        <v>999.87</v>
      </c>
      <c r="J467" s="37">
        <f>IFERROR(VLOOKUP($B467,'TB '!$4:$1048576,MATCH('List of Ledgers '!J$4,'TB '!$4:$4,0),0),0)</f>
        <v>0</v>
      </c>
      <c r="K467" s="37">
        <f>IFERROR(VLOOKUP($B467,'TB '!$4:$1048576,MATCH('List of Ledgers '!K$4,'TB '!$4:$4,0),0),0)</f>
        <v>0</v>
      </c>
      <c r="L467" s="37">
        <f>IFERROR(VLOOKUP(B467,'TB '!$A:$J,10,),0)</f>
        <v>999.87</v>
      </c>
      <c r="M467" s="71"/>
      <c r="N467" s="63">
        <f>IFERROR(VLOOKUP($B467,'TB YTD'!$4:$1048576,MATCH('List of Ledgers '!N$4,'TB YTD'!$4:$4,0),0),0)</f>
        <v>999.87</v>
      </c>
      <c r="O467" s="63">
        <f>IFERROR(VLOOKUP($B467,'TB YTD'!$4:$1048576,MATCH('List of Ledgers '!O$4,'TB YTD'!$4:$4,0),0),0)</f>
        <v>49711</v>
      </c>
      <c r="P467" s="63">
        <f>IFERROR(VLOOKUP($B467,'TB YTD'!$4:$1048576,MATCH('List of Ledgers '!P$4,'TB YTD'!$4:$4,0),0),0)</f>
        <v>49711</v>
      </c>
      <c r="Q467" s="63">
        <f>IFERROR(VLOOKUP($B467,'TB YTD'!$4:$1048576,MATCH('List of Ledgers '!Q$4,'TB YTD'!$4:$4,0),0),0)</f>
        <v>999.87</v>
      </c>
      <c r="R467" s="63"/>
    </row>
    <row r="468" spans="1:18" hidden="1" x14ac:dyDescent="0.25">
      <c r="A468" s="106">
        <v>455</v>
      </c>
      <c r="B468" s="8" t="s">
        <v>676</v>
      </c>
      <c r="C468" s="8" t="s">
        <v>124</v>
      </c>
      <c r="D468" s="17"/>
      <c r="E468" s="17"/>
      <c r="G468" s="17"/>
      <c r="H468" s="62"/>
      <c r="I468" s="37">
        <f>IFERROR(VLOOKUP(B468,'TB '!$A:$G,7,),0)</f>
        <v>53157.96</v>
      </c>
      <c r="J468" s="37">
        <f>IFERROR(VLOOKUP($B468,'TB '!$4:$1048576,MATCH('List of Ledgers '!J$4,'TB '!$4:$4,0),0),0)</f>
        <v>0</v>
      </c>
      <c r="K468" s="37">
        <f>IFERROR(VLOOKUP($B468,'TB '!$4:$1048576,MATCH('List of Ledgers '!K$4,'TB '!$4:$4,0),0),0)</f>
        <v>0</v>
      </c>
      <c r="L468" s="37">
        <f>IFERROR(VLOOKUP(B468,'TB '!$A:$J,10,),0)</f>
        <v>53157.96</v>
      </c>
      <c r="M468" s="71"/>
      <c r="N468" s="63">
        <f>IFERROR(VLOOKUP($B468,'TB YTD'!$4:$1048576,MATCH('List of Ledgers '!N$4,'TB YTD'!$4:$4,0),0),0)</f>
        <v>53157.96</v>
      </c>
      <c r="O468" s="63">
        <f>IFERROR(VLOOKUP($B468,'TB YTD'!$4:$1048576,MATCH('List of Ledgers '!O$4,'TB YTD'!$4:$4,0),0),0)</f>
        <v>0</v>
      </c>
      <c r="P468" s="63">
        <f>IFERROR(VLOOKUP($B468,'TB YTD'!$4:$1048576,MATCH('List of Ledgers '!P$4,'TB YTD'!$4:$4,0),0),0)</f>
        <v>0</v>
      </c>
      <c r="Q468" s="63">
        <f>IFERROR(VLOOKUP($B468,'TB YTD'!$4:$1048576,MATCH('List of Ledgers '!Q$4,'TB YTD'!$4:$4,0),0),0)</f>
        <v>53157.96</v>
      </c>
      <c r="R468" s="63"/>
    </row>
    <row r="469" spans="1:18" hidden="1" x14ac:dyDescent="0.25">
      <c r="A469" s="106">
        <v>456</v>
      </c>
      <c r="B469" s="8" t="s">
        <v>677</v>
      </c>
      <c r="C469" s="8" t="s">
        <v>158</v>
      </c>
      <c r="D469" s="17" t="s">
        <v>128</v>
      </c>
      <c r="E469" s="17" t="s">
        <v>131</v>
      </c>
      <c r="G469" s="17" t="s">
        <v>4</v>
      </c>
      <c r="H469" s="62"/>
      <c r="I469" s="37">
        <f>IFERROR(VLOOKUP(B469,'TB '!$A:$G,7,),0)</f>
        <v>0</v>
      </c>
      <c r="J469" s="37">
        <f>IFERROR(VLOOKUP($B469,'TB '!$4:$1048576,MATCH('List of Ledgers '!J$4,'TB '!$4:$4,0),0),0)</f>
        <v>0</v>
      </c>
      <c r="K469" s="37">
        <f>IFERROR(VLOOKUP($B469,'TB '!$4:$1048576,MATCH('List of Ledgers '!K$4,'TB '!$4:$4,0),0),0)</f>
        <v>0</v>
      </c>
      <c r="L469" s="37">
        <f>IFERROR(VLOOKUP(B469,'TB '!$A:$J,10,),0)</f>
        <v>0</v>
      </c>
      <c r="M469" s="71"/>
      <c r="N469" s="63">
        <f>IFERROR(VLOOKUP($B469,'TB YTD'!$4:$1048576,MATCH('List of Ledgers '!N$4,'TB YTD'!$4:$4,0),0),0)</f>
        <v>0</v>
      </c>
      <c r="O469" s="63">
        <f>IFERROR(VLOOKUP($B469,'TB YTD'!$4:$1048576,MATCH('List of Ledgers '!O$4,'TB YTD'!$4:$4,0),0),0)</f>
        <v>0</v>
      </c>
      <c r="P469" s="63">
        <f>IFERROR(VLOOKUP($B469,'TB YTD'!$4:$1048576,MATCH('List of Ledgers '!P$4,'TB YTD'!$4:$4,0),0),0)</f>
        <v>0</v>
      </c>
      <c r="Q469" s="63">
        <f>IFERROR(VLOOKUP($B469,'TB YTD'!$4:$1048576,MATCH('List of Ledgers '!Q$4,'TB YTD'!$4:$4,0),0),0)</f>
        <v>0</v>
      </c>
      <c r="R469" s="63"/>
    </row>
    <row r="470" spans="1:18" hidden="1" x14ac:dyDescent="0.25">
      <c r="A470" s="106">
        <v>457</v>
      </c>
      <c r="B470" s="8" t="s">
        <v>678</v>
      </c>
      <c r="C470" s="8" t="s">
        <v>140</v>
      </c>
      <c r="D470" s="17" t="s">
        <v>128</v>
      </c>
      <c r="E470" s="17" t="s">
        <v>131</v>
      </c>
      <c r="G470" s="17" t="s">
        <v>7</v>
      </c>
      <c r="H470" s="62"/>
      <c r="I470" s="37">
        <f>IFERROR(VLOOKUP(B470,'TB '!$A:$G,7,),0)</f>
        <v>0</v>
      </c>
      <c r="J470" s="37">
        <f>IFERROR(VLOOKUP($B470,'TB '!$4:$1048576,MATCH('List of Ledgers '!J$4,'TB '!$4:$4,0),0),0)</f>
        <v>0</v>
      </c>
      <c r="K470" s="37">
        <f>IFERROR(VLOOKUP($B470,'TB '!$4:$1048576,MATCH('List of Ledgers '!K$4,'TB '!$4:$4,0),0),0)</f>
        <v>0</v>
      </c>
      <c r="L470" s="37">
        <f>IFERROR(VLOOKUP(B470,'TB '!$A:$J,10,),0)</f>
        <v>0</v>
      </c>
      <c r="M470" s="71"/>
      <c r="N470" s="63">
        <f>IFERROR(VLOOKUP($B470,'TB YTD'!$4:$1048576,MATCH('List of Ledgers '!N$4,'TB YTD'!$4:$4,0),0),0)</f>
        <v>0</v>
      </c>
      <c r="O470" s="63">
        <f>IFERROR(VLOOKUP($B470,'TB YTD'!$4:$1048576,MATCH('List of Ledgers '!O$4,'TB YTD'!$4:$4,0),0),0)</f>
        <v>0</v>
      </c>
      <c r="P470" s="63">
        <f>IFERROR(VLOOKUP($B470,'TB YTD'!$4:$1048576,MATCH('List of Ledgers '!P$4,'TB YTD'!$4:$4,0),0),0)</f>
        <v>0</v>
      </c>
      <c r="Q470" s="63">
        <f>IFERROR(VLOOKUP($B470,'TB YTD'!$4:$1048576,MATCH('List of Ledgers '!Q$4,'TB YTD'!$4:$4,0),0),0)</f>
        <v>0</v>
      </c>
      <c r="R470" s="63"/>
    </row>
    <row r="471" spans="1:18" hidden="1" x14ac:dyDescent="0.25">
      <c r="A471" s="106">
        <v>458</v>
      </c>
      <c r="B471" s="8" t="s">
        <v>679</v>
      </c>
      <c r="C471" s="8" t="s">
        <v>136</v>
      </c>
      <c r="D471" s="12" t="s">
        <v>128</v>
      </c>
      <c r="E471" s="12" t="s">
        <v>134</v>
      </c>
      <c r="G471" s="12" t="s">
        <v>2</v>
      </c>
      <c r="H471" s="62"/>
      <c r="I471" s="37">
        <f>IFERROR(VLOOKUP(B471,'TB '!$A:$G,7,),0)</f>
        <v>0</v>
      </c>
      <c r="J471" s="37">
        <f>IFERROR(VLOOKUP($B471,'TB '!$4:$1048576,MATCH('List of Ledgers '!J$4,'TB '!$4:$4,0),0),0)</f>
        <v>0</v>
      </c>
      <c r="K471" s="37">
        <f>IFERROR(VLOOKUP($B471,'TB '!$4:$1048576,MATCH('List of Ledgers '!K$4,'TB '!$4:$4,0),0),0)</f>
        <v>0</v>
      </c>
      <c r="L471" s="37">
        <f>IFERROR(VLOOKUP(B471,'TB '!$A:$J,10,),0)</f>
        <v>0</v>
      </c>
      <c r="M471" s="71"/>
      <c r="N471" s="63">
        <f>IFERROR(VLOOKUP($B471,'TB YTD'!$4:$1048576,MATCH('List of Ledgers '!N$4,'TB YTD'!$4:$4,0),0),0)</f>
        <v>2503883</v>
      </c>
      <c r="O471" s="63">
        <f>IFERROR(VLOOKUP($B471,'TB YTD'!$4:$1048576,MATCH('List of Ledgers '!O$4,'TB YTD'!$4:$4,0),0),0)</f>
        <v>0</v>
      </c>
      <c r="P471" s="63">
        <f>IFERROR(VLOOKUP($B471,'TB YTD'!$4:$1048576,MATCH('List of Ledgers '!P$4,'TB YTD'!$4:$4,0),0),0)</f>
        <v>2503883</v>
      </c>
      <c r="Q471" s="63">
        <f>IFERROR(VLOOKUP($B471,'TB YTD'!$4:$1048576,MATCH('List of Ledgers '!Q$4,'TB YTD'!$4:$4,0),0),0)</f>
        <v>0</v>
      </c>
      <c r="R471" s="63"/>
    </row>
    <row r="472" spans="1:18" hidden="1" x14ac:dyDescent="0.25">
      <c r="A472" s="106">
        <v>459</v>
      </c>
      <c r="B472" s="8" t="s">
        <v>680</v>
      </c>
      <c r="C472" s="8" t="s">
        <v>146</v>
      </c>
      <c r="D472" s="17"/>
      <c r="E472" s="17"/>
      <c r="G472" s="17"/>
      <c r="H472" s="62"/>
      <c r="I472" s="37">
        <f>IFERROR(VLOOKUP(B472,'TB '!$A:$G,7,),0)</f>
        <v>110000</v>
      </c>
      <c r="J472" s="37">
        <f>IFERROR(VLOOKUP($B472,'TB '!$4:$1048576,MATCH('List of Ledgers '!J$4,'TB '!$4:$4,0),0),0)</f>
        <v>0</v>
      </c>
      <c r="K472" s="37">
        <f>IFERROR(VLOOKUP($B472,'TB '!$4:$1048576,MATCH('List of Ledgers '!K$4,'TB '!$4:$4,0),0),0)</f>
        <v>0</v>
      </c>
      <c r="L472" s="37">
        <f>IFERROR(VLOOKUP(B472,'TB '!$A:$J,10,),0)</f>
        <v>110000</v>
      </c>
      <c r="M472" s="71"/>
      <c r="N472" s="63">
        <f>IFERROR(VLOOKUP($B472,'TB YTD'!$4:$1048576,MATCH('List of Ledgers '!N$4,'TB YTD'!$4:$4,0),0),0)</f>
        <v>110000</v>
      </c>
      <c r="O472" s="63">
        <f>IFERROR(VLOOKUP($B472,'TB YTD'!$4:$1048576,MATCH('List of Ledgers '!O$4,'TB YTD'!$4:$4,0),0),0)</f>
        <v>0</v>
      </c>
      <c r="P472" s="63">
        <f>IFERROR(VLOOKUP($B472,'TB YTD'!$4:$1048576,MATCH('List of Ledgers '!P$4,'TB YTD'!$4:$4,0),0),0)</f>
        <v>0</v>
      </c>
      <c r="Q472" s="63">
        <f>IFERROR(VLOOKUP($B472,'TB YTD'!$4:$1048576,MATCH('List of Ledgers '!Q$4,'TB YTD'!$4:$4,0),0),0)</f>
        <v>110000</v>
      </c>
      <c r="R472" s="63"/>
    </row>
    <row r="473" spans="1:18" hidden="1" x14ac:dyDescent="0.25">
      <c r="A473" s="106">
        <v>460</v>
      </c>
      <c r="B473" s="8" t="s">
        <v>681</v>
      </c>
      <c r="C473" s="8" t="s">
        <v>136</v>
      </c>
      <c r="D473" s="12" t="s">
        <v>128</v>
      </c>
      <c r="E473" s="12" t="s">
        <v>134</v>
      </c>
      <c r="G473" s="12" t="s">
        <v>2</v>
      </c>
      <c r="H473" s="62"/>
      <c r="I473" s="37">
        <f>IFERROR(VLOOKUP(B473,'TB '!$A:$G,7,),0)</f>
        <v>0</v>
      </c>
      <c r="J473" s="37">
        <f>IFERROR(VLOOKUP($B473,'TB '!$4:$1048576,MATCH('List of Ledgers '!J$4,'TB '!$4:$4,0),0),0)</f>
        <v>0</v>
      </c>
      <c r="K473" s="37">
        <f>IFERROR(VLOOKUP($B473,'TB '!$4:$1048576,MATCH('List of Ledgers '!K$4,'TB '!$4:$4,0),0),0)</f>
        <v>0</v>
      </c>
      <c r="L473" s="37">
        <f>IFERROR(VLOOKUP(B473,'TB '!$A:$J,10,),0)</f>
        <v>0</v>
      </c>
      <c r="M473" s="71"/>
      <c r="N473" s="63">
        <f>IFERROR(VLOOKUP($B473,'TB YTD'!$4:$1048576,MATCH('List of Ledgers '!N$4,'TB YTD'!$4:$4,0),0),0)</f>
        <v>0</v>
      </c>
      <c r="O473" s="63">
        <f>IFERROR(VLOOKUP($B473,'TB YTD'!$4:$1048576,MATCH('List of Ledgers '!O$4,'TB YTD'!$4:$4,0),0),0)</f>
        <v>0</v>
      </c>
      <c r="P473" s="63">
        <f>IFERROR(VLOOKUP($B473,'TB YTD'!$4:$1048576,MATCH('List of Ledgers '!P$4,'TB YTD'!$4:$4,0),0),0)</f>
        <v>0</v>
      </c>
      <c r="Q473" s="63">
        <f>IFERROR(VLOOKUP($B473,'TB YTD'!$4:$1048576,MATCH('List of Ledgers '!Q$4,'TB YTD'!$4:$4,0),0),0)</f>
        <v>0</v>
      </c>
      <c r="R473" s="63"/>
    </row>
    <row r="474" spans="1:18" hidden="1" x14ac:dyDescent="0.25">
      <c r="A474" s="106">
        <v>461</v>
      </c>
      <c r="B474" s="8" t="s">
        <v>682</v>
      </c>
      <c r="C474" s="8" t="s">
        <v>124</v>
      </c>
      <c r="D474" s="17"/>
      <c r="E474" s="17"/>
      <c r="G474" s="17"/>
      <c r="H474" s="62"/>
      <c r="I474" s="37">
        <f>IFERROR(VLOOKUP(B474,'TB '!$A:$G,7,),0)</f>
        <v>50264.1</v>
      </c>
      <c r="J474" s="37">
        <f>IFERROR(VLOOKUP($B474,'TB '!$4:$1048576,MATCH('List of Ledgers '!J$4,'TB '!$4:$4,0),0),0)</f>
        <v>0</v>
      </c>
      <c r="K474" s="37">
        <f>IFERROR(VLOOKUP($B474,'TB '!$4:$1048576,MATCH('List of Ledgers '!K$4,'TB '!$4:$4,0),0),0)</f>
        <v>0</v>
      </c>
      <c r="L474" s="37">
        <f>IFERROR(VLOOKUP(B474,'TB '!$A:$J,10,),0)</f>
        <v>50264.1</v>
      </c>
      <c r="M474" s="71"/>
      <c r="N474" s="63">
        <f>IFERROR(VLOOKUP($B474,'TB YTD'!$4:$1048576,MATCH('List of Ledgers '!N$4,'TB YTD'!$4:$4,0),0),0)</f>
        <v>50264.1</v>
      </c>
      <c r="O474" s="63">
        <f>IFERROR(VLOOKUP($B474,'TB YTD'!$4:$1048576,MATCH('List of Ledgers '!O$4,'TB YTD'!$4:$4,0),0),0)</f>
        <v>0</v>
      </c>
      <c r="P474" s="63">
        <f>IFERROR(VLOOKUP($B474,'TB YTD'!$4:$1048576,MATCH('List of Ledgers '!P$4,'TB YTD'!$4:$4,0),0),0)</f>
        <v>0</v>
      </c>
      <c r="Q474" s="63">
        <f>IFERROR(VLOOKUP($B474,'TB YTD'!$4:$1048576,MATCH('List of Ledgers '!Q$4,'TB YTD'!$4:$4,0),0),0)</f>
        <v>50264.1</v>
      </c>
      <c r="R474" s="63"/>
    </row>
    <row r="475" spans="1:18" hidden="1" x14ac:dyDescent="0.25">
      <c r="A475" s="106">
        <v>462</v>
      </c>
      <c r="B475" s="8" t="s">
        <v>683</v>
      </c>
      <c r="C475" s="8" t="s">
        <v>284</v>
      </c>
      <c r="D475" s="106"/>
      <c r="E475" s="17"/>
      <c r="G475" s="17"/>
      <c r="H475" s="62"/>
      <c r="I475" s="37">
        <f>IFERROR(VLOOKUP(B475,'TB '!$A:$G,7,),0)</f>
        <v>2601</v>
      </c>
      <c r="J475" s="37">
        <f>IFERROR(VLOOKUP($B475,'TB '!$4:$1048576,MATCH('List of Ledgers '!J$4,'TB '!$4:$4,0),0),0)</f>
        <v>0</v>
      </c>
      <c r="K475" s="37">
        <f>IFERROR(VLOOKUP($B475,'TB '!$4:$1048576,MATCH('List of Ledgers '!K$4,'TB '!$4:$4,0),0),0)</f>
        <v>400</v>
      </c>
      <c r="L475" s="37">
        <f>IFERROR(VLOOKUP(B475,'TB '!$A:$J,10,),0)</f>
        <v>2201</v>
      </c>
      <c r="M475" s="71"/>
      <c r="N475" s="63">
        <f>IFERROR(VLOOKUP($B475,'TB YTD'!$4:$1048576,MATCH('List of Ledgers '!N$4,'TB YTD'!$4:$4,0),0),0)</f>
        <v>4503</v>
      </c>
      <c r="O475" s="63">
        <f>IFERROR(VLOOKUP($B475,'TB YTD'!$4:$1048576,MATCH('List of Ledgers '!O$4,'TB YTD'!$4:$4,0),0),0)</f>
        <v>43945</v>
      </c>
      <c r="P475" s="63">
        <f>IFERROR(VLOOKUP($B475,'TB YTD'!$4:$1048576,MATCH('List of Ledgers '!P$4,'TB YTD'!$4:$4,0),0),0)</f>
        <v>46247</v>
      </c>
      <c r="Q475" s="63">
        <f>IFERROR(VLOOKUP($B475,'TB YTD'!$4:$1048576,MATCH('List of Ledgers '!Q$4,'TB YTD'!$4:$4,0),0),0)</f>
        <v>2201</v>
      </c>
      <c r="R475" s="63"/>
    </row>
    <row r="476" spans="1:18" hidden="1" x14ac:dyDescent="0.25">
      <c r="A476" s="106">
        <v>463</v>
      </c>
      <c r="B476" s="8" t="s">
        <v>684</v>
      </c>
      <c r="C476" s="8" t="s">
        <v>284</v>
      </c>
      <c r="D476" s="17"/>
      <c r="E476" s="17"/>
      <c r="G476" s="17"/>
      <c r="H476" s="62"/>
      <c r="I476" s="37">
        <f>IFERROR(VLOOKUP(B476,'TB '!$A:$G,7,),0)</f>
        <v>24176</v>
      </c>
      <c r="J476" s="37">
        <f>IFERROR(VLOOKUP($B476,'TB '!$4:$1048576,MATCH('List of Ledgers '!J$4,'TB '!$4:$4,0),0),0)</f>
        <v>100000</v>
      </c>
      <c r="K476" s="37">
        <f>IFERROR(VLOOKUP($B476,'TB '!$4:$1048576,MATCH('List of Ledgers '!K$4,'TB '!$4:$4,0),0),0)</f>
        <v>74884</v>
      </c>
      <c r="L476" s="37">
        <f>IFERROR(VLOOKUP(B476,'TB '!$A:$J,10,),0)</f>
        <v>49292</v>
      </c>
      <c r="M476" s="71"/>
      <c r="N476" s="63">
        <f>IFERROR(VLOOKUP($B476,'TB YTD'!$4:$1048576,MATCH('List of Ledgers '!N$4,'TB YTD'!$4:$4,0),0),0)</f>
        <v>57221</v>
      </c>
      <c r="O476" s="63">
        <f>IFERROR(VLOOKUP($B476,'TB YTD'!$4:$1048576,MATCH('List of Ledgers '!O$4,'TB YTD'!$4:$4,0),0),0)</f>
        <v>615000</v>
      </c>
      <c r="P476" s="63">
        <f>IFERROR(VLOOKUP($B476,'TB YTD'!$4:$1048576,MATCH('List of Ledgers '!P$4,'TB YTD'!$4:$4,0),0),0)</f>
        <v>622929</v>
      </c>
      <c r="Q476" s="63">
        <f>IFERROR(VLOOKUP($B476,'TB YTD'!$4:$1048576,MATCH('List of Ledgers '!Q$4,'TB YTD'!$4:$4,0),0),0)</f>
        <v>49292</v>
      </c>
      <c r="R476" s="63"/>
    </row>
    <row r="477" spans="1:18" hidden="1" x14ac:dyDescent="0.25">
      <c r="A477" s="106">
        <v>464</v>
      </c>
      <c r="B477" s="8" t="s">
        <v>685</v>
      </c>
      <c r="C477" s="8" t="s">
        <v>395</v>
      </c>
      <c r="D477" s="17"/>
      <c r="E477" s="17"/>
      <c r="G477" s="17"/>
      <c r="H477" s="62"/>
      <c r="I477" s="37">
        <f>IFERROR(VLOOKUP(B477,'TB '!$A:$G,7,),0)</f>
        <v>0</v>
      </c>
      <c r="J477" s="37">
        <f>IFERROR(VLOOKUP($B477,'TB '!$4:$1048576,MATCH('List of Ledgers '!J$4,'TB '!$4:$4,0),0),0)</f>
        <v>75</v>
      </c>
      <c r="K477" s="37">
        <f>IFERROR(VLOOKUP($B477,'TB '!$4:$1048576,MATCH('List of Ledgers '!K$4,'TB '!$4:$4,0),0),0)</f>
        <v>0</v>
      </c>
      <c r="L477" s="37">
        <f>IFERROR(VLOOKUP(B477,'TB '!$A:$J,10,),0)</f>
        <v>75</v>
      </c>
      <c r="M477" s="71"/>
      <c r="N477" s="63">
        <f>IFERROR(VLOOKUP($B477,'TB YTD'!$4:$1048576,MATCH('List of Ledgers '!N$4,'TB YTD'!$4:$4,0),0),0)</f>
        <v>0</v>
      </c>
      <c r="O477" s="63">
        <f>IFERROR(VLOOKUP($B477,'TB YTD'!$4:$1048576,MATCH('List of Ledgers '!O$4,'TB YTD'!$4:$4,0),0),0)</f>
        <v>1450</v>
      </c>
      <c r="P477" s="63">
        <f>IFERROR(VLOOKUP($B477,'TB YTD'!$4:$1048576,MATCH('List of Ledgers '!P$4,'TB YTD'!$4:$4,0),0),0)</f>
        <v>1375</v>
      </c>
      <c r="Q477" s="63">
        <f>IFERROR(VLOOKUP($B477,'TB YTD'!$4:$1048576,MATCH('List of Ledgers '!Q$4,'TB YTD'!$4:$4,0),0),0)</f>
        <v>75</v>
      </c>
      <c r="R477" s="63"/>
    </row>
    <row r="478" spans="1:18" hidden="1" x14ac:dyDescent="0.25">
      <c r="A478" s="106">
        <v>465</v>
      </c>
      <c r="B478" s="8" t="s">
        <v>686</v>
      </c>
      <c r="C478" s="8" t="s">
        <v>395</v>
      </c>
      <c r="D478" s="17"/>
      <c r="E478" s="17"/>
      <c r="G478" s="17"/>
      <c r="H478" s="62"/>
      <c r="I478" s="37">
        <f>IFERROR(VLOOKUP(B478,'TB '!$A:$G,7,),0)</f>
        <v>0</v>
      </c>
      <c r="J478" s="37">
        <f>IFERROR(VLOOKUP($B478,'TB '!$4:$1048576,MATCH('List of Ledgers '!J$4,'TB '!$4:$4,0),0),0)</f>
        <v>0</v>
      </c>
      <c r="K478" s="37">
        <f>IFERROR(VLOOKUP($B478,'TB '!$4:$1048576,MATCH('List of Ledgers '!K$4,'TB '!$4:$4,0),0),0)</f>
        <v>0</v>
      </c>
      <c r="L478" s="37">
        <f>IFERROR(VLOOKUP(B478,'TB '!$A:$J,10,),0)</f>
        <v>0</v>
      </c>
      <c r="M478" s="71"/>
      <c r="N478" s="63">
        <f>IFERROR(VLOOKUP($B478,'TB YTD'!$4:$1048576,MATCH('List of Ledgers '!N$4,'TB YTD'!$4:$4,0),0),0)</f>
        <v>0</v>
      </c>
      <c r="O478" s="63">
        <f>IFERROR(VLOOKUP($B478,'TB YTD'!$4:$1048576,MATCH('List of Ledgers '!O$4,'TB YTD'!$4:$4,0),0),0)</f>
        <v>0</v>
      </c>
      <c r="P478" s="63">
        <f>IFERROR(VLOOKUP($B478,'TB YTD'!$4:$1048576,MATCH('List of Ledgers '!P$4,'TB YTD'!$4:$4,0),0),0)</f>
        <v>0</v>
      </c>
      <c r="Q478" s="63">
        <f>IFERROR(VLOOKUP($B478,'TB YTD'!$4:$1048576,MATCH('List of Ledgers '!Q$4,'TB YTD'!$4:$4,0),0),0)</f>
        <v>0</v>
      </c>
      <c r="R478" s="63"/>
    </row>
    <row r="479" spans="1:18" hidden="1" x14ac:dyDescent="0.25">
      <c r="A479" s="106">
        <v>466</v>
      </c>
      <c r="B479" s="8" t="s">
        <v>687</v>
      </c>
      <c r="C479" s="8" t="s">
        <v>377</v>
      </c>
      <c r="D479" s="17" t="s">
        <v>151</v>
      </c>
      <c r="E479" s="17" t="s">
        <v>152</v>
      </c>
      <c r="F479" s="12" t="s">
        <v>63</v>
      </c>
      <c r="G479" s="17" t="s">
        <v>7</v>
      </c>
      <c r="H479" s="62"/>
      <c r="I479" s="37">
        <f>IFERROR(VLOOKUP(B479,'TB '!$A:$G,7,),0)</f>
        <v>0</v>
      </c>
      <c r="J479" s="37">
        <f>IFERROR(VLOOKUP($B479,'TB '!$4:$1048576,MATCH('List of Ledgers '!J$4,'TB '!$4:$4,0),0),0)</f>
        <v>0</v>
      </c>
      <c r="K479" s="37">
        <f>IFERROR(VLOOKUP($B479,'TB '!$4:$1048576,MATCH('List of Ledgers '!K$4,'TB '!$4:$4,0),0),0)</f>
        <v>0</v>
      </c>
      <c r="L479" s="37">
        <f>IFERROR(VLOOKUP(B479,'TB '!$A:$J,10,),0)</f>
        <v>0</v>
      </c>
      <c r="M479" s="71"/>
      <c r="N479" s="63">
        <f>IFERROR(VLOOKUP($B479,'TB YTD'!$4:$1048576,MATCH('List of Ledgers '!N$4,'TB YTD'!$4:$4,0),0),0)</f>
        <v>0</v>
      </c>
      <c r="O479" s="63">
        <f>IFERROR(VLOOKUP($B479,'TB YTD'!$4:$1048576,MATCH('List of Ledgers '!O$4,'TB YTD'!$4:$4,0),0),0)</f>
        <v>0</v>
      </c>
      <c r="P479" s="63">
        <f>IFERROR(VLOOKUP($B479,'TB YTD'!$4:$1048576,MATCH('List of Ledgers '!P$4,'TB YTD'!$4:$4,0),0),0)</f>
        <v>0</v>
      </c>
      <c r="Q479" s="63">
        <f>IFERROR(VLOOKUP($B479,'TB YTD'!$4:$1048576,MATCH('List of Ledgers '!Q$4,'TB YTD'!$4:$4,0),0),0)</f>
        <v>0</v>
      </c>
      <c r="R479" s="63"/>
    </row>
    <row r="480" spans="1:18" hidden="1" x14ac:dyDescent="0.25">
      <c r="A480" s="106">
        <v>467</v>
      </c>
      <c r="B480" s="8" t="s">
        <v>688</v>
      </c>
      <c r="C480" s="8" t="s">
        <v>124</v>
      </c>
      <c r="D480" s="17"/>
      <c r="E480" s="17"/>
      <c r="G480" s="17"/>
      <c r="H480" s="62"/>
      <c r="I480" s="37">
        <f>IFERROR(VLOOKUP(B480,'TB '!$A:$G,7,),0)</f>
        <v>-3597664.52</v>
      </c>
      <c r="J480" s="37">
        <f>IFERROR(VLOOKUP($B480,'TB '!$4:$1048576,MATCH('List of Ledgers '!J$4,'TB '!$4:$4,0),0),0)</f>
        <v>0</v>
      </c>
      <c r="K480" s="37">
        <f>IFERROR(VLOOKUP($B480,'TB '!$4:$1048576,MATCH('List of Ledgers '!K$4,'TB '!$4:$4,0),0),0)</f>
        <v>0</v>
      </c>
      <c r="L480" s="37">
        <f>IFERROR(VLOOKUP(B480,'TB '!$A:$J,10,),0)</f>
        <v>-3597664.52</v>
      </c>
      <c r="M480" s="71"/>
      <c r="N480" s="63">
        <f>IFERROR(VLOOKUP($B480,'TB YTD'!$4:$1048576,MATCH('List of Ledgers '!N$4,'TB YTD'!$4:$4,0),0),0)</f>
        <v>-3597664.52</v>
      </c>
      <c r="O480" s="63">
        <f>IFERROR(VLOOKUP($B480,'TB YTD'!$4:$1048576,MATCH('List of Ledgers '!O$4,'TB YTD'!$4:$4,0),0),0)</f>
        <v>0</v>
      </c>
      <c r="P480" s="63">
        <f>IFERROR(VLOOKUP($B480,'TB YTD'!$4:$1048576,MATCH('List of Ledgers '!P$4,'TB YTD'!$4:$4,0),0),0)</f>
        <v>0</v>
      </c>
      <c r="Q480" s="63">
        <f>IFERROR(VLOOKUP($B480,'TB YTD'!$4:$1048576,MATCH('List of Ledgers '!Q$4,'TB YTD'!$4:$4,0),0),0)</f>
        <v>-3597664.52</v>
      </c>
      <c r="R480" s="63"/>
    </row>
    <row r="481" spans="1:18" hidden="1" x14ac:dyDescent="0.25">
      <c r="A481" s="106">
        <v>468</v>
      </c>
      <c r="B481" s="8" t="s">
        <v>689</v>
      </c>
      <c r="C481" s="8" t="s">
        <v>200</v>
      </c>
      <c r="D481" s="17"/>
      <c r="E481" s="17"/>
      <c r="G481" s="17"/>
      <c r="H481" s="62"/>
      <c r="I481" s="37">
        <f>IFERROR(VLOOKUP(B481,'TB '!$A:$G,7,),0)</f>
        <v>-10000000</v>
      </c>
      <c r="J481" s="37">
        <f>IFERROR(VLOOKUP($B481,'TB '!$4:$1048576,MATCH('List of Ledgers '!J$4,'TB '!$4:$4,0),0),0)</f>
        <v>0</v>
      </c>
      <c r="K481" s="37">
        <f>IFERROR(VLOOKUP($B481,'TB '!$4:$1048576,MATCH('List of Ledgers '!K$4,'TB '!$4:$4,0),0),0)</f>
        <v>0</v>
      </c>
      <c r="L481" s="37">
        <f>IFERROR(VLOOKUP(B481,'TB '!$A:$J,10,),0)</f>
        <v>-10000000</v>
      </c>
      <c r="M481" s="71"/>
      <c r="N481" s="63">
        <f>IFERROR(VLOOKUP($B481,'TB YTD'!$4:$1048576,MATCH('List of Ledgers '!N$4,'TB YTD'!$4:$4,0),0),0)</f>
        <v>-10000000</v>
      </c>
      <c r="O481" s="63">
        <f>IFERROR(VLOOKUP($B481,'TB YTD'!$4:$1048576,MATCH('List of Ledgers '!O$4,'TB YTD'!$4:$4,0),0),0)</f>
        <v>0</v>
      </c>
      <c r="P481" s="63">
        <f>IFERROR(VLOOKUP($B481,'TB YTD'!$4:$1048576,MATCH('List of Ledgers '!P$4,'TB YTD'!$4:$4,0),0),0)</f>
        <v>0</v>
      </c>
      <c r="Q481" s="63">
        <f>IFERROR(VLOOKUP($B481,'TB YTD'!$4:$1048576,MATCH('List of Ledgers '!Q$4,'TB YTD'!$4:$4,0),0),0)</f>
        <v>-10000000</v>
      </c>
      <c r="R481" s="63"/>
    </row>
    <row r="482" spans="1:18" hidden="1" x14ac:dyDescent="0.25">
      <c r="A482" s="106">
        <v>469</v>
      </c>
      <c r="B482" s="8" t="s">
        <v>690</v>
      </c>
      <c r="C482" s="8" t="s">
        <v>185</v>
      </c>
      <c r="D482" s="106" t="s">
        <v>128</v>
      </c>
      <c r="E482" s="17" t="s">
        <v>134</v>
      </c>
      <c r="G482" s="17" t="s">
        <v>3</v>
      </c>
      <c r="H482" s="62"/>
      <c r="I482" s="37">
        <f>IFERROR(VLOOKUP(B482,'TB '!$A:$G,7,),0)</f>
        <v>0</v>
      </c>
      <c r="J482" s="37">
        <f>IFERROR(VLOOKUP($B482,'TB '!$4:$1048576,MATCH('List of Ledgers '!J$4,'TB '!$4:$4,0),0),0)</f>
        <v>0</v>
      </c>
      <c r="K482" s="37">
        <f>IFERROR(VLOOKUP($B482,'TB '!$4:$1048576,MATCH('List of Ledgers '!K$4,'TB '!$4:$4,0),0),0)</f>
        <v>0</v>
      </c>
      <c r="L482" s="37">
        <f>IFERROR(VLOOKUP(B482,'TB '!$A:$J,10,),0)</f>
        <v>0</v>
      </c>
      <c r="M482" s="71"/>
      <c r="N482" s="63">
        <f>IFERROR(VLOOKUP($B482,'TB YTD'!$4:$1048576,MATCH('List of Ledgers '!N$4,'TB YTD'!$4:$4,0),0),0)</f>
        <v>0</v>
      </c>
      <c r="O482" s="63">
        <f>IFERROR(VLOOKUP($B482,'TB YTD'!$4:$1048576,MATCH('List of Ledgers '!O$4,'TB YTD'!$4:$4,0),0),0)</f>
        <v>0</v>
      </c>
      <c r="P482" s="63">
        <f>IFERROR(VLOOKUP($B482,'TB YTD'!$4:$1048576,MATCH('List of Ledgers '!P$4,'TB YTD'!$4:$4,0),0),0)</f>
        <v>0</v>
      </c>
      <c r="Q482" s="63">
        <f>IFERROR(VLOOKUP($B482,'TB YTD'!$4:$1048576,MATCH('List of Ledgers '!Q$4,'TB YTD'!$4:$4,0),0),0)</f>
        <v>0</v>
      </c>
      <c r="R482" s="63"/>
    </row>
    <row r="483" spans="1:18" hidden="1" x14ac:dyDescent="0.25">
      <c r="A483" s="106">
        <v>470</v>
      </c>
      <c r="B483" s="8" t="s">
        <v>691</v>
      </c>
      <c r="C483" s="8" t="s">
        <v>124</v>
      </c>
      <c r="D483" s="17"/>
      <c r="E483" s="17"/>
      <c r="G483" s="17"/>
      <c r="H483" s="62"/>
      <c r="I483" s="37">
        <f>IFERROR(VLOOKUP(B483,'TB '!$A:$G,7,),0)</f>
        <v>83193.78</v>
      </c>
      <c r="J483" s="37">
        <f>IFERROR(VLOOKUP($B483,'TB '!$4:$1048576,MATCH('List of Ledgers '!J$4,'TB '!$4:$4,0),0),0)</f>
        <v>0</v>
      </c>
      <c r="K483" s="37">
        <f>IFERROR(VLOOKUP($B483,'TB '!$4:$1048576,MATCH('List of Ledgers '!K$4,'TB '!$4:$4,0),0),0)</f>
        <v>0</v>
      </c>
      <c r="L483" s="37">
        <f>IFERROR(VLOOKUP(B483,'TB '!$A:$J,10,),0)</f>
        <v>83193.78</v>
      </c>
      <c r="M483" s="71"/>
      <c r="N483" s="63">
        <f>IFERROR(VLOOKUP($B483,'TB YTD'!$4:$1048576,MATCH('List of Ledgers '!N$4,'TB YTD'!$4:$4,0),0),0)</f>
        <v>83193.78</v>
      </c>
      <c r="O483" s="63">
        <f>IFERROR(VLOOKUP($B483,'TB YTD'!$4:$1048576,MATCH('List of Ledgers '!O$4,'TB YTD'!$4:$4,0),0),0)</f>
        <v>0</v>
      </c>
      <c r="P483" s="63">
        <f>IFERROR(VLOOKUP($B483,'TB YTD'!$4:$1048576,MATCH('List of Ledgers '!P$4,'TB YTD'!$4:$4,0),0),0)</f>
        <v>0</v>
      </c>
      <c r="Q483" s="63">
        <f>IFERROR(VLOOKUP($B483,'TB YTD'!$4:$1048576,MATCH('List of Ledgers '!Q$4,'TB YTD'!$4:$4,0),0),0)</f>
        <v>83193.78</v>
      </c>
      <c r="R483" s="63"/>
    </row>
    <row r="484" spans="1:18" hidden="1" x14ac:dyDescent="0.25">
      <c r="A484" s="106">
        <v>471</v>
      </c>
      <c r="B484" s="8" t="s">
        <v>692</v>
      </c>
      <c r="C484" s="8" t="s">
        <v>158</v>
      </c>
      <c r="D484" s="17" t="s">
        <v>128</v>
      </c>
      <c r="E484" s="17" t="s">
        <v>131</v>
      </c>
      <c r="G484" s="17" t="s">
        <v>4</v>
      </c>
      <c r="H484" s="62"/>
      <c r="I484" s="37">
        <f>IFERROR(VLOOKUP(B484,'TB '!$A:$G,7,),0)</f>
        <v>0</v>
      </c>
      <c r="J484" s="37">
        <f>IFERROR(VLOOKUP($B484,'TB '!$4:$1048576,MATCH('List of Ledgers '!J$4,'TB '!$4:$4,0),0),0)</f>
        <v>2360</v>
      </c>
      <c r="K484" s="37">
        <f>IFERROR(VLOOKUP($B484,'TB '!$4:$1048576,MATCH('List of Ledgers '!K$4,'TB '!$4:$4,0),0),0)</f>
        <v>4720</v>
      </c>
      <c r="L484" s="37">
        <f>IFERROR(VLOOKUP(B484,'TB '!$A:$J,10,),0)</f>
        <v>-2360</v>
      </c>
      <c r="M484" s="71"/>
      <c r="N484" s="63">
        <f>IFERROR(VLOOKUP($B484,'TB YTD'!$4:$1048576,MATCH('List of Ledgers '!N$4,'TB YTD'!$4:$4,0),0),0)</f>
        <v>0</v>
      </c>
      <c r="O484" s="63">
        <f>IFERROR(VLOOKUP($B484,'TB YTD'!$4:$1048576,MATCH('List of Ledgers '!O$4,'TB YTD'!$4:$4,0),0),0)</f>
        <v>47200</v>
      </c>
      <c r="P484" s="63">
        <f>IFERROR(VLOOKUP($B484,'TB YTD'!$4:$1048576,MATCH('List of Ledgers '!P$4,'TB YTD'!$4:$4,0),0),0)</f>
        <v>49560</v>
      </c>
      <c r="Q484" s="63">
        <f>IFERROR(VLOOKUP($B484,'TB YTD'!$4:$1048576,MATCH('List of Ledgers '!Q$4,'TB YTD'!$4:$4,0),0),0)</f>
        <v>-2360</v>
      </c>
      <c r="R484" s="63"/>
    </row>
    <row r="485" spans="1:18" hidden="1" x14ac:dyDescent="0.25">
      <c r="A485" s="106">
        <v>472</v>
      </c>
      <c r="B485" s="8" t="s">
        <v>693</v>
      </c>
      <c r="C485" s="8" t="s">
        <v>124</v>
      </c>
      <c r="D485" s="106"/>
      <c r="E485" s="17"/>
      <c r="G485" s="17"/>
      <c r="H485" s="62"/>
      <c r="I485" s="37">
        <f>IFERROR(VLOOKUP(B485,'TB '!$A:$G,7,),0)</f>
        <v>2421.91</v>
      </c>
      <c r="J485" s="37">
        <f>IFERROR(VLOOKUP($B485,'TB '!$4:$1048576,MATCH('List of Ledgers '!J$4,'TB '!$4:$4,0),0),0)</f>
        <v>0</v>
      </c>
      <c r="K485" s="37">
        <f>IFERROR(VLOOKUP($B485,'TB '!$4:$1048576,MATCH('List of Ledgers '!K$4,'TB '!$4:$4,0),0),0)</f>
        <v>0</v>
      </c>
      <c r="L485" s="37">
        <f>IFERROR(VLOOKUP(B485,'TB '!$A:$J,10,),0)</f>
        <v>2421.91</v>
      </c>
      <c r="M485" s="71"/>
      <c r="N485" s="63">
        <f>IFERROR(VLOOKUP($B485,'TB YTD'!$4:$1048576,MATCH('List of Ledgers '!N$4,'TB YTD'!$4:$4,0),0),0)</f>
        <v>2421.91</v>
      </c>
      <c r="O485" s="63">
        <f>IFERROR(VLOOKUP($B485,'TB YTD'!$4:$1048576,MATCH('List of Ledgers '!O$4,'TB YTD'!$4:$4,0),0),0)</f>
        <v>0</v>
      </c>
      <c r="P485" s="63">
        <f>IFERROR(VLOOKUP($B485,'TB YTD'!$4:$1048576,MATCH('List of Ledgers '!P$4,'TB YTD'!$4:$4,0),0),0)</f>
        <v>0</v>
      </c>
      <c r="Q485" s="63">
        <f>IFERROR(VLOOKUP($B485,'TB YTD'!$4:$1048576,MATCH('List of Ledgers '!Q$4,'TB YTD'!$4:$4,0),0),0)</f>
        <v>2421.91</v>
      </c>
      <c r="R485" s="63"/>
    </row>
    <row r="486" spans="1:18" hidden="1" x14ac:dyDescent="0.25">
      <c r="A486" s="165">
        <f>A485+1</f>
        <v>473</v>
      </c>
      <c r="B486" s="2" t="s">
        <v>1244</v>
      </c>
      <c r="C486" s="2" t="s">
        <v>1032</v>
      </c>
      <c r="D486" s="17" t="s">
        <v>128</v>
      </c>
      <c r="E486" s="17" t="s">
        <v>131</v>
      </c>
      <c r="G486" s="17" t="s">
        <v>9</v>
      </c>
      <c r="I486" s="37">
        <f>IFERROR(VLOOKUP(B486,'TB '!$A:$G,7,),0)</f>
        <v>0</v>
      </c>
      <c r="J486" s="37">
        <f>IFERROR(VLOOKUP($B486,'TB '!$4:$1048576,MATCH('List of Ledgers '!J$4,'TB '!$4:$4,0),0),0)</f>
        <v>0</v>
      </c>
      <c r="K486" s="37">
        <f>IFERROR(VLOOKUP($B486,'TB '!$4:$1048576,MATCH('List of Ledgers '!K$4,'TB '!$4:$4,0),0),0)</f>
        <v>0</v>
      </c>
      <c r="L486" s="37">
        <f>IFERROR(VLOOKUP(B486,'TB '!$A:$J,10,),0)</f>
        <v>0</v>
      </c>
      <c r="M486" s="71"/>
      <c r="N486" s="63">
        <f>IFERROR(VLOOKUP($B486,'TB YTD'!$4:$1048576,MATCH('List of Ledgers '!N$4,'TB YTD'!$4:$4,0),0),0)</f>
        <v>0</v>
      </c>
      <c r="O486" s="63">
        <f>IFERROR(VLOOKUP($B486,'TB YTD'!$4:$1048576,MATCH('List of Ledgers '!O$4,'TB YTD'!$4:$4,0),0),0)</f>
        <v>37388</v>
      </c>
      <c r="P486" s="63">
        <f>IFERROR(VLOOKUP($B486,'TB YTD'!$4:$1048576,MATCH('List of Ledgers '!P$4,'TB YTD'!$4:$4,0),0),0)</f>
        <v>37388</v>
      </c>
      <c r="Q486" s="63">
        <f>IFERROR(VLOOKUP($B486,'TB YTD'!$4:$1048576,MATCH('List of Ledgers '!Q$4,'TB YTD'!$4:$4,0),0),0)</f>
        <v>0</v>
      </c>
      <c r="R486" s="63"/>
    </row>
    <row r="487" spans="1:18" hidden="1" x14ac:dyDescent="0.25">
      <c r="A487" s="106">
        <v>473</v>
      </c>
      <c r="B487" s="8" t="s">
        <v>694</v>
      </c>
      <c r="C487" s="8" t="s">
        <v>180</v>
      </c>
      <c r="D487" s="17" t="s">
        <v>128</v>
      </c>
      <c r="E487" s="17" t="s">
        <v>131</v>
      </c>
      <c r="G487" s="17" t="s">
        <v>2</v>
      </c>
      <c r="H487" s="62"/>
      <c r="I487" s="37">
        <f>IFERROR(VLOOKUP(B487,'TB '!$A:$G,7,),0)</f>
        <v>0</v>
      </c>
      <c r="J487" s="37">
        <f>IFERROR(VLOOKUP($B487,'TB '!$4:$1048576,MATCH('List of Ledgers '!J$4,'TB '!$4:$4,0),0),0)</f>
        <v>0</v>
      </c>
      <c r="K487" s="37">
        <f>IFERROR(VLOOKUP($B487,'TB '!$4:$1048576,MATCH('List of Ledgers '!K$4,'TB '!$4:$4,0),0),0)</f>
        <v>0</v>
      </c>
      <c r="L487" s="37">
        <f>IFERROR(VLOOKUP(B487,'TB '!$A:$J,10,),0)</f>
        <v>0</v>
      </c>
      <c r="M487" s="71"/>
      <c r="N487" s="63">
        <f>IFERROR(VLOOKUP($B487,'TB YTD'!$4:$1048576,MATCH('List of Ledgers '!N$4,'TB YTD'!$4:$4,0),0),0)</f>
        <v>-164407</v>
      </c>
      <c r="O487" s="63">
        <f>IFERROR(VLOOKUP($B487,'TB YTD'!$4:$1048576,MATCH('List of Ledgers '!O$4,'TB YTD'!$4:$4,0),0),0)</f>
        <v>551166</v>
      </c>
      <c r="P487" s="63">
        <f>IFERROR(VLOOKUP($B487,'TB YTD'!$4:$1048576,MATCH('List of Ledgers '!P$4,'TB YTD'!$4:$4,0),0),0)</f>
        <v>386759</v>
      </c>
      <c r="Q487" s="63">
        <f>IFERROR(VLOOKUP($B487,'TB YTD'!$4:$1048576,MATCH('List of Ledgers '!Q$4,'TB YTD'!$4:$4,0),0),0)</f>
        <v>0</v>
      </c>
      <c r="R487" s="63"/>
    </row>
    <row r="488" spans="1:18" hidden="1" x14ac:dyDescent="0.25">
      <c r="A488" s="165">
        <f>A487+1</f>
        <v>474</v>
      </c>
      <c r="B488" s="2" t="s">
        <v>1249</v>
      </c>
      <c r="C488" s="2" t="s">
        <v>1032</v>
      </c>
      <c r="D488" s="17" t="s">
        <v>128</v>
      </c>
      <c r="E488" s="17" t="s">
        <v>131</v>
      </c>
      <c r="G488" s="17" t="s">
        <v>9</v>
      </c>
      <c r="I488" s="37">
        <f>IFERROR(VLOOKUP(B488,'TB '!$A:$G,7,),0)</f>
        <v>0</v>
      </c>
      <c r="J488" s="37">
        <f>IFERROR(VLOOKUP($B488,'TB '!$4:$1048576,MATCH('List of Ledgers '!J$4,'TB '!$4:$4,0),0),0)</f>
        <v>0</v>
      </c>
      <c r="K488" s="37">
        <f>IFERROR(VLOOKUP($B488,'TB '!$4:$1048576,MATCH('List of Ledgers '!K$4,'TB '!$4:$4,0),0),0)</f>
        <v>0</v>
      </c>
      <c r="L488" s="37">
        <f>IFERROR(VLOOKUP(B488,'TB '!$A:$J,10,),0)</f>
        <v>0</v>
      </c>
      <c r="M488" s="71"/>
      <c r="N488" s="63">
        <f>IFERROR(VLOOKUP($B488,'TB YTD'!$4:$1048576,MATCH('List of Ledgers '!N$4,'TB YTD'!$4:$4,0),0),0)</f>
        <v>0</v>
      </c>
      <c r="O488" s="63">
        <f>IFERROR(VLOOKUP($B488,'TB YTD'!$4:$1048576,MATCH('List of Ledgers '!O$4,'TB YTD'!$4:$4,0),0),0)</f>
        <v>4000</v>
      </c>
      <c r="P488" s="63">
        <f>IFERROR(VLOOKUP($B488,'TB YTD'!$4:$1048576,MATCH('List of Ledgers '!P$4,'TB YTD'!$4:$4,0),0),0)</f>
        <v>4000</v>
      </c>
      <c r="Q488" s="63">
        <f>IFERROR(VLOOKUP($B488,'TB YTD'!$4:$1048576,MATCH('List of Ledgers '!Q$4,'TB YTD'!$4:$4,0),0),0)</f>
        <v>0</v>
      </c>
      <c r="R488" s="63"/>
    </row>
    <row r="489" spans="1:18" hidden="1" x14ac:dyDescent="0.25">
      <c r="A489" s="106">
        <v>474</v>
      </c>
      <c r="B489" s="8" t="s">
        <v>695</v>
      </c>
      <c r="C489" s="8" t="s">
        <v>144</v>
      </c>
      <c r="D489" s="17"/>
      <c r="E489" s="17"/>
      <c r="G489" s="17"/>
      <c r="H489" s="62"/>
      <c r="I489" s="37">
        <f>IFERROR(VLOOKUP(B489,'TB '!$A:$G,7,),0)</f>
        <v>0</v>
      </c>
      <c r="J489" s="37">
        <f>IFERROR(VLOOKUP($B489,'TB '!$4:$1048576,MATCH('List of Ledgers '!J$4,'TB '!$4:$4,0),0),0)</f>
        <v>0</v>
      </c>
      <c r="K489" s="37">
        <f>IFERROR(VLOOKUP($B489,'TB '!$4:$1048576,MATCH('List of Ledgers '!K$4,'TB '!$4:$4,0),0),0)</f>
        <v>0</v>
      </c>
      <c r="L489" s="37">
        <f>IFERROR(VLOOKUP(B489,'TB '!$A:$J,10,),0)</f>
        <v>0</v>
      </c>
      <c r="M489" s="71"/>
      <c r="N489" s="63">
        <f>IFERROR(VLOOKUP($B489,'TB YTD'!$4:$1048576,MATCH('List of Ledgers '!N$4,'TB YTD'!$4:$4,0),0),0)</f>
        <v>0</v>
      </c>
      <c r="O489" s="63">
        <f>IFERROR(VLOOKUP($B489,'TB YTD'!$4:$1048576,MATCH('List of Ledgers '!O$4,'TB YTD'!$4:$4,0),0),0)</f>
        <v>0</v>
      </c>
      <c r="P489" s="63">
        <f>IFERROR(VLOOKUP($B489,'TB YTD'!$4:$1048576,MATCH('List of Ledgers '!P$4,'TB YTD'!$4:$4,0),0),0)</f>
        <v>0</v>
      </c>
      <c r="Q489" s="63">
        <f>IFERROR(VLOOKUP($B489,'TB YTD'!$4:$1048576,MATCH('List of Ledgers '!Q$4,'TB YTD'!$4:$4,0),0),0)</f>
        <v>0</v>
      </c>
      <c r="R489" s="63"/>
    </row>
    <row r="490" spans="1:18" hidden="1" x14ac:dyDescent="0.25">
      <c r="A490" s="106">
        <v>475</v>
      </c>
      <c r="B490" s="8" t="s">
        <v>696</v>
      </c>
      <c r="C490" s="8" t="s">
        <v>136</v>
      </c>
      <c r="D490" s="12" t="s">
        <v>128</v>
      </c>
      <c r="E490" s="12" t="s">
        <v>134</v>
      </c>
      <c r="G490" s="12" t="s">
        <v>2</v>
      </c>
      <c r="H490" s="62"/>
      <c r="I490" s="37">
        <f>IFERROR(VLOOKUP(B490,'TB '!$A:$G,7,),0)</f>
        <v>0</v>
      </c>
      <c r="J490" s="37">
        <f>IFERROR(VLOOKUP($B490,'TB '!$4:$1048576,MATCH('List of Ledgers '!J$4,'TB '!$4:$4,0),0),0)</f>
        <v>0</v>
      </c>
      <c r="K490" s="37">
        <f>IFERROR(VLOOKUP($B490,'TB '!$4:$1048576,MATCH('List of Ledgers '!K$4,'TB '!$4:$4,0),0),0)</f>
        <v>0</v>
      </c>
      <c r="L490" s="37">
        <f>IFERROR(VLOOKUP(B490,'TB '!$A:$J,10,),0)</f>
        <v>0</v>
      </c>
      <c r="M490" s="71"/>
      <c r="N490" s="63">
        <f>IFERROR(VLOOKUP($B490,'TB YTD'!$4:$1048576,MATCH('List of Ledgers '!N$4,'TB YTD'!$4:$4,0),0),0)</f>
        <v>0</v>
      </c>
      <c r="O490" s="63">
        <f>IFERROR(VLOOKUP($B490,'TB YTD'!$4:$1048576,MATCH('List of Ledgers '!O$4,'TB YTD'!$4:$4,0),0),0)</f>
        <v>944</v>
      </c>
      <c r="P490" s="63">
        <f>IFERROR(VLOOKUP($B490,'TB YTD'!$4:$1048576,MATCH('List of Ledgers '!P$4,'TB YTD'!$4:$4,0),0),0)</f>
        <v>944</v>
      </c>
      <c r="Q490" s="63">
        <f>IFERROR(VLOOKUP($B490,'TB YTD'!$4:$1048576,MATCH('List of Ledgers '!Q$4,'TB YTD'!$4:$4,0),0),0)</f>
        <v>0</v>
      </c>
      <c r="R490" s="63"/>
    </row>
    <row r="491" spans="1:18" hidden="1" x14ac:dyDescent="0.25">
      <c r="A491" s="106">
        <v>476</v>
      </c>
      <c r="B491" s="8" t="s">
        <v>697</v>
      </c>
      <c r="C491" s="8" t="s">
        <v>244</v>
      </c>
      <c r="D491" s="106" t="s">
        <v>128</v>
      </c>
      <c r="E491" s="17" t="s">
        <v>134</v>
      </c>
      <c r="G491" s="17" t="s">
        <v>3</v>
      </c>
      <c r="H491" s="62"/>
      <c r="I491" s="37">
        <f>IFERROR(VLOOKUP(B491,'TB '!$A:$G,7,),0)</f>
        <v>0</v>
      </c>
      <c r="J491" s="37">
        <f>IFERROR(VLOOKUP($B491,'TB '!$4:$1048576,MATCH('List of Ledgers '!J$4,'TB '!$4:$4,0),0),0)</f>
        <v>0</v>
      </c>
      <c r="K491" s="37">
        <f>IFERROR(VLOOKUP($B491,'TB '!$4:$1048576,MATCH('List of Ledgers '!K$4,'TB '!$4:$4,0),0),0)</f>
        <v>0</v>
      </c>
      <c r="L491" s="37">
        <f>IFERROR(VLOOKUP(B491,'TB '!$A:$J,10,),0)</f>
        <v>0</v>
      </c>
      <c r="M491" s="71"/>
      <c r="N491" s="63">
        <f>IFERROR(VLOOKUP($B491,'TB YTD'!$4:$1048576,MATCH('List of Ledgers '!N$4,'TB YTD'!$4:$4,0),0),0)</f>
        <v>0</v>
      </c>
      <c r="O491" s="63">
        <f>IFERROR(VLOOKUP($B491,'TB YTD'!$4:$1048576,MATCH('List of Ledgers '!O$4,'TB YTD'!$4:$4,0),0),0)</f>
        <v>41570</v>
      </c>
      <c r="P491" s="63">
        <f>IFERROR(VLOOKUP($B491,'TB YTD'!$4:$1048576,MATCH('List of Ledgers '!P$4,'TB YTD'!$4:$4,0),0),0)</f>
        <v>41570</v>
      </c>
      <c r="Q491" s="63">
        <f>IFERROR(VLOOKUP($B491,'TB YTD'!$4:$1048576,MATCH('List of Ledgers '!Q$4,'TB YTD'!$4:$4,0),0),0)</f>
        <v>0</v>
      </c>
      <c r="R491" s="63"/>
    </row>
    <row r="492" spans="1:18" hidden="1" x14ac:dyDescent="0.25">
      <c r="A492" s="106">
        <v>477</v>
      </c>
      <c r="B492" s="8" t="s">
        <v>698</v>
      </c>
      <c r="C492" s="8" t="s">
        <v>136</v>
      </c>
      <c r="D492" s="12" t="s">
        <v>128</v>
      </c>
      <c r="E492" s="12" t="s">
        <v>134</v>
      </c>
      <c r="G492" s="12" t="s">
        <v>2</v>
      </c>
      <c r="H492" s="62"/>
      <c r="I492" s="37">
        <f>IFERROR(VLOOKUP(B492,'TB '!$A:$G,7,),0)</f>
        <v>0</v>
      </c>
      <c r="J492" s="37">
        <f>IFERROR(VLOOKUP($B492,'TB '!$4:$1048576,MATCH('List of Ledgers '!J$4,'TB '!$4:$4,0),0),0)</f>
        <v>0</v>
      </c>
      <c r="K492" s="37">
        <f>IFERROR(VLOOKUP($B492,'TB '!$4:$1048576,MATCH('List of Ledgers '!K$4,'TB '!$4:$4,0),0),0)</f>
        <v>0</v>
      </c>
      <c r="L492" s="37">
        <f>IFERROR(VLOOKUP(B492,'TB '!$A:$J,10,),0)</f>
        <v>0</v>
      </c>
      <c r="M492" s="71"/>
      <c r="N492" s="63">
        <f>IFERROR(VLOOKUP($B492,'TB YTD'!$4:$1048576,MATCH('List of Ledgers '!N$4,'TB YTD'!$4:$4,0),0),0)</f>
        <v>0</v>
      </c>
      <c r="O492" s="63">
        <f>IFERROR(VLOOKUP($B492,'TB YTD'!$4:$1048576,MATCH('List of Ledgers '!O$4,'TB YTD'!$4:$4,0),0),0)</f>
        <v>0</v>
      </c>
      <c r="P492" s="63">
        <f>IFERROR(VLOOKUP($B492,'TB YTD'!$4:$1048576,MATCH('List of Ledgers '!P$4,'TB YTD'!$4:$4,0),0),0)</f>
        <v>0</v>
      </c>
      <c r="Q492" s="63">
        <f>IFERROR(VLOOKUP($B492,'TB YTD'!$4:$1048576,MATCH('List of Ledgers '!Q$4,'TB YTD'!$4:$4,0),0),0)</f>
        <v>0</v>
      </c>
      <c r="R492" s="63"/>
    </row>
    <row r="493" spans="1:18" hidden="1" x14ac:dyDescent="0.25">
      <c r="A493" s="106">
        <v>478</v>
      </c>
      <c r="B493" s="8" t="s">
        <v>699</v>
      </c>
      <c r="C493" s="8" t="s">
        <v>374</v>
      </c>
      <c r="D493" s="17"/>
      <c r="E493" s="17"/>
      <c r="G493" s="17"/>
      <c r="H493" s="62"/>
      <c r="I493" s="37">
        <f>IFERROR(VLOOKUP(B493,'TB '!$A:$G,7,),0)</f>
        <v>24097.17</v>
      </c>
      <c r="J493" s="37">
        <f>IFERROR(VLOOKUP($B493,'TB '!$4:$1048576,MATCH('List of Ledgers '!J$4,'TB '!$4:$4,0),0),0)</f>
        <v>0</v>
      </c>
      <c r="K493" s="37">
        <f>IFERROR(VLOOKUP($B493,'TB '!$4:$1048576,MATCH('List of Ledgers '!K$4,'TB '!$4:$4,0),0),0)</f>
        <v>0</v>
      </c>
      <c r="L493" s="37">
        <f>IFERROR(VLOOKUP(B493,'TB '!$A:$J,10,),0)</f>
        <v>24097.17</v>
      </c>
      <c r="M493" s="71"/>
      <c r="N493" s="63">
        <f>IFERROR(VLOOKUP($B493,'TB YTD'!$4:$1048576,MATCH('List of Ledgers '!N$4,'TB YTD'!$4:$4,0),0),0)</f>
        <v>24097.17</v>
      </c>
      <c r="O493" s="63">
        <f>IFERROR(VLOOKUP($B493,'TB YTD'!$4:$1048576,MATCH('List of Ledgers '!O$4,'TB YTD'!$4:$4,0),0),0)</f>
        <v>0</v>
      </c>
      <c r="P493" s="63">
        <f>IFERROR(VLOOKUP($B493,'TB YTD'!$4:$1048576,MATCH('List of Ledgers '!P$4,'TB YTD'!$4:$4,0),0),0)</f>
        <v>0</v>
      </c>
      <c r="Q493" s="63">
        <f>IFERROR(VLOOKUP($B493,'TB YTD'!$4:$1048576,MATCH('List of Ledgers '!Q$4,'TB YTD'!$4:$4,0),0),0)</f>
        <v>24097.17</v>
      </c>
      <c r="R493" s="63"/>
    </row>
    <row r="494" spans="1:18" hidden="1" x14ac:dyDescent="0.25">
      <c r="A494" s="106">
        <v>479</v>
      </c>
      <c r="B494" s="8" t="s">
        <v>700</v>
      </c>
      <c r="C494" s="8" t="s">
        <v>180</v>
      </c>
      <c r="D494" s="17" t="s">
        <v>128</v>
      </c>
      <c r="E494" s="17" t="s">
        <v>131</v>
      </c>
      <c r="G494" s="17" t="s">
        <v>2</v>
      </c>
      <c r="H494" s="62"/>
      <c r="I494" s="37">
        <f>IFERROR(VLOOKUP(B494,'TB '!$A:$G,7,),0)</f>
        <v>0</v>
      </c>
      <c r="J494" s="37">
        <f>IFERROR(VLOOKUP($B494,'TB '!$4:$1048576,MATCH('List of Ledgers '!J$4,'TB '!$4:$4,0),0),0)</f>
        <v>0</v>
      </c>
      <c r="K494" s="37">
        <f>IFERROR(VLOOKUP($B494,'TB '!$4:$1048576,MATCH('List of Ledgers '!K$4,'TB '!$4:$4,0),0),0)</f>
        <v>0</v>
      </c>
      <c r="L494" s="37">
        <f>IFERROR(VLOOKUP(B494,'TB '!$A:$J,10,),0)</f>
        <v>0</v>
      </c>
      <c r="M494" s="71"/>
      <c r="N494" s="63">
        <f>IFERROR(VLOOKUP($B494,'TB YTD'!$4:$1048576,MATCH('List of Ledgers '!N$4,'TB YTD'!$4:$4,0),0),0)</f>
        <v>-115487.2</v>
      </c>
      <c r="O494" s="63">
        <f>IFERROR(VLOOKUP($B494,'TB YTD'!$4:$1048576,MATCH('List of Ledgers '!O$4,'TB YTD'!$4:$4,0),0),0)</f>
        <v>115487.2</v>
      </c>
      <c r="P494" s="63">
        <f>IFERROR(VLOOKUP($B494,'TB YTD'!$4:$1048576,MATCH('List of Ledgers '!P$4,'TB YTD'!$4:$4,0),0),0)</f>
        <v>0</v>
      </c>
      <c r="Q494" s="63">
        <f>IFERROR(VLOOKUP($B494,'TB YTD'!$4:$1048576,MATCH('List of Ledgers '!Q$4,'TB YTD'!$4:$4,0),0),0)</f>
        <v>0</v>
      </c>
      <c r="R494" s="63"/>
    </row>
    <row r="495" spans="1:18" hidden="1" x14ac:dyDescent="0.25">
      <c r="A495" s="106">
        <v>480</v>
      </c>
      <c r="B495" s="8" t="s">
        <v>701</v>
      </c>
      <c r="C495" s="8" t="s">
        <v>187</v>
      </c>
      <c r="D495" s="17" t="s">
        <v>128</v>
      </c>
      <c r="E495" s="17" t="s">
        <v>134</v>
      </c>
      <c r="G495" s="17" t="s">
        <v>2</v>
      </c>
      <c r="H495" s="62"/>
      <c r="I495" s="37">
        <f>IFERROR(VLOOKUP(B495,'TB '!$A:$G,7,),0)</f>
        <v>17420</v>
      </c>
      <c r="J495" s="37">
        <f>IFERROR(VLOOKUP($B495,'TB '!$4:$1048576,MATCH('List of Ledgers '!J$4,'TB '!$4:$4,0),0),0)</f>
        <v>0</v>
      </c>
      <c r="K495" s="37">
        <f>IFERROR(VLOOKUP($B495,'TB '!$4:$1048576,MATCH('List of Ledgers '!K$4,'TB '!$4:$4,0),0),0)</f>
        <v>0</v>
      </c>
      <c r="L495" s="37">
        <f>IFERROR(VLOOKUP(B495,'TB '!$A:$J,10,),0)</f>
        <v>17420</v>
      </c>
      <c r="M495" s="71"/>
      <c r="N495" s="63">
        <f>IFERROR(VLOOKUP($B495,'TB YTD'!$4:$1048576,MATCH('List of Ledgers '!N$4,'TB YTD'!$4:$4,0),0),0)</f>
        <v>17420</v>
      </c>
      <c r="O495" s="63">
        <f>IFERROR(VLOOKUP($B495,'TB YTD'!$4:$1048576,MATCH('List of Ledgers '!O$4,'TB YTD'!$4:$4,0),0),0)</f>
        <v>0</v>
      </c>
      <c r="P495" s="63">
        <f>IFERROR(VLOOKUP($B495,'TB YTD'!$4:$1048576,MATCH('List of Ledgers '!P$4,'TB YTD'!$4:$4,0),0),0)</f>
        <v>0</v>
      </c>
      <c r="Q495" s="63">
        <f>IFERROR(VLOOKUP($B495,'TB YTD'!$4:$1048576,MATCH('List of Ledgers '!Q$4,'TB YTD'!$4:$4,0),0),0)</f>
        <v>17420</v>
      </c>
      <c r="R495" s="63"/>
    </row>
    <row r="496" spans="1:18" hidden="1" x14ac:dyDescent="0.25">
      <c r="A496" s="106">
        <v>481</v>
      </c>
      <c r="B496" s="8" t="s">
        <v>702</v>
      </c>
      <c r="C496" s="8" t="s">
        <v>207</v>
      </c>
      <c r="D496" s="17" t="s">
        <v>128</v>
      </c>
      <c r="E496" s="17" t="s">
        <v>131</v>
      </c>
      <c r="G496" s="17" t="s">
        <v>3</v>
      </c>
      <c r="H496" s="62"/>
      <c r="I496" s="37">
        <f>IFERROR(VLOOKUP(B496,'TB '!$A:$G,7,),0)</f>
        <v>0</v>
      </c>
      <c r="J496" s="37">
        <f>IFERROR(VLOOKUP($B496,'TB '!$4:$1048576,MATCH('List of Ledgers '!J$4,'TB '!$4:$4,0),0),0)</f>
        <v>0</v>
      </c>
      <c r="K496" s="37">
        <f>IFERROR(VLOOKUP($B496,'TB '!$4:$1048576,MATCH('List of Ledgers '!K$4,'TB '!$4:$4,0),0),0)</f>
        <v>0</v>
      </c>
      <c r="L496" s="37">
        <f>IFERROR(VLOOKUP(B496,'TB '!$A:$J,10,),0)</f>
        <v>0</v>
      </c>
      <c r="M496" s="71"/>
      <c r="N496" s="63">
        <f>IFERROR(VLOOKUP($B496,'TB YTD'!$4:$1048576,MATCH('List of Ledgers '!N$4,'TB YTD'!$4:$4,0),0),0)</f>
        <v>-2124</v>
      </c>
      <c r="O496" s="63">
        <f>IFERROR(VLOOKUP($B496,'TB YTD'!$4:$1048576,MATCH('List of Ledgers '!O$4,'TB YTD'!$4:$4,0),0),0)</f>
        <v>2124</v>
      </c>
      <c r="P496" s="63">
        <f>IFERROR(VLOOKUP($B496,'TB YTD'!$4:$1048576,MATCH('List of Ledgers '!P$4,'TB YTD'!$4:$4,0),0),0)</f>
        <v>0</v>
      </c>
      <c r="Q496" s="63">
        <f>IFERROR(VLOOKUP($B496,'TB YTD'!$4:$1048576,MATCH('List of Ledgers '!Q$4,'TB YTD'!$4:$4,0),0),0)</f>
        <v>0</v>
      </c>
      <c r="R496" s="63"/>
    </row>
    <row r="497" spans="1:18" hidden="1" x14ac:dyDescent="0.25">
      <c r="A497" s="106">
        <v>482</v>
      </c>
      <c r="B497" s="8" t="s">
        <v>703</v>
      </c>
      <c r="C497" s="8" t="s">
        <v>136</v>
      </c>
      <c r="D497" s="12" t="s">
        <v>128</v>
      </c>
      <c r="E497" s="12" t="s">
        <v>134</v>
      </c>
      <c r="G497" s="12" t="s">
        <v>2</v>
      </c>
      <c r="H497" s="62"/>
      <c r="I497" s="37">
        <f>IFERROR(VLOOKUP(B497,'TB '!$A:$G,7,),0)</f>
        <v>0</v>
      </c>
      <c r="J497" s="37">
        <f>IFERROR(VLOOKUP($B497,'TB '!$4:$1048576,MATCH('List of Ledgers '!J$4,'TB '!$4:$4,0),0),0)</f>
        <v>0</v>
      </c>
      <c r="K497" s="37">
        <f>IFERROR(VLOOKUP($B497,'TB '!$4:$1048576,MATCH('List of Ledgers '!K$4,'TB '!$4:$4,0),0),0)</f>
        <v>0</v>
      </c>
      <c r="L497" s="37">
        <f>IFERROR(VLOOKUP(B497,'TB '!$A:$J,10,),0)</f>
        <v>0</v>
      </c>
      <c r="M497" s="71"/>
      <c r="N497" s="63">
        <f>IFERROR(VLOOKUP($B497,'TB YTD'!$4:$1048576,MATCH('List of Ledgers '!N$4,'TB YTD'!$4:$4,0),0),0)</f>
        <v>2063019</v>
      </c>
      <c r="O497" s="63">
        <f>IFERROR(VLOOKUP($B497,'TB YTD'!$4:$1048576,MATCH('List of Ledgers '!O$4,'TB YTD'!$4:$4,0),0),0)</f>
        <v>1172948</v>
      </c>
      <c r="P497" s="63">
        <f>IFERROR(VLOOKUP($B497,'TB YTD'!$4:$1048576,MATCH('List of Ledgers '!P$4,'TB YTD'!$4:$4,0),0),0)</f>
        <v>3235967</v>
      </c>
      <c r="Q497" s="63">
        <f>IFERROR(VLOOKUP($B497,'TB YTD'!$4:$1048576,MATCH('List of Ledgers '!Q$4,'TB YTD'!$4:$4,0),0),0)</f>
        <v>0</v>
      </c>
      <c r="R497" s="63"/>
    </row>
    <row r="498" spans="1:18" hidden="1" x14ac:dyDescent="0.25">
      <c r="A498" s="106">
        <v>483</v>
      </c>
      <c r="B498" s="8" t="s">
        <v>704</v>
      </c>
      <c r="C498" s="8" t="s">
        <v>275</v>
      </c>
      <c r="D498" s="17" t="s">
        <v>151</v>
      </c>
      <c r="E498" s="17" t="s">
        <v>152</v>
      </c>
      <c r="F498" s="12" t="s">
        <v>58</v>
      </c>
      <c r="G498" s="17" t="s">
        <v>7</v>
      </c>
      <c r="H498" s="62"/>
      <c r="I498" s="37">
        <f>IFERROR(VLOOKUP(B498,'TB '!$A:$G,7,),0)</f>
        <v>0</v>
      </c>
      <c r="J498" s="37">
        <f>IFERROR(VLOOKUP($B498,'TB '!$4:$1048576,MATCH('List of Ledgers '!J$4,'TB '!$4:$4,0),0),0)</f>
        <v>0</v>
      </c>
      <c r="K498" s="37">
        <f>IFERROR(VLOOKUP($B498,'TB '!$4:$1048576,MATCH('List of Ledgers '!K$4,'TB '!$4:$4,0),0),0)</f>
        <v>0</v>
      </c>
      <c r="L498" s="37">
        <f>IFERROR(VLOOKUP(B498,'TB '!$A:$J,10,),0)</f>
        <v>0</v>
      </c>
      <c r="M498" s="71"/>
      <c r="N498" s="63">
        <f>IFERROR(VLOOKUP($B498,'TB YTD'!$4:$1048576,MATCH('List of Ledgers '!N$4,'TB YTD'!$4:$4,0),0),0)</f>
        <v>0</v>
      </c>
      <c r="O498" s="63">
        <f>IFERROR(VLOOKUP($B498,'TB YTD'!$4:$1048576,MATCH('List of Ledgers '!O$4,'TB YTD'!$4:$4,0),0),0)</f>
        <v>36100</v>
      </c>
      <c r="P498" s="63">
        <f>IFERROR(VLOOKUP($B498,'TB YTD'!$4:$1048576,MATCH('List of Ledgers '!P$4,'TB YTD'!$4:$4,0),0),0)</f>
        <v>800</v>
      </c>
      <c r="Q498" s="63">
        <f>IFERROR(VLOOKUP($B498,'TB YTD'!$4:$1048576,MATCH('List of Ledgers '!Q$4,'TB YTD'!$4:$4,0),0),0)</f>
        <v>35300</v>
      </c>
      <c r="R498" s="63"/>
    </row>
    <row r="499" spans="1:18" hidden="1" x14ac:dyDescent="0.25">
      <c r="A499" s="106">
        <v>484</v>
      </c>
      <c r="B499" s="8" t="s">
        <v>705</v>
      </c>
      <c r="C499" s="8" t="s">
        <v>166</v>
      </c>
      <c r="D499" s="17" t="s">
        <v>151</v>
      </c>
      <c r="E499" s="17" t="s">
        <v>152</v>
      </c>
      <c r="F499" s="12" t="s">
        <v>58</v>
      </c>
      <c r="G499" s="17" t="s">
        <v>4</v>
      </c>
      <c r="H499" s="62"/>
      <c r="I499" s="37">
        <f>IFERROR(VLOOKUP(B499,'TB '!$A:$G,7,),0)</f>
        <v>0</v>
      </c>
      <c r="J499" s="37">
        <f>IFERROR(VLOOKUP($B499,'TB '!$4:$1048576,MATCH('List of Ledgers '!J$4,'TB '!$4:$4,0),0),0)</f>
        <v>0</v>
      </c>
      <c r="K499" s="37">
        <f>IFERROR(VLOOKUP($B499,'TB '!$4:$1048576,MATCH('List of Ledgers '!K$4,'TB '!$4:$4,0),0),0)</f>
        <v>0</v>
      </c>
      <c r="L499" s="37">
        <f>IFERROR(VLOOKUP(B499,'TB '!$A:$J,10,),0)</f>
        <v>0</v>
      </c>
      <c r="M499" s="71"/>
      <c r="N499" s="63">
        <f>IFERROR(VLOOKUP($B499,'TB YTD'!$4:$1048576,MATCH('List of Ledgers '!N$4,'TB YTD'!$4:$4,0),0),0)</f>
        <v>0</v>
      </c>
      <c r="O499" s="63">
        <f>IFERROR(VLOOKUP($B499,'TB YTD'!$4:$1048576,MATCH('List of Ledgers '!O$4,'TB YTD'!$4:$4,0),0),0)</f>
        <v>0</v>
      </c>
      <c r="P499" s="63">
        <f>IFERROR(VLOOKUP($B499,'TB YTD'!$4:$1048576,MATCH('List of Ledgers '!P$4,'TB YTD'!$4:$4,0),0),0)</f>
        <v>0</v>
      </c>
      <c r="Q499" s="63">
        <f>IFERROR(VLOOKUP($B499,'TB YTD'!$4:$1048576,MATCH('List of Ledgers '!Q$4,'TB YTD'!$4:$4,0),0),0)</f>
        <v>0</v>
      </c>
      <c r="R499" s="63"/>
    </row>
    <row r="500" spans="1:18" hidden="1" x14ac:dyDescent="0.25">
      <c r="A500" s="106">
        <v>485</v>
      </c>
      <c r="B500" s="8" t="s">
        <v>706</v>
      </c>
      <c r="C500" s="8" t="s">
        <v>275</v>
      </c>
      <c r="D500" s="17" t="s">
        <v>151</v>
      </c>
      <c r="E500" s="17" t="s">
        <v>152</v>
      </c>
      <c r="F500" s="12" t="s">
        <v>58</v>
      </c>
      <c r="G500" s="17" t="s">
        <v>7</v>
      </c>
      <c r="H500" s="62"/>
      <c r="I500" s="37">
        <f>IFERROR(VLOOKUP(B500,'TB '!$A:$G,7,),0)</f>
        <v>0</v>
      </c>
      <c r="J500" s="37">
        <f>IFERROR(VLOOKUP($B500,'TB '!$4:$1048576,MATCH('List of Ledgers '!J$4,'TB '!$4:$4,0),0),0)</f>
        <v>2410</v>
      </c>
      <c r="K500" s="37">
        <f>IFERROR(VLOOKUP($B500,'TB '!$4:$1048576,MATCH('List of Ledgers '!K$4,'TB '!$4:$4,0),0),0)</f>
        <v>0</v>
      </c>
      <c r="L500" s="37">
        <f>IFERROR(VLOOKUP(B500,'TB '!$A:$J,10,),0)</f>
        <v>2410</v>
      </c>
      <c r="M500" s="71"/>
      <c r="N500" s="63">
        <f>IFERROR(VLOOKUP($B500,'TB YTD'!$4:$1048576,MATCH('List of Ledgers '!N$4,'TB YTD'!$4:$4,0),0),0)</f>
        <v>0</v>
      </c>
      <c r="O500" s="63">
        <f>IFERROR(VLOOKUP($B500,'TB YTD'!$4:$1048576,MATCH('List of Ledgers '!O$4,'TB YTD'!$4:$4,0),0),0)</f>
        <v>56917</v>
      </c>
      <c r="P500" s="63">
        <f>IFERROR(VLOOKUP($B500,'TB YTD'!$4:$1048576,MATCH('List of Ledgers '!P$4,'TB YTD'!$4:$4,0),0),0)</f>
        <v>0</v>
      </c>
      <c r="Q500" s="63">
        <f>IFERROR(VLOOKUP($B500,'TB YTD'!$4:$1048576,MATCH('List of Ledgers '!Q$4,'TB YTD'!$4:$4,0),0),0)</f>
        <v>56917</v>
      </c>
      <c r="R500" s="63"/>
    </row>
    <row r="501" spans="1:18" hidden="1" x14ac:dyDescent="0.25">
      <c r="A501" s="106">
        <v>486</v>
      </c>
      <c r="B501" s="8" t="s">
        <v>707</v>
      </c>
      <c r="C501" s="8" t="s">
        <v>495</v>
      </c>
      <c r="D501" s="12" t="s">
        <v>128</v>
      </c>
      <c r="E501" s="12" t="s">
        <v>134</v>
      </c>
      <c r="G501" s="17" t="s">
        <v>7</v>
      </c>
      <c r="H501" s="62"/>
      <c r="I501" s="37">
        <f>IFERROR(VLOOKUP(B501,'TB '!$A:$G,7,),0)</f>
        <v>0</v>
      </c>
      <c r="J501" s="37">
        <f>IFERROR(VLOOKUP($B501,'TB '!$4:$1048576,MATCH('List of Ledgers '!J$4,'TB '!$4:$4,0),0),0)</f>
        <v>0</v>
      </c>
      <c r="K501" s="37">
        <f>IFERROR(VLOOKUP($B501,'TB '!$4:$1048576,MATCH('List of Ledgers '!K$4,'TB '!$4:$4,0),0),0)</f>
        <v>0</v>
      </c>
      <c r="L501" s="37">
        <f>IFERROR(VLOOKUP(B501,'TB '!$A:$J,10,),0)</f>
        <v>0</v>
      </c>
      <c r="M501" s="71"/>
      <c r="N501" s="63">
        <f>IFERROR(VLOOKUP($B501,'TB YTD'!$4:$1048576,MATCH('List of Ledgers '!N$4,'TB YTD'!$4:$4,0),0),0)</f>
        <v>0</v>
      </c>
      <c r="O501" s="63">
        <f>IFERROR(VLOOKUP($B501,'TB YTD'!$4:$1048576,MATCH('List of Ledgers '!O$4,'TB YTD'!$4:$4,0),0),0)</f>
        <v>0</v>
      </c>
      <c r="P501" s="63">
        <f>IFERROR(VLOOKUP($B501,'TB YTD'!$4:$1048576,MATCH('List of Ledgers '!P$4,'TB YTD'!$4:$4,0),0),0)</f>
        <v>0</v>
      </c>
      <c r="Q501" s="63">
        <f>IFERROR(VLOOKUP($B501,'TB YTD'!$4:$1048576,MATCH('List of Ledgers '!Q$4,'TB YTD'!$4:$4,0),0),0)</f>
        <v>0</v>
      </c>
      <c r="R501" s="63"/>
    </row>
    <row r="502" spans="1:18" hidden="1" x14ac:dyDescent="0.25">
      <c r="A502" s="106">
        <v>487</v>
      </c>
      <c r="B502" s="8" t="s">
        <v>708</v>
      </c>
      <c r="C502" s="8" t="s">
        <v>495</v>
      </c>
      <c r="D502" s="12" t="s">
        <v>128</v>
      </c>
      <c r="E502" s="17" t="s">
        <v>134</v>
      </c>
      <c r="G502" s="17" t="s">
        <v>7</v>
      </c>
      <c r="H502" s="62"/>
      <c r="I502" s="37">
        <f>IFERROR(VLOOKUP(B502,'TB '!$A:$G,7,),0)</f>
        <v>0</v>
      </c>
      <c r="J502" s="37">
        <f>IFERROR(VLOOKUP($B502,'TB '!$4:$1048576,MATCH('List of Ledgers '!J$4,'TB '!$4:$4,0),0),0)</f>
        <v>0</v>
      </c>
      <c r="K502" s="37">
        <f>IFERROR(VLOOKUP($B502,'TB '!$4:$1048576,MATCH('List of Ledgers '!K$4,'TB '!$4:$4,0),0),0)</f>
        <v>0</v>
      </c>
      <c r="L502" s="37">
        <f>IFERROR(VLOOKUP(B502,'TB '!$A:$J,10,),0)</f>
        <v>0</v>
      </c>
      <c r="M502" s="71"/>
      <c r="N502" s="63">
        <f>IFERROR(VLOOKUP($B502,'TB YTD'!$4:$1048576,MATCH('List of Ledgers '!N$4,'TB YTD'!$4:$4,0),0),0)</f>
        <v>0</v>
      </c>
      <c r="O502" s="63">
        <f>IFERROR(VLOOKUP($B502,'TB YTD'!$4:$1048576,MATCH('List of Ledgers '!O$4,'TB YTD'!$4:$4,0),0),0)</f>
        <v>0</v>
      </c>
      <c r="P502" s="63">
        <f>IFERROR(VLOOKUP($B502,'TB YTD'!$4:$1048576,MATCH('List of Ledgers '!P$4,'TB YTD'!$4:$4,0),0),0)</f>
        <v>0</v>
      </c>
      <c r="Q502" s="63">
        <f>IFERROR(VLOOKUP($B502,'TB YTD'!$4:$1048576,MATCH('List of Ledgers '!Q$4,'TB YTD'!$4:$4,0),0),0)</f>
        <v>0</v>
      </c>
      <c r="R502" s="63"/>
    </row>
    <row r="503" spans="1:18" hidden="1" x14ac:dyDescent="0.25">
      <c r="A503" s="106">
        <v>488</v>
      </c>
      <c r="B503" s="8" t="s">
        <v>709</v>
      </c>
      <c r="C503" s="8" t="s">
        <v>133</v>
      </c>
      <c r="D503" s="17" t="s">
        <v>128</v>
      </c>
      <c r="E503" s="17" t="s">
        <v>134</v>
      </c>
      <c r="G503" s="17" t="s">
        <v>2</v>
      </c>
      <c r="H503" s="62"/>
      <c r="I503" s="37">
        <f>IFERROR(VLOOKUP(B503,'TB '!$A:$G,7,),0)</f>
        <v>0</v>
      </c>
      <c r="J503" s="37">
        <f>IFERROR(VLOOKUP($B503,'TB '!$4:$1048576,MATCH('List of Ledgers '!J$4,'TB '!$4:$4,0),0),0)</f>
        <v>0</v>
      </c>
      <c r="K503" s="37">
        <f>IFERROR(VLOOKUP($B503,'TB '!$4:$1048576,MATCH('List of Ledgers '!K$4,'TB '!$4:$4,0),0),0)</f>
        <v>0</v>
      </c>
      <c r="L503" s="37">
        <f>IFERROR(VLOOKUP(B503,'TB '!$A:$J,10,),0)</f>
        <v>0</v>
      </c>
      <c r="M503" s="71"/>
      <c r="N503" s="63">
        <f>IFERROR(VLOOKUP($B503,'TB YTD'!$4:$1048576,MATCH('List of Ledgers '!N$4,'TB YTD'!$4:$4,0),0),0)</f>
        <v>0</v>
      </c>
      <c r="O503" s="63">
        <f>IFERROR(VLOOKUP($B503,'TB YTD'!$4:$1048576,MATCH('List of Ledgers '!O$4,'TB YTD'!$4:$4,0),0),0)</f>
        <v>0</v>
      </c>
      <c r="P503" s="63">
        <f>IFERROR(VLOOKUP($B503,'TB YTD'!$4:$1048576,MATCH('List of Ledgers '!P$4,'TB YTD'!$4:$4,0),0),0)</f>
        <v>0</v>
      </c>
      <c r="Q503" s="63">
        <f>IFERROR(VLOOKUP($B503,'TB YTD'!$4:$1048576,MATCH('List of Ledgers '!Q$4,'TB YTD'!$4:$4,0),0),0)</f>
        <v>0</v>
      </c>
      <c r="R503" s="63"/>
    </row>
    <row r="504" spans="1:18" hidden="1" x14ac:dyDescent="0.25">
      <c r="A504" s="106">
        <v>489</v>
      </c>
      <c r="B504" s="8" t="s">
        <v>710</v>
      </c>
      <c r="C504" s="8" t="s">
        <v>530</v>
      </c>
      <c r="D504" s="17"/>
      <c r="E504" s="17"/>
      <c r="G504" s="17"/>
      <c r="H504" s="62"/>
      <c r="I504" s="37">
        <f>IFERROR(VLOOKUP(B504,'TB '!$A:$G,7,),0)</f>
        <v>-2500</v>
      </c>
      <c r="J504" s="37">
        <f>IFERROR(VLOOKUP($B504,'TB '!$4:$1048576,MATCH('List of Ledgers '!J$4,'TB '!$4:$4,0),0),0)</f>
        <v>1700</v>
      </c>
      <c r="K504" s="37">
        <f>IFERROR(VLOOKUP($B504,'TB '!$4:$1048576,MATCH('List of Ledgers '!K$4,'TB '!$4:$4,0),0),0)</f>
        <v>200</v>
      </c>
      <c r="L504" s="37">
        <f>IFERROR(VLOOKUP(B504,'TB '!$A:$J,10,),0)</f>
        <v>-1000</v>
      </c>
      <c r="M504" s="71"/>
      <c r="N504" s="63">
        <f>IFERROR(VLOOKUP($B504,'TB YTD'!$4:$1048576,MATCH('List of Ledgers '!N$4,'TB YTD'!$4:$4,0),0),0)</f>
        <v>-200</v>
      </c>
      <c r="O504" s="63">
        <f>IFERROR(VLOOKUP($B504,'TB YTD'!$4:$1048576,MATCH('List of Ledgers '!O$4,'TB YTD'!$4:$4,0),0),0)</f>
        <v>1700</v>
      </c>
      <c r="P504" s="63">
        <f>IFERROR(VLOOKUP($B504,'TB YTD'!$4:$1048576,MATCH('List of Ledgers '!P$4,'TB YTD'!$4:$4,0),0),0)</f>
        <v>2500</v>
      </c>
      <c r="Q504" s="63">
        <f>IFERROR(VLOOKUP($B504,'TB YTD'!$4:$1048576,MATCH('List of Ledgers '!Q$4,'TB YTD'!$4:$4,0),0),0)</f>
        <v>-1000</v>
      </c>
      <c r="R504" s="63"/>
    </row>
    <row r="505" spans="1:18" hidden="1" x14ac:dyDescent="0.25">
      <c r="A505" s="106">
        <v>490</v>
      </c>
      <c r="B505" s="8" t="s">
        <v>711</v>
      </c>
      <c r="C505" s="8" t="s">
        <v>530</v>
      </c>
      <c r="D505" s="17"/>
      <c r="E505" s="17"/>
      <c r="G505" s="17"/>
      <c r="H505" s="62"/>
      <c r="I505" s="37">
        <f>IFERROR(VLOOKUP(B505,'TB '!$A:$G,7,),0)</f>
        <v>0</v>
      </c>
      <c r="J505" s="37">
        <f>IFERROR(VLOOKUP($B505,'TB '!$4:$1048576,MATCH('List of Ledgers '!J$4,'TB '!$4:$4,0),0),0)</f>
        <v>0</v>
      </c>
      <c r="K505" s="37">
        <f>IFERROR(VLOOKUP($B505,'TB '!$4:$1048576,MATCH('List of Ledgers '!K$4,'TB '!$4:$4,0),0),0)</f>
        <v>0</v>
      </c>
      <c r="L505" s="37">
        <f>IFERROR(VLOOKUP(B505,'TB '!$A:$J,10,),0)</f>
        <v>0</v>
      </c>
      <c r="M505" s="71"/>
      <c r="N505" s="63">
        <f>IFERROR(VLOOKUP($B505,'TB YTD'!$4:$1048576,MATCH('List of Ledgers '!N$4,'TB YTD'!$4:$4,0),0),0)</f>
        <v>0</v>
      </c>
      <c r="O505" s="63">
        <f>IFERROR(VLOOKUP($B505,'TB YTD'!$4:$1048576,MATCH('List of Ledgers '!O$4,'TB YTD'!$4:$4,0),0),0)</f>
        <v>0</v>
      </c>
      <c r="P505" s="63">
        <f>IFERROR(VLOOKUP($B505,'TB YTD'!$4:$1048576,MATCH('List of Ledgers '!P$4,'TB YTD'!$4:$4,0),0),0)</f>
        <v>0</v>
      </c>
      <c r="Q505" s="63">
        <f>IFERROR(VLOOKUP($B505,'TB YTD'!$4:$1048576,MATCH('List of Ledgers '!Q$4,'TB YTD'!$4:$4,0),0),0)</f>
        <v>0</v>
      </c>
      <c r="R505" s="63"/>
    </row>
    <row r="506" spans="1:18" hidden="1" x14ac:dyDescent="0.25">
      <c r="A506" s="106">
        <v>491</v>
      </c>
      <c r="B506" s="8" t="s">
        <v>712</v>
      </c>
      <c r="C506" s="8" t="s">
        <v>530</v>
      </c>
      <c r="D506" s="17"/>
      <c r="E506" s="17"/>
      <c r="G506" s="17"/>
      <c r="H506" s="62"/>
      <c r="I506" s="37">
        <f>IFERROR(VLOOKUP(B506,'TB '!$A:$G,7,),0)</f>
        <v>-800</v>
      </c>
      <c r="J506" s="37">
        <f>IFERROR(VLOOKUP($B506,'TB '!$4:$1048576,MATCH('List of Ledgers '!J$4,'TB '!$4:$4,0),0),0)</f>
        <v>800</v>
      </c>
      <c r="K506" s="37">
        <f>IFERROR(VLOOKUP($B506,'TB '!$4:$1048576,MATCH('List of Ledgers '!K$4,'TB '!$4:$4,0),0),0)</f>
        <v>0</v>
      </c>
      <c r="L506" s="37">
        <f>IFERROR(VLOOKUP(B506,'TB '!$A:$J,10,),0)</f>
        <v>0</v>
      </c>
      <c r="M506" s="71"/>
      <c r="N506" s="63">
        <f>IFERROR(VLOOKUP($B506,'TB YTD'!$4:$1048576,MATCH('List of Ledgers '!N$4,'TB YTD'!$4:$4,0),0),0)</f>
        <v>-200</v>
      </c>
      <c r="O506" s="63">
        <f>IFERROR(VLOOKUP($B506,'TB YTD'!$4:$1048576,MATCH('List of Ledgers '!O$4,'TB YTD'!$4:$4,0),0),0)</f>
        <v>800</v>
      </c>
      <c r="P506" s="63">
        <f>IFERROR(VLOOKUP($B506,'TB YTD'!$4:$1048576,MATCH('List of Ledgers '!P$4,'TB YTD'!$4:$4,0),0),0)</f>
        <v>600</v>
      </c>
      <c r="Q506" s="63">
        <f>IFERROR(VLOOKUP($B506,'TB YTD'!$4:$1048576,MATCH('List of Ledgers '!Q$4,'TB YTD'!$4:$4,0),0),0)</f>
        <v>0</v>
      </c>
      <c r="R506" s="63"/>
    </row>
    <row r="507" spans="1:18" hidden="1" x14ac:dyDescent="0.25">
      <c r="A507" s="106">
        <v>492</v>
      </c>
      <c r="B507" s="8" t="s">
        <v>713</v>
      </c>
      <c r="C507" s="8" t="s">
        <v>530</v>
      </c>
      <c r="D507" s="17"/>
      <c r="E507" s="17"/>
      <c r="G507" s="17"/>
      <c r="H507" s="62"/>
      <c r="I507" s="37">
        <f>IFERROR(VLOOKUP(B507,'TB '!$A:$G,7,),0)</f>
        <v>-2400</v>
      </c>
      <c r="J507" s="37">
        <f>IFERROR(VLOOKUP($B507,'TB '!$4:$1048576,MATCH('List of Ledgers '!J$4,'TB '!$4:$4,0),0),0)</f>
        <v>4400</v>
      </c>
      <c r="K507" s="37">
        <f>IFERROR(VLOOKUP($B507,'TB '!$4:$1048576,MATCH('List of Ledgers '!K$4,'TB '!$4:$4,0),0),0)</f>
        <v>400</v>
      </c>
      <c r="L507" s="37">
        <f>IFERROR(VLOOKUP(B507,'TB '!$A:$J,10,),0)</f>
        <v>1600</v>
      </c>
      <c r="M507" s="71"/>
      <c r="N507" s="63">
        <f>IFERROR(VLOOKUP($B507,'TB YTD'!$4:$1048576,MATCH('List of Ledgers '!N$4,'TB YTD'!$4:$4,0),0),0)</f>
        <v>3000</v>
      </c>
      <c r="O507" s="63">
        <f>IFERROR(VLOOKUP($B507,'TB YTD'!$4:$1048576,MATCH('List of Ledgers '!O$4,'TB YTD'!$4:$4,0),0),0)</f>
        <v>4400</v>
      </c>
      <c r="P507" s="63">
        <f>IFERROR(VLOOKUP($B507,'TB YTD'!$4:$1048576,MATCH('List of Ledgers '!P$4,'TB YTD'!$4:$4,0),0),0)</f>
        <v>5800</v>
      </c>
      <c r="Q507" s="63">
        <f>IFERROR(VLOOKUP($B507,'TB YTD'!$4:$1048576,MATCH('List of Ledgers '!Q$4,'TB YTD'!$4:$4,0),0),0)</f>
        <v>1600</v>
      </c>
      <c r="R507" s="63"/>
    </row>
    <row r="508" spans="1:18" hidden="1" x14ac:dyDescent="0.25">
      <c r="A508" s="106">
        <v>493</v>
      </c>
      <c r="B508" s="8" t="s">
        <v>714</v>
      </c>
      <c r="C508" s="8" t="s">
        <v>530</v>
      </c>
      <c r="D508" s="17"/>
      <c r="E508" s="17"/>
      <c r="G508" s="17"/>
      <c r="H508" s="62"/>
      <c r="I508" s="37">
        <f>IFERROR(VLOOKUP(B508,'TB '!$A:$G,7,),0)</f>
        <v>1225</v>
      </c>
      <c r="J508" s="37">
        <f>IFERROR(VLOOKUP($B508,'TB '!$4:$1048576,MATCH('List of Ledgers '!J$4,'TB '!$4:$4,0),0),0)</f>
        <v>0</v>
      </c>
      <c r="K508" s="37">
        <f>IFERROR(VLOOKUP($B508,'TB '!$4:$1048576,MATCH('List of Ledgers '!K$4,'TB '!$4:$4,0),0),0)</f>
        <v>0</v>
      </c>
      <c r="L508" s="37">
        <f>IFERROR(VLOOKUP(B508,'TB '!$A:$J,10,),0)</f>
        <v>1225</v>
      </c>
      <c r="M508" s="71"/>
      <c r="N508" s="63">
        <f>IFERROR(VLOOKUP($B508,'TB YTD'!$4:$1048576,MATCH('List of Ledgers '!N$4,'TB YTD'!$4:$4,0),0),0)</f>
        <v>1225</v>
      </c>
      <c r="O508" s="63">
        <f>IFERROR(VLOOKUP($B508,'TB YTD'!$4:$1048576,MATCH('List of Ledgers '!O$4,'TB YTD'!$4:$4,0),0),0)</f>
        <v>0</v>
      </c>
      <c r="P508" s="63">
        <f>IFERROR(VLOOKUP($B508,'TB YTD'!$4:$1048576,MATCH('List of Ledgers '!P$4,'TB YTD'!$4:$4,0),0),0)</f>
        <v>0</v>
      </c>
      <c r="Q508" s="63">
        <f>IFERROR(VLOOKUP($B508,'TB YTD'!$4:$1048576,MATCH('List of Ledgers '!Q$4,'TB YTD'!$4:$4,0),0),0)</f>
        <v>1225</v>
      </c>
      <c r="R508" s="63"/>
    </row>
    <row r="509" spans="1:18" hidden="1" x14ac:dyDescent="0.25">
      <c r="A509" s="106">
        <v>494</v>
      </c>
      <c r="B509" s="8" t="s">
        <v>715</v>
      </c>
      <c r="C509" s="8" t="s">
        <v>275</v>
      </c>
      <c r="D509" s="17" t="s">
        <v>151</v>
      </c>
      <c r="E509" s="17" t="s">
        <v>152</v>
      </c>
      <c r="F509" s="12" t="s">
        <v>59</v>
      </c>
      <c r="G509" s="17" t="s">
        <v>7</v>
      </c>
      <c r="H509" s="62"/>
      <c r="I509" s="37">
        <f>IFERROR(VLOOKUP(B509,'TB '!$A:$G,7,),0)</f>
        <v>0</v>
      </c>
      <c r="J509" s="37">
        <f>IFERROR(VLOOKUP($B509,'TB '!$4:$1048576,MATCH('List of Ledgers '!J$4,'TB '!$4:$4,0),0),0)</f>
        <v>0</v>
      </c>
      <c r="K509" s="37">
        <f>IFERROR(VLOOKUP($B509,'TB '!$4:$1048576,MATCH('List of Ledgers '!K$4,'TB '!$4:$4,0),0),0)</f>
        <v>0</v>
      </c>
      <c r="L509" s="37">
        <f>IFERROR(VLOOKUP(B509,'TB '!$A:$J,10,),0)</f>
        <v>0</v>
      </c>
      <c r="M509" s="71"/>
      <c r="N509" s="63">
        <f>IFERROR(VLOOKUP($B509,'TB YTD'!$4:$1048576,MATCH('List of Ledgers '!N$4,'TB YTD'!$4:$4,0),0),0)</f>
        <v>0</v>
      </c>
      <c r="O509" s="63">
        <f>IFERROR(VLOOKUP($B509,'TB YTD'!$4:$1048576,MATCH('List of Ledgers '!O$4,'TB YTD'!$4:$4,0),0),0)</f>
        <v>0</v>
      </c>
      <c r="P509" s="63">
        <f>IFERROR(VLOOKUP($B509,'TB YTD'!$4:$1048576,MATCH('List of Ledgers '!P$4,'TB YTD'!$4:$4,0),0),0)</f>
        <v>0</v>
      </c>
      <c r="Q509" s="63">
        <f>IFERROR(VLOOKUP($B509,'TB YTD'!$4:$1048576,MATCH('List of Ledgers '!Q$4,'TB YTD'!$4:$4,0),0),0)</f>
        <v>0</v>
      </c>
      <c r="R509" s="63"/>
    </row>
    <row r="510" spans="1:18" hidden="1" x14ac:dyDescent="0.25">
      <c r="A510" s="106">
        <v>495</v>
      </c>
      <c r="B510" s="8" t="s">
        <v>716</v>
      </c>
      <c r="C510" s="8" t="s">
        <v>189</v>
      </c>
      <c r="D510" s="17" t="s">
        <v>151</v>
      </c>
      <c r="E510" s="17" t="s">
        <v>152</v>
      </c>
      <c r="F510" s="12" t="s">
        <v>59</v>
      </c>
      <c r="G510" s="17" t="s">
        <v>7</v>
      </c>
      <c r="H510" s="62"/>
      <c r="I510" s="37">
        <f>IFERROR(VLOOKUP(B510,'TB '!$A:$G,7,),0)</f>
        <v>0</v>
      </c>
      <c r="J510" s="37">
        <f>IFERROR(VLOOKUP($B510,'TB '!$4:$1048576,MATCH('List of Ledgers '!J$4,'TB '!$4:$4,0),0),0)</f>
        <v>20000</v>
      </c>
      <c r="K510" s="37">
        <f>IFERROR(VLOOKUP($B510,'TB '!$4:$1048576,MATCH('List of Ledgers '!K$4,'TB '!$4:$4,0),0),0)</f>
        <v>0</v>
      </c>
      <c r="L510" s="37">
        <f>IFERROR(VLOOKUP(B510,'TB '!$A:$J,10,),0)</f>
        <v>20000</v>
      </c>
      <c r="M510" s="71"/>
      <c r="N510" s="63">
        <f>IFERROR(VLOOKUP($B510,'TB YTD'!$4:$1048576,MATCH('List of Ledgers '!N$4,'TB YTD'!$4:$4,0),0),0)</f>
        <v>0</v>
      </c>
      <c r="O510" s="63">
        <f>IFERROR(VLOOKUP($B510,'TB YTD'!$4:$1048576,MATCH('List of Ledgers '!O$4,'TB YTD'!$4:$4,0),0),0)</f>
        <v>244000</v>
      </c>
      <c r="P510" s="63">
        <f>IFERROR(VLOOKUP($B510,'TB YTD'!$4:$1048576,MATCH('List of Ledgers '!P$4,'TB YTD'!$4:$4,0),0),0)</f>
        <v>0</v>
      </c>
      <c r="Q510" s="63">
        <f>IFERROR(VLOOKUP($B510,'TB YTD'!$4:$1048576,MATCH('List of Ledgers '!Q$4,'TB YTD'!$4:$4,0),0),0)</f>
        <v>244000</v>
      </c>
      <c r="R510" s="63"/>
    </row>
    <row r="511" spans="1:18" hidden="1" x14ac:dyDescent="0.25">
      <c r="A511" s="106">
        <v>496</v>
      </c>
      <c r="B511" s="8" t="s">
        <v>717</v>
      </c>
      <c r="C511" s="8" t="s">
        <v>718</v>
      </c>
      <c r="D511" s="17"/>
      <c r="E511" s="17"/>
      <c r="G511" s="17"/>
      <c r="H511" s="62"/>
      <c r="I511" s="37">
        <f>IFERROR(VLOOKUP(B511,'TB '!$A:$G,7,),0)</f>
        <v>88047692.739999995</v>
      </c>
      <c r="J511" s="37">
        <f>IFERROR(VLOOKUP($B511,'TB '!$4:$1048576,MATCH('List of Ledgers '!J$4,'TB '!$4:$4,0),0),0)</f>
        <v>0</v>
      </c>
      <c r="K511" s="37">
        <f>IFERROR(VLOOKUP($B511,'TB '!$4:$1048576,MATCH('List of Ledgers '!K$4,'TB '!$4:$4,0),0),0)</f>
        <v>0</v>
      </c>
      <c r="L511" s="37">
        <f>IFERROR(VLOOKUP(B511,'TB '!$A:$J,10,),0)</f>
        <v>88047692.739999995</v>
      </c>
      <c r="M511" s="71"/>
      <c r="N511" s="63">
        <f>IFERROR(VLOOKUP($B511,'TB YTD'!$4:$1048576,MATCH('List of Ledgers '!N$4,'TB YTD'!$4:$4,0),0),0)</f>
        <v>76979905.640000001</v>
      </c>
      <c r="O511" s="63">
        <f>IFERROR(VLOOKUP($B511,'TB YTD'!$4:$1048576,MATCH('List of Ledgers '!O$4,'TB YTD'!$4:$4,0),0),0)</f>
        <v>0</v>
      </c>
      <c r="P511" s="63">
        <f>IFERROR(VLOOKUP($B511,'TB YTD'!$4:$1048576,MATCH('List of Ledgers '!P$4,'TB YTD'!$4:$4,0),0),0)</f>
        <v>0</v>
      </c>
      <c r="Q511" s="63">
        <f>IFERROR(VLOOKUP($B511,'TB YTD'!$4:$1048576,MATCH('List of Ledgers '!Q$4,'TB YTD'!$4:$4,0),0),0)</f>
        <v>76979905.640000001</v>
      </c>
      <c r="R511" s="63"/>
    </row>
    <row r="512" spans="1:18" hidden="1" x14ac:dyDescent="0.25">
      <c r="A512" s="106">
        <v>497</v>
      </c>
      <c r="B512" s="8" t="s">
        <v>719</v>
      </c>
      <c r="C512" s="8" t="s">
        <v>271</v>
      </c>
      <c r="D512" s="17" t="s">
        <v>151</v>
      </c>
      <c r="E512" s="17" t="s">
        <v>272</v>
      </c>
      <c r="F512" s="17" t="s">
        <v>1293</v>
      </c>
      <c r="G512" s="12" t="s">
        <v>11</v>
      </c>
      <c r="H512" s="62"/>
      <c r="I512" s="37">
        <f>IFERROR(VLOOKUP(B512,'TB '!$A:$G,7,),0)</f>
        <v>0</v>
      </c>
      <c r="J512" s="37">
        <f>IFERROR(VLOOKUP($B512,'TB '!$4:$1048576,MATCH('List of Ledgers '!J$4,'TB '!$4:$4,0),0),0)</f>
        <v>0</v>
      </c>
      <c r="K512" s="37">
        <f>IFERROR(VLOOKUP($B512,'TB '!$4:$1048576,MATCH('List of Ledgers '!K$4,'TB '!$4:$4,0),0),0)</f>
        <v>0</v>
      </c>
      <c r="L512" s="37">
        <f>IFERROR(VLOOKUP(B512,'TB '!$A:$J,10,),0)</f>
        <v>0</v>
      </c>
      <c r="M512" s="71"/>
      <c r="N512" s="63">
        <f>IFERROR(VLOOKUP($B512,'TB YTD'!$4:$1048576,MATCH('List of Ledgers '!N$4,'TB YTD'!$4:$4,0),0),0)</f>
        <v>0</v>
      </c>
      <c r="O512" s="63">
        <f>IFERROR(VLOOKUP($B512,'TB YTD'!$4:$1048576,MATCH('List of Ledgers '!O$4,'TB YTD'!$4:$4,0),0),0)</f>
        <v>0</v>
      </c>
      <c r="P512" s="63">
        <f>IFERROR(VLOOKUP($B512,'TB YTD'!$4:$1048576,MATCH('List of Ledgers '!P$4,'TB YTD'!$4:$4,0),0),0)</f>
        <v>23630.29</v>
      </c>
      <c r="Q512" s="175">
        <f>IFERROR(VLOOKUP($B512,'TB YTD'!$4:$1048576,MATCH('List of Ledgers '!Q$4,'TB YTD'!$4:$4,0),0),0)</f>
        <v>-23630.29</v>
      </c>
      <c r="R512" s="63"/>
    </row>
    <row r="513" spans="1:18" hidden="1" x14ac:dyDescent="0.25">
      <c r="A513" s="106">
        <v>498</v>
      </c>
      <c r="B513" s="8" t="s">
        <v>720</v>
      </c>
      <c r="C513" s="8" t="s">
        <v>425</v>
      </c>
      <c r="D513" s="17"/>
      <c r="E513" s="17"/>
      <c r="G513" s="17"/>
      <c r="H513" s="62"/>
      <c r="I513" s="37">
        <f>IFERROR(VLOOKUP(B513,'TB '!$A:$G,7,),0)</f>
        <v>-54000</v>
      </c>
      <c r="J513" s="37">
        <f>IFERROR(VLOOKUP($B513,'TB '!$4:$1048576,MATCH('List of Ledgers '!J$4,'TB '!$4:$4,0),0),0)</f>
        <v>0</v>
      </c>
      <c r="K513" s="37">
        <f>IFERROR(VLOOKUP($B513,'TB '!$4:$1048576,MATCH('List of Ledgers '!K$4,'TB '!$4:$4,0),0),0)</f>
        <v>0</v>
      </c>
      <c r="L513" s="37">
        <f>IFERROR(VLOOKUP(B513,'TB '!$A:$J,10,),0)</f>
        <v>-54000</v>
      </c>
      <c r="M513" s="71"/>
      <c r="N513" s="63">
        <f>IFERROR(VLOOKUP($B513,'TB YTD'!$4:$1048576,MATCH('List of Ledgers '!N$4,'TB YTD'!$4:$4,0),0),0)</f>
        <v>-54000</v>
      </c>
      <c r="O513" s="63">
        <f>IFERROR(VLOOKUP($B513,'TB YTD'!$4:$1048576,MATCH('List of Ledgers '!O$4,'TB YTD'!$4:$4,0),0),0)</f>
        <v>0</v>
      </c>
      <c r="P513" s="63">
        <f>IFERROR(VLOOKUP($B513,'TB YTD'!$4:$1048576,MATCH('List of Ledgers '!P$4,'TB YTD'!$4:$4,0),0),0)</f>
        <v>0</v>
      </c>
      <c r="Q513" s="63">
        <f>IFERROR(VLOOKUP($B513,'TB YTD'!$4:$1048576,MATCH('List of Ledgers '!Q$4,'TB YTD'!$4:$4,0),0),0)</f>
        <v>-54000</v>
      </c>
      <c r="R513" s="63"/>
    </row>
    <row r="514" spans="1:18" hidden="1" x14ac:dyDescent="0.25">
      <c r="A514" s="106">
        <v>499</v>
      </c>
      <c r="B514" s="8" t="s">
        <v>721</v>
      </c>
      <c r="C514" s="8" t="s">
        <v>722</v>
      </c>
      <c r="D514" s="17"/>
      <c r="E514" s="17"/>
      <c r="G514" s="17"/>
      <c r="H514" s="62"/>
      <c r="I514" s="37">
        <f>IFERROR(VLOOKUP(B514,'TB '!$A:$G,7,),0)</f>
        <v>-125000</v>
      </c>
      <c r="J514" s="37">
        <f>IFERROR(VLOOKUP($B514,'TB '!$4:$1048576,MATCH('List of Ledgers '!J$4,'TB '!$4:$4,0),0),0)</f>
        <v>0</v>
      </c>
      <c r="K514" s="37">
        <f>IFERROR(VLOOKUP($B514,'TB '!$4:$1048576,MATCH('List of Ledgers '!K$4,'TB '!$4:$4,0),0),0)</f>
        <v>0</v>
      </c>
      <c r="L514" s="37">
        <f>IFERROR(VLOOKUP(B514,'TB '!$A:$J,10,),0)</f>
        <v>-125000</v>
      </c>
      <c r="M514" s="71"/>
      <c r="N514" s="63">
        <f>IFERROR(VLOOKUP($B514,'TB YTD'!$4:$1048576,MATCH('List of Ledgers '!N$4,'TB YTD'!$4:$4,0),0),0)</f>
        <v>-125000</v>
      </c>
      <c r="O514" s="63">
        <f>IFERROR(VLOOKUP($B514,'TB YTD'!$4:$1048576,MATCH('List of Ledgers '!O$4,'TB YTD'!$4:$4,0),0),0)</f>
        <v>0</v>
      </c>
      <c r="P514" s="63">
        <f>IFERROR(VLOOKUP($B514,'TB YTD'!$4:$1048576,MATCH('List of Ledgers '!P$4,'TB YTD'!$4:$4,0),0),0)</f>
        <v>0</v>
      </c>
      <c r="Q514" s="63">
        <f>IFERROR(VLOOKUP($B514,'TB YTD'!$4:$1048576,MATCH('List of Ledgers '!Q$4,'TB YTD'!$4:$4,0),0),0)</f>
        <v>-125000</v>
      </c>
      <c r="R514" s="63"/>
    </row>
    <row r="515" spans="1:18" hidden="1" x14ac:dyDescent="0.25">
      <c r="A515" s="106">
        <v>500</v>
      </c>
      <c r="B515" s="8" t="s">
        <v>723</v>
      </c>
      <c r="C515" s="8" t="s">
        <v>722</v>
      </c>
      <c r="D515" s="17"/>
      <c r="E515" s="17"/>
      <c r="G515" s="17"/>
      <c r="H515" s="62"/>
      <c r="I515" s="37">
        <f>IFERROR(VLOOKUP(B515,'TB '!$A:$G,7,),0)</f>
        <v>-450000</v>
      </c>
      <c r="J515" s="37">
        <f>IFERROR(VLOOKUP($B515,'TB '!$4:$1048576,MATCH('List of Ledgers '!J$4,'TB '!$4:$4,0),0),0)</f>
        <v>0</v>
      </c>
      <c r="K515" s="37">
        <f>IFERROR(VLOOKUP($B515,'TB '!$4:$1048576,MATCH('List of Ledgers '!K$4,'TB '!$4:$4,0),0),0)</f>
        <v>0</v>
      </c>
      <c r="L515" s="37">
        <f>IFERROR(VLOOKUP(B515,'TB '!$A:$J,10,),0)</f>
        <v>-450000</v>
      </c>
      <c r="M515" s="71"/>
      <c r="N515" s="63">
        <f>IFERROR(VLOOKUP($B515,'TB YTD'!$4:$1048576,MATCH('List of Ledgers '!N$4,'TB YTD'!$4:$4,0),0),0)</f>
        <v>-450000</v>
      </c>
      <c r="O515" s="63">
        <f>IFERROR(VLOOKUP($B515,'TB YTD'!$4:$1048576,MATCH('List of Ledgers '!O$4,'TB YTD'!$4:$4,0),0),0)</f>
        <v>0</v>
      </c>
      <c r="P515" s="63">
        <f>IFERROR(VLOOKUP($B515,'TB YTD'!$4:$1048576,MATCH('List of Ledgers '!P$4,'TB YTD'!$4:$4,0),0),0)</f>
        <v>0</v>
      </c>
      <c r="Q515" s="63">
        <f>IFERROR(VLOOKUP($B515,'TB YTD'!$4:$1048576,MATCH('List of Ledgers '!Q$4,'TB YTD'!$4:$4,0),0),0)</f>
        <v>-450000</v>
      </c>
      <c r="R515" s="63"/>
    </row>
    <row r="516" spans="1:18" hidden="1" x14ac:dyDescent="0.25">
      <c r="A516" s="106">
        <v>501</v>
      </c>
      <c r="B516" s="8" t="s">
        <v>724</v>
      </c>
      <c r="C516" s="8" t="s">
        <v>722</v>
      </c>
      <c r="D516" s="17"/>
      <c r="E516" s="17"/>
      <c r="G516" s="17"/>
      <c r="H516" s="62"/>
      <c r="I516" s="37">
        <f>IFERROR(VLOOKUP(B516,'TB '!$A:$G,7,),0)</f>
        <v>-200000</v>
      </c>
      <c r="J516" s="37">
        <f>IFERROR(VLOOKUP($B516,'TB '!$4:$1048576,MATCH('List of Ledgers '!J$4,'TB '!$4:$4,0),0),0)</f>
        <v>0</v>
      </c>
      <c r="K516" s="37">
        <f>IFERROR(VLOOKUP($B516,'TB '!$4:$1048576,MATCH('List of Ledgers '!K$4,'TB '!$4:$4,0),0),0)</f>
        <v>0</v>
      </c>
      <c r="L516" s="37">
        <f>IFERROR(VLOOKUP(B516,'TB '!$A:$J,10,),0)</f>
        <v>-200000</v>
      </c>
      <c r="M516" s="71"/>
      <c r="N516" s="63">
        <f>IFERROR(VLOOKUP($B516,'TB YTD'!$4:$1048576,MATCH('List of Ledgers '!N$4,'TB YTD'!$4:$4,0),0),0)</f>
        <v>-200000</v>
      </c>
      <c r="O516" s="63">
        <f>IFERROR(VLOOKUP($B516,'TB YTD'!$4:$1048576,MATCH('List of Ledgers '!O$4,'TB YTD'!$4:$4,0),0),0)</f>
        <v>0</v>
      </c>
      <c r="P516" s="63">
        <f>IFERROR(VLOOKUP($B516,'TB YTD'!$4:$1048576,MATCH('List of Ledgers '!P$4,'TB YTD'!$4:$4,0),0),0)</f>
        <v>0</v>
      </c>
      <c r="Q516" s="63">
        <f>IFERROR(VLOOKUP($B516,'TB YTD'!$4:$1048576,MATCH('List of Ledgers '!Q$4,'TB YTD'!$4:$4,0),0),0)</f>
        <v>-200000</v>
      </c>
      <c r="R516" s="63"/>
    </row>
    <row r="517" spans="1:18" hidden="1" x14ac:dyDescent="0.25">
      <c r="A517" s="106">
        <v>502</v>
      </c>
      <c r="B517" s="8" t="s">
        <v>725</v>
      </c>
      <c r="C517" s="8" t="s">
        <v>576</v>
      </c>
      <c r="D517" s="17" t="s">
        <v>151</v>
      </c>
      <c r="E517" s="17" t="s">
        <v>362</v>
      </c>
      <c r="F517" s="12" t="s">
        <v>93</v>
      </c>
      <c r="G517" s="17" t="s">
        <v>2</v>
      </c>
      <c r="H517" s="62"/>
      <c r="I517" s="37">
        <f>IFERROR(VLOOKUP(B517,'TB '!$A:$G,7,),0)</f>
        <v>0</v>
      </c>
      <c r="J517" s="37">
        <f>IFERROR(VLOOKUP($B517,'TB '!$4:$1048576,MATCH('List of Ledgers '!J$4,'TB '!$4:$4,0),0),0)</f>
        <v>0</v>
      </c>
      <c r="K517" s="37">
        <f>IFERROR(VLOOKUP($B517,'TB '!$4:$1048576,MATCH('List of Ledgers '!K$4,'TB '!$4:$4,0),0),0)</f>
        <v>0</v>
      </c>
      <c r="L517" s="37">
        <f>IFERROR(VLOOKUP(B517,'TB '!$A:$J,10,),0)</f>
        <v>0</v>
      </c>
      <c r="M517" s="71"/>
      <c r="N517" s="63">
        <f>IFERROR(VLOOKUP($B517,'TB YTD'!$4:$1048576,MATCH('List of Ledgers '!N$4,'TB YTD'!$4:$4,0),0),0)</f>
        <v>0</v>
      </c>
      <c r="O517" s="63">
        <f>IFERROR(VLOOKUP($B517,'TB YTD'!$4:$1048576,MATCH('List of Ledgers '!O$4,'TB YTD'!$4:$4,0),0),0)</f>
        <v>326142</v>
      </c>
      <c r="P517" s="63">
        <f>IFERROR(VLOOKUP($B517,'TB YTD'!$4:$1048576,MATCH('List of Ledgers '!P$4,'TB YTD'!$4:$4,0),0),0)</f>
        <v>0</v>
      </c>
      <c r="Q517" s="63">
        <f>IFERROR(VLOOKUP($B517,'TB YTD'!$4:$1048576,MATCH('List of Ledgers '!Q$4,'TB YTD'!$4:$4,0),0),0)</f>
        <v>326142</v>
      </c>
      <c r="R517" s="63"/>
    </row>
    <row r="518" spans="1:18" hidden="1" x14ac:dyDescent="0.25">
      <c r="A518" s="106">
        <v>503</v>
      </c>
      <c r="B518" s="8" t="s">
        <v>726</v>
      </c>
      <c r="C518" s="8" t="s">
        <v>578</v>
      </c>
      <c r="D518" s="17" t="s">
        <v>151</v>
      </c>
      <c r="E518" s="17" t="s">
        <v>362</v>
      </c>
      <c r="F518" s="12" t="s">
        <v>93</v>
      </c>
      <c r="G518" s="17" t="s">
        <v>3</v>
      </c>
      <c r="H518" s="62"/>
      <c r="I518" s="37">
        <f>IFERROR(VLOOKUP(B518,'TB '!$A:$G,7,),0)</f>
        <v>0</v>
      </c>
      <c r="J518" s="37">
        <f>IFERROR(VLOOKUP($B518,'TB '!$4:$1048576,MATCH('List of Ledgers '!J$4,'TB '!$4:$4,0),0),0)</f>
        <v>28434.720000000001</v>
      </c>
      <c r="K518" s="37">
        <f>IFERROR(VLOOKUP($B518,'TB '!$4:$1048576,MATCH('List of Ledgers '!K$4,'TB '!$4:$4,0),0),0)</f>
        <v>0</v>
      </c>
      <c r="L518" s="37">
        <f>IFERROR(VLOOKUP(B518,'TB '!$A:$J,10,),0)</f>
        <v>28434.720000000001</v>
      </c>
      <c r="M518" s="71"/>
      <c r="N518" s="63">
        <f>IFERROR(VLOOKUP($B518,'TB YTD'!$4:$1048576,MATCH('List of Ledgers '!N$4,'TB YTD'!$4:$4,0),0),0)</f>
        <v>0</v>
      </c>
      <c r="O518" s="63">
        <f>IFERROR(VLOOKUP($B518,'TB YTD'!$4:$1048576,MATCH('List of Ledgers '!O$4,'TB YTD'!$4:$4,0),0),0)</f>
        <v>248651.44</v>
      </c>
      <c r="P518" s="63">
        <f>IFERROR(VLOOKUP($B518,'TB YTD'!$4:$1048576,MATCH('List of Ledgers '!P$4,'TB YTD'!$4:$4,0),0),0)</f>
        <v>2153.92</v>
      </c>
      <c r="Q518" s="63">
        <f>IFERROR(VLOOKUP($B518,'TB YTD'!$4:$1048576,MATCH('List of Ledgers '!Q$4,'TB YTD'!$4:$4,0),0),0)</f>
        <v>246497.52</v>
      </c>
      <c r="R518" s="63"/>
    </row>
    <row r="519" spans="1:18" hidden="1" x14ac:dyDescent="0.25">
      <c r="A519" s="106">
        <v>504</v>
      </c>
      <c r="B519" s="8" t="s">
        <v>727</v>
      </c>
      <c r="C519" s="8" t="s">
        <v>727</v>
      </c>
      <c r="D519" s="17" t="s">
        <v>151</v>
      </c>
      <c r="E519" s="17" t="s">
        <v>362</v>
      </c>
      <c r="F519" s="12" t="s">
        <v>93</v>
      </c>
      <c r="G519" s="17" t="s">
        <v>4</v>
      </c>
      <c r="H519" s="62"/>
      <c r="I519" s="37">
        <f>IFERROR(VLOOKUP(B519,'TB '!$A:$G,7,),0)</f>
        <v>0</v>
      </c>
      <c r="J519" s="37">
        <f>IFERROR(VLOOKUP($B519,'TB '!$4:$1048576,MATCH('List of Ledgers '!J$4,'TB '!$4:$4,0),0),0)</f>
        <v>0</v>
      </c>
      <c r="K519" s="37">
        <f>IFERROR(VLOOKUP($B519,'TB '!$4:$1048576,MATCH('List of Ledgers '!K$4,'TB '!$4:$4,0),0),0)</f>
        <v>0</v>
      </c>
      <c r="L519" s="37">
        <f>IFERROR(VLOOKUP(B519,'TB '!$A:$J,10,),0)</f>
        <v>0</v>
      </c>
      <c r="M519" s="71"/>
      <c r="N519" s="63">
        <f>IFERROR(VLOOKUP($B519,'TB YTD'!$4:$1048576,MATCH('List of Ledgers '!N$4,'TB YTD'!$4:$4,0),0),0)</f>
        <v>0</v>
      </c>
      <c r="O519" s="63">
        <f>IFERROR(VLOOKUP($B519,'TB YTD'!$4:$1048576,MATCH('List of Ledgers '!O$4,'TB YTD'!$4:$4,0),0),0)</f>
        <v>0</v>
      </c>
      <c r="P519" s="63">
        <f>IFERROR(VLOOKUP($B519,'TB YTD'!$4:$1048576,MATCH('List of Ledgers '!P$4,'TB YTD'!$4:$4,0),0),0)</f>
        <v>0</v>
      </c>
      <c r="Q519" s="63">
        <f>IFERROR(VLOOKUP($B519,'TB YTD'!$4:$1048576,MATCH('List of Ledgers '!Q$4,'TB YTD'!$4:$4,0),0),0)</f>
        <v>0</v>
      </c>
      <c r="R519" s="63"/>
    </row>
    <row r="520" spans="1:18" hidden="1" x14ac:dyDescent="0.25">
      <c r="A520" s="106">
        <v>505</v>
      </c>
      <c r="B520" s="8" t="s">
        <v>728</v>
      </c>
      <c r="C520" s="8" t="s">
        <v>729</v>
      </c>
      <c r="D520" s="17" t="s">
        <v>151</v>
      </c>
      <c r="E520" s="17" t="s">
        <v>362</v>
      </c>
      <c r="F520" s="12" t="s">
        <v>93</v>
      </c>
      <c r="G520" s="17" t="s">
        <v>7</v>
      </c>
      <c r="H520" s="62"/>
      <c r="I520" s="37">
        <f>IFERROR(VLOOKUP(B520,'TB '!$A:$G,7,),0)</f>
        <v>0</v>
      </c>
      <c r="J520" s="37">
        <f>IFERROR(VLOOKUP($B520,'TB '!$4:$1048576,MATCH('List of Ledgers '!J$4,'TB '!$4:$4,0),0),0)</f>
        <v>0</v>
      </c>
      <c r="K520" s="37">
        <f>IFERROR(VLOOKUP($B520,'TB '!$4:$1048576,MATCH('List of Ledgers '!K$4,'TB '!$4:$4,0),0),0)</f>
        <v>0</v>
      </c>
      <c r="L520" s="37">
        <f>IFERROR(VLOOKUP(B520,'TB '!$A:$J,10,),0)</f>
        <v>0</v>
      </c>
      <c r="M520" s="71"/>
      <c r="N520" s="63">
        <f>IFERROR(VLOOKUP($B520,'TB YTD'!$4:$1048576,MATCH('List of Ledgers '!N$4,'TB YTD'!$4:$4,0),0),0)</f>
        <v>0</v>
      </c>
      <c r="O520" s="63">
        <f>IFERROR(VLOOKUP($B520,'TB YTD'!$4:$1048576,MATCH('List of Ledgers '!O$4,'TB YTD'!$4:$4,0),0),0)</f>
        <v>1030</v>
      </c>
      <c r="P520" s="63">
        <f>IFERROR(VLOOKUP($B520,'TB YTD'!$4:$1048576,MATCH('List of Ledgers '!P$4,'TB YTD'!$4:$4,0),0),0)</f>
        <v>0</v>
      </c>
      <c r="Q520" s="63">
        <f>IFERROR(VLOOKUP($B520,'TB YTD'!$4:$1048576,MATCH('List of Ledgers '!Q$4,'TB YTD'!$4:$4,0),0),0)</f>
        <v>1030</v>
      </c>
      <c r="R520" s="63"/>
    </row>
    <row r="521" spans="1:18" hidden="1" x14ac:dyDescent="0.25">
      <c r="A521" s="106">
        <v>506</v>
      </c>
      <c r="B521" s="2" t="s">
        <v>730</v>
      </c>
      <c r="C521" s="2" t="s">
        <v>730</v>
      </c>
      <c r="D521" s="17" t="s">
        <v>151</v>
      </c>
      <c r="E521" s="17" t="s">
        <v>362</v>
      </c>
      <c r="F521" s="12" t="s">
        <v>93</v>
      </c>
      <c r="G521" s="12" t="s">
        <v>4</v>
      </c>
      <c r="I521" s="37">
        <f>IFERROR(VLOOKUP(B521,'TB '!$A:$G,7,),0)</f>
        <v>0</v>
      </c>
      <c r="J521" s="37">
        <f>IFERROR(VLOOKUP($B521,'TB '!$4:$1048576,MATCH('List of Ledgers '!J$4,'TB '!$4:$4,0),0),0)</f>
        <v>0</v>
      </c>
      <c r="K521" s="37">
        <f>IFERROR(VLOOKUP($B521,'TB '!$4:$1048576,MATCH('List of Ledgers '!K$4,'TB '!$4:$4,0),0),0)</f>
        <v>0</v>
      </c>
      <c r="L521" s="37">
        <f>IFERROR(VLOOKUP(B521,'TB '!$A:$J,10,),0)</f>
        <v>0</v>
      </c>
      <c r="M521" s="71"/>
      <c r="N521" s="63">
        <f>IFERROR(VLOOKUP($B521,'TB YTD'!$4:$1048576,MATCH('List of Ledgers '!N$4,'TB YTD'!$4:$4,0),0),0)</f>
        <v>0</v>
      </c>
      <c r="O521" s="63">
        <f>IFERROR(VLOOKUP($B521,'TB YTD'!$4:$1048576,MATCH('List of Ledgers '!O$4,'TB YTD'!$4:$4,0),0),0)</f>
        <v>93404194.349999994</v>
      </c>
      <c r="P521" s="63">
        <f>IFERROR(VLOOKUP($B521,'TB YTD'!$4:$1048576,MATCH('List of Ledgers '!P$4,'TB YTD'!$4:$4,0),0),0)</f>
        <v>5868644.0700000003</v>
      </c>
      <c r="Q521" s="63">
        <f>IFERROR(VLOOKUP($B521,'TB YTD'!$4:$1048576,MATCH('List of Ledgers '!Q$4,'TB YTD'!$4:$4,0),0),0)</f>
        <v>87535550.280000001</v>
      </c>
    </row>
    <row r="522" spans="1:18" hidden="1" x14ac:dyDescent="0.25">
      <c r="A522" s="106">
        <v>507</v>
      </c>
      <c r="B522" s="8" t="s">
        <v>731</v>
      </c>
      <c r="C522" s="8" t="s">
        <v>729</v>
      </c>
      <c r="D522" s="17" t="s">
        <v>151</v>
      </c>
      <c r="E522" s="17" t="s">
        <v>362</v>
      </c>
      <c r="F522" s="12" t="s">
        <v>93</v>
      </c>
      <c r="G522" s="17" t="s">
        <v>7</v>
      </c>
      <c r="H522" s="62"/>
      <c r="I522" s="37">
        <f>IFERROR(VLOOKUP(B522,'TB '!$A:$G,7,),0)</f>
        <v>0</v>
      </c>
      <c r="J522" s="37">
        <f>IFERROR(VLOOKUP($B522,'TB '!$4:$1048576,MATCH('List of Ledgers '!J$4,'TB '!$4:$4,0),0),0)</f>
        <v>16540</v>
      </c>
      <c r="K522" s="37">
        <f>IFERROR(VLOOKUP($B522,'TB '!$4:$1048576,MATCH('List of Ledgers '!K$4,'TB '!$4:$4,0),0),0)</f>
        <v>0</v>
      </c>
      <c r="L522" s="37">
        <f>IFERROR(VLOOKUP(B522,'TB '!$A:$J,10,),0)</f>
        <v>16540</v>
      </c>
      <c r="M522" s="71"/>
      <c r="N522" s="63">
        <f>IFERROR(VLOOKUP($B522,'TB YTD'!$4:$1048576,MATCH('List of Ledgers '!N$4,'TB YTD'!$4:$4,0),0),0)</f>
        <v>0</v>
      </c>
      <c r="O522" s="63">
        <f>IFERROR(VLOOKUP($B522,'TB YTD'!$4:$1048576,MATCH('List of Ledgers '!O$4,'TB YTD'!$4:$4,0),0),0)</f>
        <v>16540</v>
      </c>
      <c r="P522" s="63">
        <f>IFERROR(VLOOKUP($B522,'TB YTD'!$4:$1048576,MATCH('List of Ledgers '!P$4,'TB YTD'!$4:$4,0),0),0)</f>
        <v>0</v>
      </c>
      <c r="Q522" s="63">
        <f>IFERROR(VLOOKUP($B522,'TB YTD'!$4:$1048576,MATCH('List of Ledgers '!Q$4,'TB YTD'!$4:$4,0),0),0)</f>
        <v>16540</v>
      </c>
      <c r="R522" s="63"/>
    </row>
    <row r="523" spans="1:18" hidden="1" x14ac:dyDescent="0.25">
      <c r="A523" s="106">
        <v>508</v>
      </c>
      <c r="B523" s="2" t="s">
        <v>732</v>
      </c>
      <c r="C523" s="2" t="s">
        <v>733</v>
      </c>
      <c r="D523" s="17" t="s">
        <v>151</v>
      </c>
      <c r="E523" s="17" t="s">
        <v>362</v>
      </c>
      <c r="F523" s="12" t="s">
        <v>93</v>
      </c>
      <c r="G523" s="17" t="s">
        <v>9</v>
      </c>
      <c r="I523" s="37">
        <f>IFERROR(VLOOKUP(B523,'TB '!$A:$G,7,),0)</f>
        <v>0</v>
      </c>
      <c r="J523" s="37">
        <f>IFERROR(VLOOKUP($B523,'TB '!$4:$1048576,MATCH('List of Ledgers '!J$4,'TB '!$4:$4,0),0),0)</f>
        <v>48357904.5</v>
      </c>
      <c r="K523" s="37">
        <f>IFERROR(VLOOKUP($B523,'TB '!$4:$1048576,MATCH('List of Ledgers '!K$4,'TB '!$4:$4,0),0),0)</f>
        <v>161460</v>
      </c>
      <c r="L523" s="37">
        <f>IFERROR(VLOOKUP(B523,'TB '!$A:$J,10,),0)</f>
        <v>48196444.5</v>
      </c>
      <c r="M523" s="71"/>
      <c r="N523" s="63">
        <f>IFERROR(VLOOKUP($B523,'TB YTD'!$4:$1048576,MATCH('List of Ledgers '!N$4,'TB YTD'!$4:$4,0),0),0)</f>
        <v>0</v>
      </c>
      <c r="O523" s="63">
        <f>IFERROR(VLOOKUP($B523,'TB YTD'!$4:$1048576,MATCH('List of Ledgers '!O$4,'TB YTD'!$4:$4,0),0),0)</f>
        <v>117082059.33</v>
      </c>
      <c r="P523" s="63">
        <f>IFERROR(VLOOKUP($B523,'TB YTD'!$4:$1048576,MATCH('List of Ledgers '!P$4,'TB YTD'!$4:$4,0),0),0)</f>
        <v>162400</v>
      </c>
      <c r="Q523" s="63">
        <f>IFERROR(VLOOKUP($B523,'TB YTD'!$4:$1048576,MATCH('List of Ledgers '!Q$4,'TB YTD'!$4:$4,0),0),0)</f>
        <v>116919659.33</v>
      </c>
    </row>
    <row r="524" spans="1:18" hidden="1" x14ac:dyDescent="0.25">
      <c r="A524" s="106">
        <v>509</v>
      </c>
      <c r="B524" s="8" t="s">
        <v>734</v>
      </c>
      <c r="C524" s="8" t="s">
        <v>140</v>
      </c>
      <c r="D524" s="17" t="s">
        <v>128</v>
      </c>
      <c r="E524" s="17" t="s">
        <v>131</v>
      </c>
      <c r="G524" s="17" t="s">
        <v>7</v>
      </c>
      <c r="H524" s="62"/>
      <c r="I524" s="37">
        <f>IFERROR(VLOOKUP(B524,'TB '!$A:$G,7,),0)</f>
        <v>0</v>
      </c>
      <c r="J524" s="37">
        <f>IFERROR(VLOOKUP($B524,'TB '!$4:$1048576,MATCH('List of Ledgers '!J$4,'TB '!$4:$4,0),0),0)</f>
        <v>0</v>
      </c>
      <c r="K524" s="37">
        <f>IFERROR(VLOOKUP($B524,'TB '!$4:$1048576,MATCH('List of Ledgers '!K$4,'TB '!$4:$4,0),0),0)</f>
        <v>0</v>
      </c>
      <c r="L524" s="37">
        <f>IFERROR(VLOOKUP(B524,'TB '!$A:$J,10,),0)</f>
        <v>0</v>
      </c>
      <c r="M524" s="71"/>
      <c r="N524" s="63">
        <f>IFERROR(VLOOKUP($B524,'TB YTD'!$4:$1048576,MATCH('List of Ledgers '!N$4,'TB YTD'!$4:$4,0),0),0)</f>
        <v>0</v>
      </c>
      <c r="O524" s="63">
        <f>IFERROR(VLOOKUP($B524,'TB YTD'!$4:$1048576,MATCH('List of Ledgers '!O$4,'TB YTD'!$4:$4,0),0),0)</f>
        <v>38232</v>
      </c>
      <c r="P524" s="63">
        <f>IFERROR(VLOOKUP($B524,'TB YTD'!$4:$1048576,MATCH('List of Ledgers '!P$4,'TB YTD'!$4:$4,0),0),0)</f>
        <v>38232</v>
      </c>
      <c r="Q524" s="63">
        <f>IFERROR(VLOOKUP($B524,'TB YTD'!$4:$1048576,MATCH('List of Ledgers '!Q$4,'TB YTD'!$4:$4,0),0),0)</f>
        <v>0</v>
      </c>
      <c r="R524" s="63"/>
    </row>
    <row r="525" spans="1:18" hidden="1" x14ac:dyDescent="0.25">
      <c r="A525" s="106">
        <v>510</v>
      </c>
      <c r="B525" s="8" t="s">
        <v>735</v>
      </c>
      <c r="C525" s="8" t="s">
        <v>140</v>
      </c>
      <c r="D525" s="17" t="s">
        <v>128</v>
      </c>
      <c r="E525" s="17" t="s">
        <v>131</v>
      </c>
      <c r="G525" s="17" t="s">
        <v>7</v>
      </c>
      <c r="H525" s="62"/>
      <c r="I525" s="37">
        <f>IFERROR(VLOOKUP(B525,'TB '!$A:$G,7,),0)</f>
        <v>0</v>
      </c>
      <c r="J525" s="37">
        <f>IFERROR(VLOOKUP($B525,'TB '!$4:$1048576,MATCH('List of Ledgers '!J$4,'TB '!$4:$4,0),0),0)</f>
        <v>0</v>
      </c>
      <c r="K525" s="37">
        <f>IFERROR(VLOOKUP($B525,'TB '!$4:$1048576,MATCH('List of Ledgers '!K$4,'TB '!$4:$4,0),0),0)</f>
        <v>0</v>
      </c>
      <c r="L525" s="37">
        <f>IFERROR(VLOOKUP(B525,'TB '!$A:$J,10,),0)</f>
        <v>0</v>
      </c>
      <c r="M525" s="71"/>
      <c r="N525" s="63">
        <f>IFERROR(VLOOKUP($B525,'TB YTD'!$4:$1048576,MATCH('List of Ledgers '!N$4,'TB YTD'!$4:$4,0),0),0)</f>
        <v>0</v>
      </c>
      <c r="O525" s="63">
        <f>IFERROR(VLOOKUP($B525,'TB YTD'!$4:$1048576,MATCH('List of Ledgers '!O$4,'TB YTD'!$4:$4,0),0),0)</f>
        <v>0</v>
      </c>
      <c r="P525" s="63">
        <f>IFERROR(VLOOKUP($B525,'TB YTD'!$4:$1048576,MATCH('List of Ledgers '!P$4,'TB YTD'!$4:$4,0),0),0)</f>
        <v>0</v>
      </c>
      <c r="Q525" s="63">
        <f>IFERROR(VLOOKUP($B525,'TB YTD'!$4:$1048576,MATCH('List of Ledgers '!Q$4,'TB YTD'!$4:$4,0),0),0)</f>
        <v>0</v>
      </c>
      <c r="R525" s="63"/>
    </row>
    <row r="526" spans="1:18" hidden="1" x14ac:dyDescent="0.25">
      <c r="A526" s="106">
        <v>511</v>
      </c>
      <c r="B526" s="8" t="s">
        <v>736</v>
      </c>
      <c r="C526" s="8" t="s">
        <v>140</v>
      </c>
      <c r="D526" s="17" t="s">
        <v>128</v>
      </c>
      <c r="E526" s="17" t="s">
        <v>131</v>
      </c>
      <c r="G526" s="17" t="s">
        <v>7</v>
      </c>
      <c r="H526" s="62"/>
      <c r="I526" s="37">
        <f>IFERROR(VLOOKUP(B526,'TB '!$A:$G,7,),0)</f>
        <v>0</v>
      </c>
      <c r="J526" s="37">
        <f>IFERROR(VLOOKUP($B526,'TB '!$4:$1048576,MATCH('List of Ledgers '!J$4,'TB '!$4:$4,0),0),0)</f>
        <v>0</v>
      </c>
      <c r="K526" s="37">
        <f>IFERROR(VLOOKUP($B526,'TB '!$4:$1048576,MATCH('List of Ledgers '!K$4,'TB '!$4:$4,0),0),0)</f>
        <v>0</v>
      </c>
      <c r="L526" s="37">
        <f>IFERROR(VLOOKUP(B526,'TB '!$A:$J,10,),0)</f>
        <v>0</v>
      </c>
      <c r="M526" s="71"/>
      <c r="N526" s="63">
        <f>IFERROR(VLOOKUP($B526,'TB YTD'!$4:$1048576,MATCH('List of Ledgers '!N$4,'TB YTD'!$4:$4,0),0),0)</f>
        <v>0</v>
      </c>
      <c r="O526" s="63">
        <f>IFERROR(VLOOKUP($B526,'TB YTD'!$4:$1048576,MATCH('List of Ledgers '!O$4,'TB YTD'!$4:$4,0),0),0)</f>
        <v>0</v>
      </c>
      <c r="P526" s="63">
        <f>IFERROR(VLOOKUP($B526,'TB YTD'!$4:$1048576,MATCH('List of Ledgers '!P$4,'TB YTD'!$4:$4,0),0),0)</f>
        <v>0</v>
      </c>
      <c r="Q526" s="63">
        <f>IFERROR(VLOOKUP($B526,'TB YTD'!$4:$1048576,MATCH('List of Ledgers '!Q$4,'TB YTD'!$4:$4,0),0),0)</f>
        <v>0</v>
      </c>
      <c r="R526" s="63"/>
    </row>
    <row r="527" spans="1:18" hidden="1" x14ac:dyDescent="0.25">
      <c r="A527" s="106">
        <v>512</v>
      </c>
      <c r="B527" s="8" t="s">
        <v>737</v>
      </c>
      <c r="C527" s="8" t="s">
        <v>244</v>
      </c>
      <c r="D527" s="106" t="s">
        <v>128</v>
      </c>
      <c r="E527" s="17" t="s">
        <v>134</v>
      </c>
      <c r="G527" s="17" t="s">
        <v>3</v>
      </c>
      <c r="H527" s="62"/>
      <c r="I527" s="37">
        <f>IFERROR(VLOOKUP(B527,'TB '!$A:$G,7,),0)</f>
        <v>0</v>
      </c>
      <c r="J527" s="37">
        <f>IFERROR(VLOOKUP($B527,'TB '!$4:$1048576,MATCH('List of Ledgers '!J$4,'TB '!$4:$4,0),0),0)</f>
        <v>0</v>
      </c>
      <c r="K527" s="37">
        <f>IFERROR(VLOOKUP($B527,'TB '!$4:$1048576,MATCH('List of Ledgers '!K$4,'TB '!$4:$4,0),0),0)</f>
        <v>0</v>
      </c>
      <c r="L527" s="37">
        <f>IFERROR(VLOOKUP(B527,'TB '!$A:$J,10,),0)</f>
        <v>0</v>
      </c>
      <c r="M527" s="71"/>
      <c r="N527" s="63">
        <f>IFERROR(VLOOKUP($B527,'TB YTD'!$4:$1048576,MATCH('List of Ledgers '!N$4,'TB YTD'!$4:$4,0),0),0)</f>
        <v>0</v>
      </c>
      <c r="O527" s="63">
        <f>IFERROR(VLOOKUP($B527,'TB YTD'!$4:$1048576,MATCH('List of Ledgers '!O$4,'TB YTD'!$4:$4,0),0),0)</f>
        <v>0</v>
      </c>
      <c r="P527" s="63">
        <f>IFERROR(VLOOKUP($B527,'TB YTD'!$4:$1048576,MATCH('List of Ledgers '!P$4,'TB YTD'!$4:$4,0),0),0)</f>
        <v>0</v>
      </c>
      <c r="Q527" s="63">
        <f>IFERROR(VLOOKUP($B527,'TB YTD'!$4:$1048576,MATCH('List of Ledgers '!Q$4,'TB YTD'!$4:$4,0),0),0)</f>
        <v>0</v>
      </c>
      <c r="R527" s="63"/>
    </row>
    <row r="528" spans="1:18" hidden="1" x14ac:dyDescent="0.25">
      <c r="A528" s="106">
        <v>513</v>
      </c>
      <c r="B528" s="8" t="s">
        <v>738</v>
      </c>
      <c r="C528" s="8" t="s">
        <v>130</v>
      </c>
      <c r="D528" s="17" t="s">
        <v>128</v>
      </c>
      <c r="E528" s="17" t="s">
        <v>131</v>
      </c>
      <c r="G528" s="17" t="s">
        <v>7</v>
      </c>
      <c r="H528" s="62"/>
      <c r="I528" s="37">
        <f>IFERROR(VLOOKUP(B528,'TB '!$A:$G,7,),0)</f>
        <v>0</v>
      </c>
      <c r="J528" s="37">
        <f>IFERROR(VLOOKUP($B528,'TB '!$4:$1048576,MATCH('List of Ledgers '!J$4,'TB '!$4:$4,0),0),0)</f>
        <v>0</v>
      </c>
      <c r="K528" s="37">
        <f>IFERROR(VLOOKUP($B528,'TB '!$4:$1048576,MATCH('List of Ledgers '!K$4,'TB '!$4:$4,0),0),0)</f>
        <v>0</v>
      </c>
      <c r="L528" s="37">
        <f>IFERROR(VLOOKUP(B528,'TB '!$A:$J,10,),0)</f>
        <v>0</v>
      </c>
      <c r="M528" s="71"/>
      <c r="N528" s="63">
        <f>IFERROR(VLOOKUP($B528,'TB YTD'!$4:$1048576,MATCH('List of Ledgers '!N$4,'TB YTD'!$4:$4,0),0),0)</f>
        <v>0</v>
      </c>
      <c r="O528" s="63">
        <f>IFERROR(VLOOKUP($B528,'TB YTD'!$4:$1048576,MATCH('List of Ledgers '!O$4,'TB YTD'!$4:$4,0),0),0)</f>
        <v>0</v>
      </c>
      <c r="P528" s="63">
        <f>IFERROR(VLOOKUP($B528,'TB YTD'!$4:$1048576,MATCH('List of Ledgers '!P$4,'TB YTD'!$4:$4,0),0),0)</f>
        <v>0</v>
      </c>
      <c r="Q528" s="63">
        <f>IFERROR(VLOOKUP($B528,'TB YTD'!$4:$1048576,MATCH('List of Ledgers '!Q$4,'TB YTD'!$4:$4,0),0),0)</f>
        <v>0</v>
      </c>
      <c r="R528" s="63"/>
    </row>
    <row r="529" spans="1:18" hidden="1" x14ac:dyDescent="0.25">
      <c r="A529" s="106">
        <v>514</v>
      </c>
      <c r="B529" s="8" t="s">
        <v>739</v>
      </c>
      <c r="C529" s="8" t="s">
        <v>593</v>
      </c>
      <c r="D529" s="17" t="s">
        <v>128</v>
      </c>
      <c r="E529" s="17" t="s">
        <v>134</v>
      </c>
      <c r="G529" s="17" t="s">
        <v>2</v>
      </c>
      <c r="H529" s="62"/>
      <c r="I529" s="37">
        <f>IFERROR(VLOOKUP(B529,'TB '!$A:$G,7,),0)</f>
        <v>0</v>
      </c>
      <c r="J529" s="37">
        <f>IFERROR(VLOOKUP($B529,'TB '!$4:$1048576,MATCH('List of Ledgers '!J$4,'TB '!$4:$4,0),0),0)</f>
        <v>0</v>
      </c>
      <c r="K529" s="37">
        <f>IFERROR(VLOOKUP($B529,'TB '!$4:$1048576,MATCH('List of Ledgers '!K$4,'TB '!$4:$4,0),0),0)</f>
        <v>0</v>
      </c>
      <c r="L529" s="37">
        <f>IFERROR(VLOOKUP(B529,'TB '!$A:$J,10,),0)</f>
        <v>0</v>
      </c>
      <c r="M529" s="71"/>
      <c r="N529" s="63">
        <f>IFERROR(VLOOKUP($B529,'TB YTD'!$4:$1048576,MATCH('List of Ledgers '!N$4,'TB YTD'!$4:$4,0),0),0)</f>
        <v>0</v>
      </c>
      <c r="O529" s="63">
        <f>IFERROR(VLOOKUP($B529,'TB YTD'!$4:$1048576,MATCH('List of Ledgers '!O$4,'TB YTD'!$4:$4,0),0),0)</f>
        <v>0</v>
      </c>
      <c r="P529" s="63">
        <f>IFERROR(VLOOKUP($B529,'TB YTD'!$4:$1048576,MATCH('List of Ledgers '!P$4,'TB YTD'!$4:$4,0),0),0)</f>
        <v>0</v>
      </c>
      <c r="Q529" s="63">
        <f>IFERROR(VLOOKUP($B529,'TB YTD'!$4:$1048576,MATCH('List of Ledgers '!Q$4,'TB YTD'!$4:$4,0),0),0)</f>
        <v>0</v>
      </c>
      <c r="R529" s="63"/>
    </row>
    <row r="530" spans="1:18" hidden="1" x14ac:dyDescent="0.25">
      <c r="A530" s="106">
        <v>515</v>
      </c>
      <c r="B530" s="8" t="s">
        <v>740</v>
      </c>
      <c r="C530" s="8" t="s">
        <v>130</v>
      </c>
      <c r="D530" s="17" t="s">
        <v>128</v>
      </c>
      <c r="E530" s="17" t="s">
        <v>131</v>
      </c>
      <c r="G530" s="17" t="s">
        <v>7</v>
      </c>
      <c r="H530" s="62"/>
      <c r="I530" s="37">
        <f>IFERROR(VLOOKUP(B530,'TB '!$A:$G,7,),0)</f>
        <v>0</v>
      </c>
      <c r="J530" s="37">
        <f>IFERROR(VLOOKUP($B530,'TB '!$4:$1048576,MATCH('List of Ledgers '!J$4,'TB '!$4:$4,0),0),0)</f>
        <v>0</v>
      </c>
      <c r="K530" s="37">
        <f>IFERROR(VLOOKUP($B530,'TB '!$4:$1048576,MATCH('List of Ledgers '!K$4,'TB '!$4:$4,0),0),0)</f>
        <v>0</v>
      </c>
      <c r="L530" s="37">
        <f>IFERROR(VLOOKUP(B530,'TB '!$A:$J,10,),0)</f>
        <v>0</v>
      </c>
      <c r="M530" s="71"/>
      <c r="N530" s="63">
        <f>IFERROR(VLOOKUP($B530,'TB YTD'!$4:$1048576,MATCH('List of Ledgers '!N$4,'TB YTD'!$4:$4,0),0),0)</f>
        <v>0</v>
      </c>
      <c r="O530" s="63">
        <f>IFERROR(VLOOKUP($B530,'TB YTD'!$4:$1048576,MATCH('List of Ledgers '!O$4,'TB YTD'!$4:$4,0),0),0)</f>
        <v>0</v>
      </c>
      <c r="P530" s="63">
        <f>IFERROR(VLOOKUP($B530,'TB YTD'!$4:$1048576,MATCH('List of Ledgers '!P$4,'TB YTD'!$4:$4,0),0),0)</f>
        <v>0</v>
      </c>
      <c r="Q530" s="63">
        <f>IFERROR(VLOOKUP($B530,'TB YTD'!$4:$1048576,MATCH('List of Ledgers '!Q$4,'TB YTD'!$4:$4,0),0),0)</f>
        <v>0</v>
      </c>
      <c r="R530" s="63"/>
    </row>
    <row r="531" spans="1:18" hidden="1" x14ac:dyDescent="0.25">
      <c r="A531" s="106">
        <v>516</v>
      </c>
      <c r="B531" s="8" t="s">
        <v>741</v>
      </c>
      <c r="C531" s="8" t="s">
        <v>358</v>
      </c>
      <c r="D531" s="17"/>
      <c r="E531" s="17"/>
      <c r="G531" s="17"/>
      <c r="H531" s="62"/>
      <c r="I531" s="37">
        <f>IFERROR(VLOOKUP(B531,'TB '!$A:$G,7,),0)</f>
        <v>66000</v>
      </c>
      <c r="J531" s="37">
        <f>IFERROR(VLOOKUP($B531,'TB '!$4:$1048576,MATCH('List of Ledgers '!J$4,'TB '!$4:$4,0),0),0)</f>
        <v>0</v>
      </c>
      <c r="K531" s="37">
        <f>IFERROR(VLOOKUP($B531,'TB '!$4:$1048576,MATCH('List of Ledgers '!K$4,'TB '!$4:$4,0),0),0)</f>
        <v>0</v>
      </c>
      <c r="L531" s="37">
        <f>IFERROR(VLOOKUP(B531,'TB '!$A:$J,10,),0)</f>
        <v>66000</v>
      </c>
      <c r="M531" s="71"/>
      <c r="N531" s="63">
        <f>IFERROR(VLOOKUP($B531,'TB YTD'!$4:$1048576,MATCH('List of Ledgers '!N$4,'TB YTD'!$4:$4,0),0),0)</f>
        <v>73000</v>
      </c>
      <c r="O531" s="63">
        <f>IFERROR(VLOOKUP($B531,'TB YTD'!$4:$1048576,MATCH('List of Ledgers '!O$4,'TB YTD'!$4:$4,0),0),0)</f>
        <v>0</v>
      </c>
      <c r="P531" s="63">
        <f>IFERROR(VLOOKUP($B531,'TB YTD'!$4:$1048576,MATCH('List of Ledgers '!P$4,'TB YTD'!$4:$4,0),0),0)</f>
        <v>7000</v>
      </c>
      <c r="Q531" s="63">
        <f>IFERROR(VLOOKUP($B531,'TB YTD'!$4:$1048576,MATCH('List of Ledgers '!Q$4,'TB YTD'!$4:$4,0),0),0)</f>
        <v>66000</v>
      </c>
      <c r="R531" s="63"/>
    </row>
    <row r="532" spans="1:18" hidden="1" x14ac:dyDescent="0.25">
      <c r="A532" s="106">
        <v>517</v>
      </c>
      <c r="B532" s="8" t="s">
        <v>742</v>
      </c>
      <c r="C532" s="8" t="s">
        <v>183</v>
      </c>
      <c r="D532" s="17" t="s">
        <v>128</v>
      </c>
      <c r="E532" s="17" t="s">
        <v>134</v>
      </c>
      <c r="G532" s="17" t="s">
        <v>2</v>
      </c>
      <c r="H532" s="62"/>
      <c r="I532" s="37">
        <f>IFERROR(VLOOKUP(B532,'TB '!$A:$G,7,),0)</f>
        <v>0</v>
      </c>
      <c r="J532" s="37">
        <f>IFERROR(VLOOKUP($B532,'TB '!$4:$1048576,MATCH('List of Ledgers '!J$4,'TB '!$4:$4,0),0),0)</f>
        <v>0</v>
      </c>
      <c r="K532" s="37">
        <f>IFERROR(VLOOKUP($B532,'TB '!$4:$1048576,MATCH('List of Ledgers '!K$4,'TB '!$4:$4,0),0),0)</f>
        <v>0</v>
      </c>
      <c r="L532" s="37">
        <f>IFERROR(VLOOKUP(B532,'TB '!$A:$J,10,),0)</f>
        <v>0</v>
      </c>
      <c r="M532" s="71"/>
      <c r="N532" s="63">
        <f>IFERROR(VLOOKUP($B532,'TB YTD'!$4:$1048576,MATCH('List of Ledgers '!N$4,'TB YTD'!$4:$4,0),0),0)</f>
        <v>0</v>
      </c>
      <c r="O532" s="63">
        <f>IFERROR(VLOOKUP($B532,'TB YTD'!$4:$1048576,MATCH('List of Ledgers '!O$4,'TB YTD'!$4:$4,0),0),0)</f>
        <v>24308</v>
      </c>
      <c r="P532" s="63">
        <f>IFERROR(VLOOKUP($B532,'TB YTD'!$4:$1048576,MATCH('List of Ledgers '!P$4,'TB YTD'!$4:$4,0),0),0)</f>
        <v>24308</v>
      </c>
      <c r="Q532" s="63">
        <f>IFERROR(VLOOKUP($B532,'TB YTD'!$4:$1048576,MATCH('List of Ledgers '!Q$4,'TB YTD'!$4:$4,0),0),0)</f>
        <v>0</v>
      </c>
      <c r="R532" s="63"/>
    </row>
    <row r="533" spans="1:18" hidden="1" x14ac:dyDescent="0.25">
      <c r="A533" s="106">
        <v>518</v>
      </c>
      <c r="B533" s="8" t="s">
        <v>743</v>
      </c>
      <c r="C533" s="8" t="s">
        <v>198</v>
      </c>
      <c r="D533" s="17" t="s">
        <v>128</v>
      </c>
      <c r="E533" s="17" t="s">
        <v>134</v>
      </c>
      <c r="G533" s="17" t="s">
        <v>2</v>
      </c>
      <c r="H533" s="62"/>
      <c r="I533" s="37">
        <f>IFERROR(VLOOKUP(B533,'TB '!$A:$G,7,),0)</f>
        <v>0</v>
      </c>
      <c r="J533" s="37">
        <f>IFERROR(VLOOKUP($B533,'TB '!$4:$1048576,MATCH('List of Ledgers '!J$4,'TB '!$4:$4,0),0),0)</f>
        <v>0</v>
      </c>
      <c r="K533" s="37">
        <f>IFERROR(VLOOKUP($B533,'TB '!$4:$1048576,MATCH('List of Ledgers '!K$4,'TB '!$4:$4,0),0),0)</f>
        <v>0</v>
      </c>
      <c r="L533" s="37">
        <f>IFERROR(VLOOKUP(B533,'TB '!$A:$J,10,),0)</f>
        <v>0</v>
      </c>
      <c r="M533" s="71"/>
      <c r="N533" s="63">
        <f>IFERROR(VLOOKUP($B533,'TB YTD'!$4:$1048576,MATCH('List of Ledgers '!N$4,'TB YTD'!$4:$4,0),0),0)</f>
        <v>0</v>
      </c>
      <c r="O533" s="63">
        <f>IFERROR(VLOOKUP($B533,'TB YTD'!$4:$1048576,MATCH('List of Ledgers '!O$4,'TB YTD'!$4:$4,0),0),0)</f>
        <v>0</v>
      </c>
      <c r="P533" s="63">
        <f>IFERROR(VLOOKUP($B533,'TB YTD'!$4:$1048576,MATCH('List of Ledgers '!P$4,'TB YTD'!$4:$4,0),0),0)</f>
        <v>0</v>
      </c>
      <c r="Q533" s="63">
        <f>IFERROR(VLOOKUP($B533,'TB YTD'!$4:$1048576,MATCH('List of Ledgers '!Q$4,'TB YTD'!$4:$4,0),0),0)</f>
        <v>0</v>
      </c>
      <c r="R533" s="63"/>
    </row>
    <row r="534" spans="1:18" hidden="1" x14ac:dyDescent="0.25">
      <c r="A534" s="106">
        <v>519</v>
      </c>
      <c r="B534" s="8" t="s">
        <v>744</v>
      </c>
      <c r="C534" s="8" t="s">
        <v>140</v>
      </c>
      <c r="D534" s="17" t="s">
        <v>128</v>
      </c>
      <c r="E534" s="17" t="s">
        <v>131</v>
      </c>
      <c r="G534" s="17" t="s">
        <v>7</v>
      </c>
      <c r="H534" s="62"/>
      <c r="I534" s="37">
        <f>IFERROR(VLOOKUP(B534,'TB '!$A:$G,7,),0)</f>
        <v>-43120</v>
      </c>
      <c r="J534" s="37">
        <f>IFERROR(VLOOKUP($B534,'TB '!$4:$1048576,MATCH('List of Ledgers '!J$4,'TB '!$4:$4,0),0),0)</f>
        <v>43120</v>
      </c>
      <c r="K534" s="37">
        <f>IFERROR(VLOOKUP($B534,'TB '!$4:$1048576,MATCH('List of Ledgers '!K$4,'TB '!$4:$4,0),0),0)</f>
        <v>0</v>
      </c>
      <c r="L534" s="37">
        <f>IFERROR(VLOOKUP(B534,'TB '!$A:$J,10,),0)</f>
        <v>0</v>
      </c>
      <c r="M534" s="71"/>
      <c r="N534" s="63">
        <f>IFERROR(VLOOKUP($B534,'TB YTD'!$4:$1048576,MATCH('List of Ledgers '!N$4,'TB YTD'!$4:$4,0),0),0)</f>
        <v>0</v>
      </c>
      <c r="O534" s="63">
        <f>IFERROR(VLOOKUP($B534,'TB YTD'!$4:$1048576,MATCH('List of Ledgers '!O$4,'TB YTD'!$4:$4,0),0),0)</f>
        <v>409644</v>
      </c>
      <c r="P534" s="63">
        <f>IFERROR(VLOOKUP($B534,'TB YTD'!$4:$1048576,MATCH('List of Ledgers '!P$4,'TB YTD'!$4:$4,0),0),0)</f>
        <v>409644</v>
      </c>
      <c r="Q534" s="63">
        <f>IFERROR(VLOOKUP($B534,'TB YTD'!$4:$1048576,MATCH('List of Ledgers '!Q$4,'TB YTD'!$4:$4,0),0),0)</f>
        <v>0</v>
      </c>
      <c r="R534" s="63"/>
    </row>
    <row r="535" spans="1:18" hidden="1" x14ac:dyDescent="0.25">
      <c r="A535" s="106">
        <v>520</v>
      </c>
      <c r="B535" s="8" t="s">
        <v>745</v>
      </c>
      <c r="C535" s="8" t="s">
        <v>140</v>
      </c>
      <c r="D535" s="17" t="s">
        <v>128</v>
      </c>
      <c r="E535" s="17" t="s">
        <v>131</v>
      </c>
      <c r="G535" s="17" t="s">
        <v>7</v>
      </c>
      <c r="H535" s="62"/>
      <c r="I535" s="37">
        <f>IFERROR(VLOOKUP(B535,'TB '!$A:$G,7,),0)</f>
        <v>0</v>
      </c>
      <c r="J535" s="37">
        <f>IFERROR(VLOOKUP($B535,'TB '!$4:$1048576,MATCH('List of Ledgers '!J$4,'TB '!$4:$4,0),0),0)</f>
        <v>0</v>
      </c>
      <c r="K535" s="37">
        <f>IFERROR(VLOOKUP($B535,'TB '!$4:$1048576,MATCH('List of Ledgers '!K$4,'TB '!$4:$4,0),0),0)</f>
        <v>0</v>
      </c>
      <c r="L535" s="37">
        <f>IFERROR(VLOOKUP(B535,'TB '!$A:$J,10,),0)</f>
        <v>0</v>
      </c>
      <c r="M535" s="71"/>
      <c r="N535" s="63">
        <f>IFERROR(VLOOKUP($B535,'TB YTD'!$4:$1048576,MATCH('List of Ledgers '!N$4,'TB YTD'!$4:$4,0),0),0)</f>
        <v>0</v>
      </c>
      <c r="O535" s="63">
        <f>IFERROR(VLOOKUP($B535,'TB YTD'!$4:$1048576,MATCH('List of Ledgers '!O$4,'TB YTD'!$4:$4,0),0),0)</f>
        <v>18673</v>
      </c>
      <c r="P535" s="63">
        <f>IFERROR(VLOOKUP($B535,'TB YTD'!$4:$1048576,MATCH('List of Ledgers '!P$4,'TB YTD'!$4:$4,0),0),0)</f>
        <v>18673</v>
      </c>
      <c r="Q535" s="63">
        <f>IFERROR(VLOOKUP($B535,'TB YTD'!$4:$1048576,MATCH('List of Ledgers '!Q$4,'TB YTD'!$4:$4,0),0),0)</f>
        <v>0</v>
      </c>
      <c r="R535" s="63"/>
    </row>
    <row r="536" spans="1:18" hidden="1" x14ac:dyDescent="0.25">
      <c r="A536" s="165">
        <f>A535+1</f>
        <v>521</v>
      </c>
      <c r="B536" s="2" t="s">
        <v>1256</v>
      </c>
      <c r="C536" s="2" t="s">
        <v>876</v>
      </c>
      <c r="D536" s="17" t="s">
        <v>151</v>
      </c>
      <c r="E536" s="17" t="s">
        <v>1291</v>
      </c>
      <c r="F536" s="12" t="s">
        <v>1290</v>
      </c>
      <c r="G536" s="17" t="s">
        <v>9</v>
      </c>
      <c r="I536" s="37">
        <f>IFERROR(VLOOKUP(B536,'TB '!$A:$G,7,),0)</f>
        <v>0</v>
      </c>
      <c r="J536" s="37">
        <f>IFERROR(VLOOKUP($B536,'TB '!$4:$1048576,MATCH('List of Ledgers '!J$4,'TB '!$4:$4,0),0),0)</f>
        <v>7873.08</v>
      </c>
      <c r="K536" s="37">
        <f>IFERROR(VLOOKUP($B536,'TB '!$4:$1048576,MATCH('List of Ledgers '!K$4,'TB '!$4:$4,0),0),0)</f>
        <v>0</v>
      </c>
      <c r="L536" s="37">
        <f>IFERROR(VLOOKUP(B536,'TB '!$A:$J,10,),0)</f>
        <v>7873.08</v>
      </c>
      <c r="M536" s="71"/>
      <c r="N536" s="63">
        <f>IFERROR(VLOOKUP($B536,'TB YTD'!$4:$1048576,MATCH('List of Ledgers '!N$4,'TB YTD'!$4:$4,0),0),0)</f>
        <v>0</v>
      </c>
      <c r="O536" s="63">
        <f>IFERROR(VLOOKUP($B536,'TB YTD'!$4:$1048576,MATCH('List of Ledgers '!O$4,'TB YTD'!$4:$4,0),0),0)</f>
        <v>17604.080000000002</v>
      </c>
      <c r="P536" s="63">
        <f>IFERROR(VLOOKUP($B536,'TB YTD'!$4:$1048576,MATCH('List of Ledgers '!P$4,'TB YTD'!$4:$4,0),0),0)</f>
        <v>0</v>
      </c>
      <c r="Q536" s="63">
        <f>IFERROR(VLOOKUP($B536,'TB YTD'!$4:$1048576,MATCH('List of Ledgers '!Q$4,'TB YTD'!$4:$4,0),0),0)</f>
        <v>17604.080000000002</v>
      </c>
      <c r="R536" s="63"/>
    </row>
    <row r="537" spans="1:18" hidden="1" x14ac:dyDescent="0.25">
      <c r="A537" s="106">
        <v>521</v>
      </c>
      <c r="B537" s="8" t="s">
        <v>746</v>
      </c>
      <c r="C537" s="8" t="s">
        <v>140</v>
      </c>
      <c r="D537" s="17" t="s">
        <v>128</v>
      </c>
      <c r="E537" s="17" t="s">
        <v>131</v>
      </c>
      <c r="G537" s="17" t="s">
        <v>7</v>
      </c>
      <c r="H537" s="62"/>
      <c r="I537" s="37">
        <f>IFERROR(VLOOKUP(B537,'TB '!$A:$G,7,),0)</f>
        <v>0</v>
      </c>
      <c r="J537" s="37">
        <f>IFERROR(VLOOKUP($B537,'TB '!$4:$1048576,MATCH('List of Ledgers '!J$4,'TB '!$4:$4,0),0),0)</f>
        <v>115000</v>
      </c>
      <c r="K537" s="37">
        <f>IFERROR(VLOOKUP($B537,'TB '!$4:$1048576,MATCH('List of Ledgers '!K$4,'TB '!$4:$4,0),0),0)</f>
        <v>129999</v>
      </c>
      <c r="L537" s="37">
        <f>IFERROR(VLOOKUP(B537,'TB '!$A:$J,10,),0)</f>
        <v>-14999</v>
      </c>
      <c r="M537" s="71"/>
      <c r="N537" s="63">
        <f>IFERROR(VLOOKUP($B537,'TB YTD'!$4:$1048576,MATCH('List of Ledgers '!N$4,'TB YTD'!$4:$4,0),0),0)</f>
        <v>0</v>
      </c>
      <c r="O537" s="63">
        <f>IFERROR(VLOOKUP($B537,'TB YTD'!$4:$1048576,MATCH('List of Ledgers '!O$4,'TB YTD'!$4:$4,0),0),0)</f>
        <v>175000</v>
      </c>
      <c r="P537" s="63">
        <f>IFERROR(VLOOKUP($B537,'TB YTD'!$4:$1048576,MATCH('List of Ledgers '!P$4,'TB YTD'!$4:$4,0),0),0)</f>
        <v>189999</v>
      </c>
      <c r="Q537" s="63">
        <f>IFERROR(VLOOKUP($B537,'TB YTD'!$4:$1048576,MATCH('List of Ledgers '!Q$4,'TB YTD'!$4:$4,0),0),0)</f>
        <v>-14999</v>
      </c>
      <c r="R537" s="63"/>
    </row>
    <row r="538" spans="1:18" hidden="1" x14ac:dyDescent="0.25">
      <c r="A538" s="106">
        <v>522</v>
      </c>
      <c r="B538" s="8" t="s">
        <v>747</v>
      </c>
      <c r="C538" s="8" t="s">
        <v>140</v>
      </c>
      <c r="D538" s="17" t="s">
        <v>128</v>
      </c>
      <c r="E538" s="17" t="s">
        <v>131</v>
      </c>
      <c r="G538" s="17" t="s">
        <v>7</v>
      </c>
      <c r="H538" s="62"/>
      <c r="I538" s="37">
        <f>IFERROR(VLOOKUP(B538,'TB '!$A:$G,7,),0)</f>
        <v>0</v>
      </c>
      <c r="J538" s="37">
        <f>IFERROR(VLOOKUP($B538,'TB '!$4:$1048576,MATCH('List of Ledgers '!J$4,'TB '!$4:$4,0),0),0)</f>
        <v>0</v>
      </c>
      <c r="K538" s="37">
        <f>IFERROR(VLOOKUP($B538,'TB '!$4:$1048576,MATCH('List of Ledgers '!K$4,'TB '!$4:$4,0),0),0)</f>
        <v>0</v>
      </c>
      <c r="L538" s="37">
        <f>IFERROR(VLOOKUP(B538,'TB '!$A:$J,10,),0)</f>
        <v>0</v>
      </c>
      <c r="M538" s="71"/>
      <c r="N538" s="63">
        <f>IFERROR(VLOOKUP($B538,'TB YTD'!$4:$1048576,MATCH('List of Ledgers '!N$4,'TB YTD'!$4:$4,0),0),0)</f>
        <v>0</v>
      </c>
      <c r="O538" s="63">
        <f>IFERROR(VLOOKUP($B538,'TB YTD'!$4:$1048576,MATCH('List of Ledgers '!O$4,'TB YTD'!$4:$4,0),0),0)</f>
        <v>12638</v>
      </c>
      <c r="P538" s="63">
        <f>IFERROR(VLOOKUP($B538,'TB YTD'!$4:$1048576,MATCH('List of Ledgers '!P$4,'TB YTD'!$4:$4,0),0),0)</f>
        <v>12638</v>
      </c>
      <c r="Q538" s="63">
        <f>IFERROR(VLOOKUP($B538,'TB YTD'!$4:$1048576,MATCH('List of Ledgers '!Q$4,'TB YTD'!$4:$4,0),0),0)</f>
        <v>0</v>
      </c>
      <c r="R538" s="63"/>
    </row>
    <row r="539" spans="1:18" hidden="1" x14ac:dyDescent="0.25">
      <c r="A539" s="106">
        <v>523</v>
      </c>
      <c r="B539" s="8" t="s">
        <v>748</v>
      </c>
      <c r="C539" s="8" t="s">
        <v>140</v>
      </c>
      <c r="D539" s="17" t="s">
        <v>128</v>
      </c>
      <c r="E539" s="17" t="s">
        <v>131</v>
      </c>
      <c r="G539" s="17" t="s">
        <v>7</v>
      </c>
      <c r="H539" s="62"/>
      <c r="I539" s="37">
        <f>IFERROR(VLOOKUP(B539,'TB '!$A:$G,7,),0)</f>
        <v>293.82</v>
      </c>
      <c r="J539" s="37">
        <f>IFERROR(VLOOKUP($B539,'TB '!$4:$1048576,MATCH('List of Ledgers '!J$4,'TB '!$4:$4,0),0),0)</f>
        <v>1491.94</v>
      </c>
      <c r="K539" s="37">
        <f>IFERROR(VLOOKUP($B539,'TB '!$4:$1048576,MATCH('List of Ledgers '!K$4,'TB '!$4:$4,0),0),0)</f>
        <v>1491.94</v>
      </c>
      <c r="L539" s="37">
        <f>IFERROR(VLOOKUP(B539,'TB '!$A:$J,10,),0)</f>
        <v>293.82</v>
      </c>
      <c r="M539" s="71"/>
      <c r="N539" s="63">
        <f>IFERROR(VLOOKUP($B539,'TB YTD'!$4:$1048576,MATCH('List of Ledgers '!N$4,'TB YTD'!$4:$4,0),0),0)</f>
        <v>-2251.44</v>
      </c>
      <c r="O539" s="63">
        <f>IFERROR(VLOOKUP($B539,'TB YTD'!$4:$1048576,MATCH('List of Ledgers '!O$4,'TB YTD'!$4:$4,0),0),0)</f>
        <v>24882.21</v>
      </c>
      <c r="P539" s="63">
        <f>IFERROR(VLOOKUP($B539,'TB YTD'!$4:$1048576,MATCH('List of Ledgers '!P$4,'TB YTD'!$4:$4,0),0),0)</f>
        <v>22336.95</v>
      </c>
      <c r="Q539" s="63">
        <f>IFERROR(VLOOKUP($B539,'TB YTD'!$4:$1048576,MATCH('List of Ledgers '!Q$4,'TB YTD'!$4:$4,0),0),0)</f>
        <v>293.82</v>
      </c>
      <c r="R539" s="63"/>
    </row>
    <row r="540" spans="1:18" hidden="1" x14ac:dyDescent="0.25">
      <c r="A540" s="106">
        <v>524</v>
      </c>
      <c r="B540" s="8" t="s">
        <v>749</v>
      </c>
      <c r="C540" s="8" t="s">
        <v>140</v>
      </c>
      <c r="D540" s="17" t="s">
        <v>128</v>
      </c>
      <c r="E540" s="17" t="s">
        <v>131</v>
      </c>
      <c r="G540" s="17" t="s">
        <v>7</v>
      </c>
      <c r="H540" s="62"/>
      <c r="I540" s="37">
        <f>IFERROR(VLOOKUP(B540,'TB '!$A:$G,7,),0)</f>
        <v>0</v>
      </c>
      <c r="J540" s="37">
        <f>IFERROR(VLOOKUP($B540,'TB '!$4:$1048576,MATCH('List of Ledgers '!J$4,'TB '!$4:$4,0),0),0)</f>
        <v>942.82</v>
      </c>
      <c r="K540" s="37">
        <f>IFERROR(VLOOKUP($B540,'TB '!$4:$1048576,MATCH('List of Ledgers '!K$4,'TB '!$4:$4,0),0),0)</f>
        <v>942.82</v>
      </c>
      <c r="L540" s="37">
        <f>IFERROR(VLOOKUP(B540,'TB '!$A:$J,10,),0)</f>
        <v>0</v>
      </c>
      <c r="M540" s="71"/>
      <c r="N540" s="63">
        <f>IFERROR(VLOOKUP($B540,'TB YTD'!$4:$1048576,MATCH('List of Ledgers '!N$4,'TB YTD'!$4:$4,0),0),0)</f>
        <v>0</v>
      </c>
      <c r="O540" s="63">
        <f>IFERROR(VLOOKUP($B540,'TB YTD'!$4:$1048576,MATCH('List of Ledgers '!O$4,'TB YTD'!$4:$4,0),0),0)</f>
        <v>9411.6200000000008</v>
      </c>
      <c r="P540" s="63">
        <f>IFERROR(VLOOKUP($B540,'TB YTD'!$4:$1048576,MATCH('List of Ledgers '!P$4,'TB YTD'!$4:$4,0),0),0)</f>
        <v>9411.6200000000008</v>
      </c>
      <c r="Q540" s="63">
        <f>IFERROR(VLOOKUP($B540,'TB YTD'!$4:$1048576,MATCH('List of Ledgers '!Q$4,'TB YTD'!$4:$4,0),0),0)</f>
        <v>0</v>
      </c>
      <c r="R540" s="63"/>
    </row>
    <row r="541" spans="1:18" hidden="1" x14ac:dyDescent="0.25">
      <c r="A541" s="106">
        <v>525</v>
      </c>
      <c r="B541" s="8" t="s">
        <v>750</v>
      </c>
      <c r="C541" s="8" t="s">
        <v>140</v>
      </c>
      <c r="D541" s="17" t="s">
        <v>128</v>
      </c>
      <c r="E541" s="17" t="s">
        <v>131</v>
      </c>
      <c r="G541" s="17" t="s">
        <v>7</v>
      </c>
      <c r="H541" s="62"/>
      <c r="I541" s="37">
        <f>IFERROR(VLOOKUP(B541,'TB '!$A:$G,7,),0)</f>
        <v>0</v>
      </c>
      <c r="J541" s="37">
        <f>IFERROR(VLOOKUP($B541,'TB '!$4:$1048576,MATCH('List of Ledgers '!J$4,'TB '!$4:$4,0),0),0)</f>
        <v>0</v>
      </c>
      <c r="K541" s="37">
        <f>IFERROR(VLOOKUP($B541,'TB '!$4:$1048576,MATCH('List of Ledgers '!K$4,'TB '!$4:$4,0),0),0)</f>
        <v>0</v>
      </c>
      <c r="L541" s="37">
        <f>IFERROR(VLOOKUP(B541,'TB '!$A:$J,10,),0)</f>
        <v>0</v>
      </c>
      <c r="M541" s="71"/>
      <c r="N541" s="63">
        <f>IFERROR(VLOOKUP($B541,'TB YTD'!$4:$1048576,MATCH('List of Ledgers '!N$4,'TB YTD'!$4:$4,0),0),0)</f>
        <v>0</v>
      </c>
      <c r="O541" s="63">
        <f>IFERROR(VLOOKUP($B541,'TB YTD'!$4:$1048576,MATCH('List of Ledgers '!O$4,'TB YTD'!$4:$4,0),0),0)</f>
        <v>0</v>
      </c>
      <c r="P541" s="63">
        <f>IFERROR(VLOOKUP($B541,'TB YTD'!$4:$1048576,MATCH('List of Ledgers '!P$4,'TB YTD'!$4:$4,0),0),0)</f>
        <v>0</v>
      </c>
      <c r="Q541" s="63">
        <f>IFERROR(VLOOKUP($B541,'TB YTD'!$4:$1048576,MATCH('List of Ledgers '!Q$4,'TB YTD'!$4:$4,0),0),0)</f>
        <v>0</v>
      </c>
      <c r="R541" s="63"/>
    </row>
    <row r="542" spans="1:18" hidden="1" x14ac:dyDescent="0.25">
      <c r="A542" s="106">
        <v>526</v>
      </c>
      <c r="B542" s="8" t="s">
        <v>751</v>
      </c>
      <c r="C542" s="8" t="s">
        <v>150</v>
      </c>
      <c r="D542" s="17" t="s">
        <v>151</v>
      </c>
      <c r="E542" s="17" t="s">
        <v>152</v>
      </c>
      <c r="F542" s="12" t="s">
        <v>66</v>
      </c>
      <c r="G542" s="17" t="s">
        <v>2</v>
      </c>
      <c r="H542" s="62"/>
      <c r="I542" s="37">
        <f>IFERROR(VLOOKUP(B542,'TB '!$A:$G,7,),0)</f>
        <v>0</v>
      </c>
      <c r="J542" s="37">
        <f>IFERROR(VLOOKUP($B542,'TB '!$4:$1048576,MATCH('List of Ledgers '!J$4,'TB '!$4:$4,0),0),0)</f>
        <v>0</v>
      </c>
      <c r="K542" s="37">
        <f>IFERROR(VLOOKUP($B542,'TB '!$4:$1048576,MATCH('List of Ledgers '!K$4,'TB '!$4:$4,0),0),0)</f>
        <v>0</v>
      </c>
      <c r="L542" s="37">
        <f>IFERROR(VLOOKUP(B542,'TB '!$A:$J,10,),0)</f>
        <v>0</v>
      </c>
      <c r="M542" s="71"/>
      <c r="N542" s="63">
        <f>IFERROR(VLOOKUP($B542,'TB YTD'!$4:$1048576,MATCH('List of Ledgers '!N$4,'TB YTD'!$4:$4,0),0),0)</f>
        <v>0</v>
      </c>
      <c r="O542" s="63">
        <f>IFERROR(VLOOKUP($B542,'TB YTD'!$4:$1048576,MATCH('List of Ledgers '!O$4,'TB YTD'!$4:$4,0),0),0)</f>
        <v>0</v>
      </c>
      <c r="P542" s="63">
        <f>IFERROR(VLOOKUP($B542,'TB YTD'!$4:$1048576,MATCH('List of Ledgers '!P$4,'TB YTD'!$4:$4,0),0),0)</f>
        <v>0</v>
      </c>
      <c r="Q542" s="63">
        <f>IFERROR(VLOOKUP($B542,'TB YTD'!$4:$1048576,MATCH('List of Ledgers '!Q$4,'TB YTD'!$4:$4,0),0),0)</f>
        <v>0</v>
      </c>
      <c r="R542" s="63"/>
    </row>
    <row r="543" spans="1:18" hidden="1" x14ac:dyDescent="0.25">
      <c r="A543" s="106">
        <v>527</v>
      </c>
      <c r="B543" s="8" t="s">
        <v>752</v>
      </c>
      <c r="C543" s="8" t="s">
        <v>361</v>
      </c>
      <c r="D543" s="17" t="s">
        <v>151</v>
      </c>
      <c r="E543" s="17" t="s">
        <v>152</v>
      </c>
      <c r="F543" s="12" t="s">
        <v>66</v>
      </c>
      <c r="G543" s="17" t="s">
        <v>3</v>
      </c>
      <c r="H543" s="62"/>
      <c r="I543" s="37">
        <f>IFERROR(VLOOKUP(B543,'TB '!$A:$G,7,),0)</f>
        <v>0</v>
      </c>
      <c r="J543" s="37">
        <f>IFERROR(VLOOKUP($B543,'TB '!$4:$1048576,MATCH('List of Ledgers '!J$4,'TB '!$4:$4,0),0),0)</f>
        <v>0</v>
      </c>
      <c r="K543" s="37">
        <f>IFERROR(VLOOKUP($B543,'TB '!$4:$1048576,MATCH('List of Ledgers '!K$4,'TB '!$4:$4,0),0),0)</f>
        <v>0</v>
      </c>
      <c r="L543" s="37">
        <f>IFERROR(VLOOKUP(B543,'TB '!$A:$J,10,),0)</f>
        <v>0</v>
      </c>
      <c r="M543" s="71"/>
      <c r="N543" s="63">
        <f>IFERROR(VLOOKUP($B543,'TB YTD'!$4:$1048576,MATCH('List of Ledgers '!N$4,'TB YTD'!$4:$4,0),0),0)</f>
        <v>0</v>
      </c>
      <c r="O543" s="63">
        <f>IFERROR(VLOOKUP($B543,'TB YTD'!$4:$1048576,MATCH('List of Ledgers '!O$4,'TB YTD'!$4:$4,0),0),0)</f>
        <v>0</v>
      </c>
      <c r="P543" s="63">
        <f>IFERROR(VLOOKUP($B543,'TB YTD'!$4:$1048576,MATCH('List of Ledgers '!P$4,'TB YTD'!$4:$4,0),0),0)</f>
        <v>0</v>
      </c>
      <c r="Q543" s="63">
        <f>IFERROR(VLOOKUP($B543,'TB YTD'!$4:$1048576,MATCH('List of Ledgers '!Q$4,'TB YTD'!$4:$4,0),0),0)</f>
        <v>0</v>
      </c>
      <c r="R543" s="63"/>
    </row>
    <row r="544" spans="1:18" hidden="1" x14ac:dyDescent="0.25">
      <c r="A544" s="106">
        <v>528</v>
      </c>
      <c r="B544" s="8" t="s">
        <v>753</v>
      </c>
      <c r="C544" s="8" t="s">
        <v>275</v>
      </c>
      <c r="D544" s="17" t="s">
        <v>151</v>
      </c>
      <c r="E544" s="17" t="s">
        <v>152</v>
      </c>
      <c r="F544" s="12" t="s">
        <v>66</v>
      </c>
      <c r="G544" s="17" t="s">
        <v>7</v>
      </c>
      <c r="H544" s="62"/>
      <c r="I544" s="37">
        <f>IFERROR(VLOOKUP(B544,'TB '!$A:$G,7,),0)</f>
        <v>0</v>
      </c>
      <c r="J544" s="37">
        <f>IFERROR(VLOOKUP($B544,'TB '!$4:$1048576,MATCH('List of Ledgers '!J$4,'TB '!$4:$4,0),0),0)</f>
        <v>0</v>
      </c>
      <c r="K544" s="37">
        <f>IFERROR(VLOOKUP($B544,'TB '!$4:$1048576,MATCH('List of Ledgers '!K$4,'TB '!$4:$4,0),0),0)</f>
        <v>0</v>
      </c>
      <c r="L544" s="37">
        <f>IFERROR(VLOOKUP(B544,'TB '!$A:$J,10,),0)</f>
        <v>0</v>
      </c>
      <c r="M544" s="71"/>
      <c r="N544" s="63">
        <f>IFERROR(VLOOKUP($B544,'TB YTD'!$4:$1048576,MATCH('List of Ledgers '!N$4,'TB YTD'!$4:$4,0),0),0)</f>
        <v>0</v>
      </c>
      <c r="O544" s="63">
        <f>IFERROR(VLOOKUP($B544,'TB YTD'!$4:$1048576,MATCH('List of Ledgers '!O$4,'TB YTD'!$4:$4,0),0),0)</f>
        <v>0</v>
      </c>
      <c r="P544" s="63">
        <f>IFERROR(VLOOKUP($B544,'TB YTD'!$4:$1048576,MATCH('List of Ledgers '!P$4,'TB YTD'!$4:$4,0),0),0)</f>
        <v>0</v>
      </c>
      <c r="Q544" s="63">
        <f>IFERROR(VLOOKUP($B544,'TB YTD'!$4:$1048576,MATCH('List of Ledgers '!Q$4,'TB YTD'!$4:$4,0),0),0)</f>
        <v>0</v>
      </c>
      <c r="R544" s="63"/>
    </row>
    <row r="545" spans="1:18" hidden="1" x14ac:dyDescent="0.25">
      <c r="A545" s="106">
        <v>529</v>
      </c>
      <c r="B545" s="8" t="s">
        <v>754</v>
      </c>
      <c r="C545" s="8" t="s">
        <v>275</v>
      </c>
      <c r="D545" s="17" t="s">
        <v>151</v>
      </c>
      <c r="E545" s="17" t="s">
        <v>152</v>
      </c>
      <c r="F545" s="12" t="s">
        <v>61</v>
      </c>
      <c r="G545" s="17" t="s">
        <v>7</v>
      </c>
      <c r="H545" s="62"/>
      <c r="I545" s="37">
        <f>IFERROR(VLOOKUP(B545,'TB '!$A:$G,7,),0)</f>
        <v>0</v>
      </c>
      <c r="J545" s="37">
        <f>IFERROR(VLOOKUP($B545,'TB '!$4:$1048576,MATCH('List of Ledgers '!J$4,'TB '!$4:$4,0),0),0)</f>
        <v>179550</v>
      </c>
      <c r="K545" s="37">
        <f>IFERROR(VLOOKUP($B545,'TB '!$4:$1048576,MATCH('List of Ledgers '!K$4,'TB '!$4:$4,0),0),0)</f>
        <v>0</v>
      </c>
      <c r="L545" s="37">
        <f>IFERROR(VLOOKUP(B545,'TB '!$A:$J,10,),0)</f>
        <v>179550</v>
      </c>
      <c r="M545" s="71"/>
      <c r="N545" s="63">
        <f>IFERROR(VLOOKUP($B545,'TB YTD'!$4:$1048576,MATCH('List of Ledgers '!N$4,'TB YTD'!$4:$4,0),0),0)</f>
        <v>0</v>
      </c>
      <c r="O545" s="63">
        <f>IFERROR(VLOOKUP($B545,'TB YTD'!$4:$1048576,MATCH('List of Ledgers '!O$4,'TB YTD'!$4:$4,0),0),0)</f>
        <v>2078900</v>
      </c>
      <c r="P545" s="63">
        <f>IFERROR(VLOOKUP($B545,'TB YTD'!$4:$1048576,MATCH('List of Ledgers '!P$4,'TB YTD'!$4:$4,0),0),0)</f>
        <v>0</v>
      </c>
      <c r="Q545" s="63">
        <f>IFERROR(VLOOKUP($B545,'TB YTD'!$4:$1048576,MATCH('List of Ledgers '!Q$4,'TB YTD'!$4:$4,0),0),0)</f>
        <v>2078900</v>
      </c>
      <c r="R545" s="63"/>
    </row>
    <row r="546" spans="1:18" hidden="1" x14ac:dyDescent="0.25">
      <c r="A546" s="106">
        <v>530</v>
      </c>
      <c r="B546" s="8" t="s">
        <v>755</v>
      </c>
      <c r="C546" s="8" t="s">
        <v>150</v>
      </c>
      <c r="D546" s="17" t="s">
        <v>151</v>
      </c>
      <c r="E546" s="17" t="s">
        <v>152</v>
      </c>
      <c r="F546" s="12" t="s">
        <v>61</v>
      </c>
      <c r="G546" s="17" t="s">
        <v>2</v>
      </c>
      <c r="H546" s="62"/>
      <c r="I546" s="37">
        <f>IFERROR(VLOOKUP(B546,'TB '!$A:$G,7,),0)</f>
        <v>0</v>
      </c>
      <c r="J546" s="37">
        <f>IFERROR(VLOOKUP($B546,'TB '!$4:$1048576,MATCH('List of Ledgers '!J$4,'TB '!$4:$4,0),0),0)</f>
        <v>0</v>
      </c>
      <c r="K546" s="37">
        <f>IFERROR(VLOOKUP($B546,'TB '!$4:$1048576,MATCH('List of Ledgers '!K$4,'TB '!$4:$4,0),0),0)</f>
        <v>0</v>
      </c>
      <c r="L546" s="37">
        <f>IFERROR(VLOOKUP(B546,'TB '!$A:$J,10,),0)</f>
        <v>0</v>
      </c>
      <c r="M546" s="71"/>
      <c r="N546" s="63">
        <f>IFERROR(VLOOKUP($B546,'TB YTD'!$4:$1048576,MATCH('List of Ledgers '!N$4,'TB YTD'!$4:$4,0),0),0)</f>
        <v>0</v>
      </c>
      <c r="O546" s="63">
        <f>IFERROR(VLOOKUP($B546,'TB YTD'!$4:$1048576,MATCH('List of Ledgers '!O$4,'TB YTD'!$4:$4,0),0),0)</f>
        <v>6000</v>
      </c>
      <c r="P546" s="63">
        <f>IFERROR(VLOOKUP($B546,'TB YTD'!$4:$1048576,MATCH('List of Ledgers '!P$4,'TB YTD'!$4:$4,0),0),0)</f>
        <v>0</v>
      </c>
      <c r="Q546" s="63">
        <f>IFERROR(VLOOKUP($B546,'TB YTD'!$4:$1048576,MATCH('List of Ledgers '!Q$4,'TB YTD'!$4:$4,0),0),0)</f>
        <v>6000</v>
      </c>
      <c r="R546" s="63"/>
    </row>
    <row r="547" spans="1:18" hidden="1" x14ac:dyDescent="0.25">
      <c r="A547" s="106">
        <v>531</v>
      </c>
      <c r="B547" s="8" t="s">
        <v>756</v>
      </c>
      <c r="C547" s="8" t="s">
        <v>757</v>
      </c>
      <c r="D547" s="17"/>
      <c r="E547" s="17"/>
      <c r="G547" s="17"/>
      <c r="H547" s="62"/>
      <c r="I547" s="37">
        <f>IFERROR(VLOOKUP(B547,'TB '!$A:$G,7,),0)</f>
        <v>0</v>
      </c>
      <c r="J547" s="37">
        <f>IFERROR(VLOOKUP($B547,'TB '!$4:$1048576,MATCH('List of Ledgers '!J$4,'TB '!$4:$4,0),0),0)</f>
        <v>0</v>
      </c>
      <c r="K547" s="37">
        <f>IFERROR(VLOOKUP($B547,'TB '!$4:$1048576,MATCH('List of Ledgers '!K$4,'TB '!$4:$4,0),0),0)</f>
        <v>0</v>
      </c>
      <c r="L547" s="37">
        <f>IFERROR(VLOOKUP(B547,'TB '!$A:$J,10,),0)</f>
        <v>0</v>
      </c>
      <c r="M547" s="71"/>
      <c r="N547" s="63">
        <f>IFERROR(VLOOKUP($B547,'TB YTD'!$4:$1048576,MATCH('List of Ledgers '!N$4,'TB YTD'!$4:$4,0),0),0)</f>
        <v>0</v>
      </c>
      <c r="O547" s="63">
        <f>IFERROR(VLOOKUP($B547,'TB YTD'!$4:$1048576,MATCH('List of Ledgers '!O$4,'TB YTD'!$4:$4,0),0),0)</f>
        <v>0</v>
      </c>
      <c r="P547" s="63">
        <f>IFERROR(VLOOKUP($B547,'TB YTD'!$4:$1048576,MATCH('List of Ledgers '!P$4,'TB YTD'!$4:$4,0),0),0)</f>
        <v>0</v>
      </c>
      <c r="Q547" s="63">
        <f>IFERROR(VLOOKUP($B547,'TB YTD'!$4:$1048576,MATCH('List of Ledgers '!Q$4,'TB YTD'!$4:$4,0),0),0)</f>
        <v>0</v>
      </c>
      <c r="R547" s="63"/>
    </row>
    <row r="548" spans="1:18" hidden="1" x14ac:dyDescent="0.25">
      <c r="A548" s="106">
        <v>532</v>
      </c>
      <c r="B548" s="8" t="s">
        <v>758</v>
      </c>
      <c r="C548" s="8" t="s">
        <v>140</v>
      </c>
      <c r="D548" s="17" t="s">
        <v>128</v>
      </c>
      <c r="E548" s="17" t="s">
        <v>131</v>
      </c>
      <c r="G548" s="17" t="s">
        <v>7</v>
      </c>
      <c r="H548" s="62"/>
      <c r="I548" s="37">
        <f>IFERROR(VLOOKUP(B548,'TB '!$A:$G,7,),0)</f>
        <v>0</v>
      </c>
      <c r="J548" s="37">
        <f>IFERROR(VLOOKUP($B548,'TB '!$4:$1048576,MATCH('List of Ledgers '!J$4,'TB '!$4:$4,0),0),0)</f>
        <v>0</v>
      </c>
      <c r="K548" s="37">
        <f>IFERROR(VLOOKUP($B548,'TB '!$4:$1048576,MATCH('List of Ledgers '!K$4,'TB '!$4:$4,0),0),0)</f>
        <v>0</v>
      </c>
      <c r="L548" s="37">
        <f>IFERROR(VLOOKUP(B548,'TB '!$A:$J,10,),0)</f>
        <v>0</v>
      </c>
      <c r="M548" s="71"/>
      <c r="N548" s="63">
        <f>IFERROR(VLOOKUP($B548,'TB YTD'!$4:$1048576,MATCH('List of Ledgers '!N$4,'TB YTD'!$4:$4,0),0),0)</f>
        <v>0</v>
      </c>
      <c r="O548" s="63">
        <f>IFERROR(VLOOKUP($B548,'TB YTD'!$4:$1048576,MATCH('List of Ledgers '!O$4,'TB YTD'!$4:$4,0),0),0)</f>
        <v>2469</v>
      </c>
      <c r="P548" s="63">
        <f>IFERROR(VLOOKUP($B548,'TB YTD'!$4:$1048576,MATCH('List of Ledgers '!P$4,'TB YTD'!$4:$4,0),0),0)</f>
        <v>2469</v>
      </c>
      <c r="Q548" s="63">
        <f>IFERROR(VLOOKUP($B548,'TB YTD'!$4:$1048576,MATCH('List of Ledgers '!Q$4,'TB YTD'!$4:$4,0),0),0)</f>
        <v>0</v>
      </c>
      <c r="R548" s="63"/>
    </row>
    <row r="549" spans="1:18" hidden="1" x14ac:dyDescent="0.25">
      <c r="A549" s="106">
        <v>533</v>
      </c>
      <c r="B549" s="8" t="s">
        <v>759</v>
      </c>
      <c r="C549" s="8" t="s">
        <v>382</v>
      </c>
      <c r="D549" s="12" t="s">
        <v>128</v>
      </c>
      <c r="E549" s="12" t="s">
        <v>134</v>
      </c>
      <c r="G549" s="17" t="s">
        <v>2</v>
      </c>
      <c r="H549" s="62"/>
      <c r="I549" s="37">
        <f>IFERROR(VLOOKUP(B549,'TB '!$A:$G,7,),0)</f>
        <v>0</v>
      </c>
      <c r="J549" s="37">
        <f>IFERROR(VLOOKUP($B549,'TB '!$4:$1048576,MATCH('List of Ledgers '!J$4,'TB '!$4:$4,0),0),0)</f>
        <v>0</v>
      </c>
      <c r="K549" s="37">
        <f>IFERROR(VLOOKUP($B549,'TB '!$4:$1048576,MATCH('List of Ledgers '!K$4,'TB '!$4:$4,0),0),0)</f>
        <v>0</v>
      </c>
      <c r="L549" s="37">
        <f>IFERROR(VLOOKUP(B549,'TB '!$A:$J,10,),0)</f>
        <v>0</v>
      </c>
      <c r="M549" s="71"/>
      <c r="N549" s="63">
        <f>IFERROR(VLOOKUP($B549,'TB YTD'!$4:$1048576,MATCH('List of Ledgers '!N$4,'TB YTD'!$4:$4,0),0),0)</f>
        <v>0</v>
      </c>
      <c r="O549" s="63">
        <f>IFERROR(VLOOKUP($B549,'TB YTD'!$4:$1048576,MATCH('List of Ledgers '!O$4,'TB YTD'!$4:$4,0),0),0)</f>
        <v>5989997</v>
      </c>
      <c r="P549" s="63">
        <f>IFERROR(VLOOKUP($B549,'TB YTD'!$4:$1048576,MATCH('List of Ledgers '!P$4,'TB YTD'!$4:$4,0),0),0)</f>
        <v>5989997</v>
      </c>
      <c r="Q549" s="63">
        <f>IFERROR(VLOOKUP($B549,'TB YTD'!$4:$1048576,MATCH('List of Ledgers '!Q$4,'TB YTD'!$4:$4,0),0),0)</f>
        <v>0</v>
      </c>
      <c r="R549" s="63"/>
    </row>
    <row r="550" spans="1:18" hidden="1" x14ac:dyDescent="0.25">
      <c r="A550" s="106">
        <v>534</v>
      </c>
      <c r="B550" s="8" t="s">
        <v>760</v>
      </c>
      <c r="C550" s="8" t="s">
        <v>189</v>
      </c>
      <c r="D550" s="17" t="s">
        <v>151</v>
      </c>
      <c r="E550" s="17" t="s">
        <v>152</v>
      </c>
      <c r="F550" s="12" t="s">
        <v>56</v>
      </c>
      <c r="G550" s="17" t="s">
        <v>7</v>
      </c>
      <c r="H550" s="62"/>
      <c r="I550" s="37">
        <f>IFERROR(VLOOKUP(B550,'TB '!$A:$G,7,),0)</f>
        <v>0</v>
      </c>
      <c r="J550" s="37">
        <f>IFERROR(VLOOKUP($B550,'TB '!$4:$1048576,MATCH('List of Ledgers '!J$4,'TB '!$4:$4,0),0),0)</f>
        <v>12.4</v>
      </c>
      <c r="K550" s="37">
        <f>IFERROR(VLOOKUP($B550,'TB '!$4:$1048576,MATCH('List of Ledgers '!K$4,'TB '!$4:$4,0),0),0)</f>
        <v>23.85</v>
      </c>
      <c r="L550" s="37">
        <f>IFERROR(VLOOKUP(B550,'TB '!$A:$J,10,),0)</f>
        <v>-11.45</v>
      </c>
      <c r="M550" s="71"/>
      <c r="N550" s="63">
        <f>IFERROR(VLOOKUP($B550,'TB YTD'!$4:$1048576,MATCH('List of Ledgers '!N$4,'TB YTD'!$4:$4,0),0),0)</f>
        <v>0</v>
      </c>
      <c r="O550" s="63">
        <f>IFERROR(VLOOKUP($B550,'TB YTD'!$4:$1048576,MATCH('List of Ledgers '!O$4,'TB YTD'!$4:$4,0),0),0)</f>
        <v>203.62</v>
      </c>
      <c r="P550" s="63">
        <f>IFERROR(VLOOKUP($B550,'TB YTD'!$4:$1048576,MATCH('List of Ledgers '!P$4,'TB YTD'!$4:$4,0),0),0)</f>
        <v>241.1</v>
      </c>
      <c r="Q550" s="63">
        <f>IFERROR(VLOOKUP($B550,'TB YTD'!$4:$1048576,MATCH('List of Ledgers '!Q$4,'TB YTD'!$4:$4,0),0),0)</f>
        <v>-37.479999999999997</v>
      </c>
      <c r="R550" s="63"/>
    </row>
    <row r="551" spans="1:18" hidden="1" x14ac:dyDescent="0.25">
      <c r="A551" s="106">
        <v>535</v>
      </c>
      <c r="B551" s="8" t="s">
        <v>761</v>
      </c>
      <c r="C551" s="8" t="s">
        <v>198</v>
      </c>
      <c r="D551" s="17" t="s">
        <v>128</v>
      </c>
      <c r="E551" s="17" t="s">
        <v>134</v>
      </c>
      <c r="G551" s="17" t="s">
        <v>2</v>
      </c>
      <c r="H551" s="62"/>
      <c r="I551" s="37">
        <f>IFERROR(VLOOKUP(B551,'TB '!$A:$G,7,),0)</f>
        <v>51094</v>
      </c>
      <c r="J551" s="37">
        <f>IFERROR(VLOOKUP($B551,'TB '!$4:$1048576,MATCH('List of Ledgers '!J$4,'TB '!$4:$4,0),0),0)</f>
        <v>0</v>
      </c>
      <c r="K551" s="37">
        <f>IFERROR(VLOOKUP($B551,'TB '!$4:$1048576,MATCH('List of Ledgers '!K$4,'TB '!$4:$4,0),0),0)</f>
        <v>0</v>
      </c>
      <c r="L551" s="37">
        <f>IFERROR(VLOOKUP(B551,'TB '!$A:$J,10,),0)</f>
        <v>51094</v>
      </c>
      <c r="M551" s="71"/>
      <c r="N551" s="63">
        <f>IFERROR(VLOOKUP($B551,'TB YTD'!$4:$1048576,MATCH('List of Ledgers '!N$4,'TB YTD'!$4:$4,0),0),0)</f>
        <v>51094</v>
      </c>
      <c r="O551" s="63">
        <f>IFERROR(VLOOKUP($B551,'TB YTD'!$4:$1048576,MATCH('List of Ledgers '!O$4,'TB YTD'!$4:$4,0),0),0)</f>
        <v>0</v>
      </c>
      <c r="P551" s="63">
        <f>IFERROR(VLOOKUP($B551,'TB YTD'!$4:$1048576,MATCH('List of Ledgers '!P$4,'TB YTD'!$4:$4,0),0),0)</f>
        <v>0</v>
      </c>
      <c r="Q551" s="63">
        <f>IFERROR(VLOOKUP($B551,'TB YTD'!$4:$1048576,MATCH('List of Ledgers '!Q$4,'TB YTD'!$4:$4,0),0),0)</f>
        <v>51094</v>
      </c>
      <c r="R551" s="63"/>
    </row>
    <row r="552" spans="1:18" hidden="1" x14ac:dyDescent="0.25">
      <c r="A552" s="106">
        <v>536</v>
      </c>
      <c r="B552" s="8" t="s">
        <v>762</v>
      </c>
      <c r="C552" s="8" t="s">
        <v>180</v>
      </c>
      <c r="D552" s="17" t="s">
        <v>128</v>
      </c>
      <c r="E552" s="17" t="s">
        <v>131</v>
      </c>
      <c r="G552" s="17" t="s">
        <v>2</v>
      </c>
      <c r="H552" s="62"/>
      <c r="I552" s="37">
        <f>IFERROR(VLOOKUP(B552,'TB '!$A:$G,7,),0)</f>
        <v>0</v>
      </c>
      <c r="J552" s="37">
        <f>IFERROR(VLOOKUP($B552,'TB '!$4:$1048576,MATCH('List of Ledgers '!J$4,'TB '!$4:$4,0),0),0)</f>
        <v>0</v>
      </c>
      <c r="K552" s="37">
        <f>IFERROR(VLOOKUP($B552,'TB '!$4:$1048576,MATCH('List of Ledgers '!K$4,'TB '!$4:$4,0),0),0)</f>
        <v>0</v>
      </c>
      <c r="L552" s="37">
        <f>IFERROR(VLOOKUP(B552,'TB '!$A:$J,10,),0)</f>
        <v>0</v>
      </c>
      <c r="M552" s="71"/>
      <c r="N552" s="63">
        <f>IFERROR(VLOOKUP($B552,'TB YTD'!$4:$1048576,MATCH('List of Ledgers '!N$4,'TB YTD'!$4:$4,0),0),0)</f>
        <v>-29394</v>
      </c>
      <c r="O552" s="63">
        <f>IFERROR(VLOOKUP($B552,'TB YTD'!$4:$1048576,MATCH('List of Ledgers '!O$4,'TB YTD'!$4:$4,0),0),0)</f>
        <v>29394</v>
      </c>
      <c r="P552" s="63">
        <f>IFERROR(VLOOKUP($B552,'TB YTD'!$4:$1048576,MATCH('List of Ledgers '!P$4,'TB YTD'!$4:$4,0),0),0)</f>
        <v>0</v>
      </c>
      <c r="Q552" s="63">
        <f>IFERROR(VLOOKUP($B552,'TB YTD'!$4:$1048576,MATCH('List of Ledgers '!Q$4,'TB YTD'!$4:$4,0),0),0)</f>
        <v>0</v>
      </c>
      <c r="R552" s="63"/>
    </row>
    <row r="553" spans="1:18" hidden="1" x14ac:dyDescent="0.25">
      <c r="A553" s="106">
        <v>537</v>
      </c>
      <c r="B553" s="8" t="s">
        <v>763</v>
      </c>
      <c r="C553" s="8" t="s">
        <v>246</v>
      </c>
      <c r="D553" s="17" t="s">
        <v>128</v>
      </c>
      <c r="E553" s="17" t="s">
        <v>134</v>
      </c>
      <c r="G553" s="17" t="s">
        <v>2</v>
      </c>
      <c r="H553" s="62"/>
      <c r="I553" s="37">
        <f>IFERROR(VLOOKUP(B553,'TB '!$A:$G,7,),0)</f>
        <v>-1180</v>
      </c>
      <c r="J553" s="37">
        <f>IFERROR(VLOOKUP($B553,'TB '!$4:$1048576,MATCH('List of Ledgers '!J$4,'TB '!$4:$4,0),0),0)</f>
        <v>0</v>
      </c>
      <c r="K553" s="37">
        <f>IFERROR(VLOOKUP($B553,'TB '!$4:$1048576,MATCH('List of Ledgers '!K$4,'TB '!$4:$4,0),0),0)</f>
        <v>0</v>
      </c>
      <c r="L553" s="37">
        <f>IFERROR(VLOOKUP(B553,'TB '!$A:$J,10,),0)</f>
        <v>-1180</v>
      </c>
      <c r="M553" s="71"/>
      <c r="N553" s="63">
        <f>IFERROR(VLOOKUP($B553,'TB YTD'!$4:$1048576,MATCH('List of Ledgers '!N$4,'TB YTD'!$4:$4,0),0),0)</f>
        <v>47790</v>
      </c>
      <c r="O553" s="63">
        <f>IFERROR(VLOOKUP($B553,'TB YTD'!$4:$1048576,MATCH('List of Ledgers '!O$4,'TB YTD'!$4:$4,0),0),0)</f>
        <v>112100</v>
      </c>
      <c r="P553" s="63">
        <f>IFERROR(VLOOKUP($B553,'TB YTD'!$4:$1048576,MATCH('List of Ledgers '!P$4,'TB YTD'!$4:$4,0),0),0)</f>
        <v>161070</v>
      </c>
      <c r="Q553" s="63">
        <f>IFERROR(VLOOKUP($B553,'TB YTD'!$4:$1048576,MATCH('List of Ledgers '!Q$4,'TB YTD'!$4:$4,0),0),0)</f>
        <v>-1180</v>
      </c>
      <c r="R553" s="63"/>
    </row>
    <row r="554" spans="1:18" hidden="1" x14ac:dyDescent="0.25">
      <c r="A554" s="106">
        <v>538</v>
      </c>
      <c r="B554" s="8" t="s">
        <v>764</v>
      </c>
      <c r="C554" s="8" t="s">
        <v>146</v>
      </c>
      <c r="D554" s="17"/>
      <c r="E554" s="17"/>
      <c r="G554" s="17"/>
      <c r="H554" s="62"/>
      <c r="I554" s="37">
        <f>IFERROR(VLOOKUP(B554,'TB '!$A:$G,7,),0)</f>
        <v>1870</v>
      </c>
      <c r="J554" s="37">
        <f>IFERROR(VLOOKUP($B554,'TB '!$4:$1048576,MATCH('List of Ledgers '!J$4,'TB '!$4:$4,0),0),0)</f>
        <v>0</v>
      </c>
      <c r="K554" s="37">
        <f>IFERROR(VLOOKUP($B554,'TB '!$4:$1048576,MATCH('List of Ledgers '!K$4,'TB '!$4:$4,0),0),0)</f>
        <v>0</v>
      </c>
      <c r="L554" s="37">
        <f>IFERROR(VLOOKUP(B554,'TB '!$A:$J,10,),0)</f>
        <v>1870</v>
      </c>
      <c r="M554" s="71"/>
      <c r="N554" s="63">
        <f>IFERROR(VLOOKUP($B554,'TB YTD'!$4:$1048576,MATCH('List of Ledgers '!N$4,'TB YTD'!$4:$4,0),0),0)</f>
        <v>1870</v>
      </c>
      <c r="O554" s="63">
        <f>IFERROR(VLOOKUP($B554,'TB YTD'!$4:$1048576,MATCH('List of Ledgers '!O$4,'TB YTD'!$4:$4,0),0),0)</f>
        <v>0</v>
      </c>
      <c r="P554" s="63">
        <f>IFERROR(VLOOKUP($B554,'TB YTD'!$4:$1048576,MATCH('List of Ledgers '!P$4,'TB YTD'!$4:$4,0),0),0)</f>
        <v>0</v>
      </c>
      <c r="Q554" s="63">
        <f>IFERROR(VLOOKUP($B554,'TB YTD'!$4:$1048576,MATCH('List of Ledgers '!Q$4,'TB YTD'!$4:$4,0),0),0)</f>
        <v>1870</v>
      </c>
      <c r="R554" s="63"/>
    </row>
    <row r="555" spans="1:18" hidden="1" x14ac:dyDescent="0.25">
      <c r="A555" s="106">
        <v>539</v>
      </c>
      <c r="B555" s="8" t="s">
        <v>765</v>
      </c>
      <c r="C555" s="8" t="s">
        <v>124</v>
      </c>
      <c r="H555" s="62"/>
      <c r="I555" s="37">
        <f>IFERROR(VLOOKUP(B555,'TB '!$A:$G,7,),0)</f>
        <v>8490.99</v>
      </c>
      <c r="J555" s="37">
        <f>IFERROR(VLOOKUP($B555,'TB '!$4:$1048576,MATCH('List of Ledgers '!J$4,'TB '!$4:$4,0),0),0)</f>
        <v>0</v>
      </c>
      <c r="K555" s="37">
        <f>IFERROR(VLOOKUP($B555,'TB '!$4:$1048576,MATCH('List of Ledgers '!K$4,'TB '!$4:$4,0),0),0)</f>
        <v>0</v>
      </c>
      <c r="L555" s="37">
        <f>IFERROR(VLOOKUP(B555,'TB '!$A:$J,10,),0)</f>
        <v>8490.99</v>
      </c>
      <c r="M555" s="71"/>
      <c r="N555" s="63">
        <f>IFERROR(VLOOKUP($B555,'TB YTD'!$4:$1048576,MATCH('List of Ledgers '!N$4,'TB YTD'!$4:$4,0),0),0)</f>
        <v>8490.99</v>
      </c>
      <c r="O555" s="63">
        <f>IFERROR(VLOOKUP($B555,'TB YTD'!$4:$1048576,MATCH('List of Ledgers '!O$4,'TB YTD'!$4:$4,0),0),0)</f>
        <v>0</v>
      </c>
      <c r="P555" s="63">
        <f>IFERROR(VLOOKUP($B555,'TB YTD'!$4:$1048576,MATCH('List of Ledgers '!P$4,'TB YTD'!$4:$4,0),0),0)</f>
        <v>0</v>
      </c>
      <c r="Q555" s="63">
        <f>IFERROR(VLOOKUP($B555,'TB YTD'!$4:$1048576,MATCH('List of Ledgers '!Q$4,'TB YTD'!$4:$4,0),0),0)</f>
        <v>8490.99</v>
      </c>
      <c r="R555" s="63"/>
    </row>
    <row r="556" spans="1:18" hidden="1" x14ac:dyDescent="0.25">
      <c r="A556" s="106">
        <v>540</v>
      </c>
      <c r="B556" s="8" t="s">
        <v>766</v>
      </c>
      <c r="C556" s="8" t="s">
        <v>146</v>
      </c>
      <c r="H556" s="62"/>
      <c r="I556" s="37">
        <f>IFERROR(VLOOKUP(B556,'TB '!$A:$G,7,),0)</f>
        <v>6580</v>
      </c>
      <c r="J556" s="37">
        <f>IFERROR(VLOOKUP($B556,'TB '!$4:$1048576,MATCH('List of Ledgers '!J$4,'TB '!$4:$4,0),0),0)</f>
        <v>0</v>
      </c>
      <c r="K556" s="37">
        <f>IFERROR(VLOOKUP($B556,'TB '!$4:$1048576,MATCH('List of Ledgers '!K$4,'TB '!$4:$4,0),0),0)</f>
        <v>0</v>
      </c>
      <c r="L556" s="37">
        <f>IFERROR(VLOOKUP(B556,'TB '!$A:$J,10,),0)</f>
        <v>6580</v>
      </c>
      <c r="M556" s="71"/>
      <c r="N556" s="63">
        <f>IFERROR(VLOOKUP($B556,'TB YTD'!$4:$1048576,MATCH('List of Ledgers '!N$4,'TB YTD'!$4:$4,0),0),0)</f>
        <v>6580</v>
      </c>
      <c r="O556" s="63">
        <f>IFERROR(VLOOKUP($B556,'TB YTD'!$4:$1048576,MATCH('List of Ledgers '!O$4,'TB YTD'!$4:$4,0),0),0)</f>
        <v>0</v>
      </c>
      <c r="P556" s="63">
        <f>IFERROR(VLOOKUP($B556,'TB YTD'!$4:$1048576,MATCH('List of Ledgers '!P$4,'TB YTD'!$4:$4,0),0),0)</f>
        <v>0</v>
      </c>
      <c r="Q556" s="63">
        <f>IFERROR(VLOOKUP($B556,'TB YTD'!$4:$1048576,MATCH('List of Ledgers '!Q$4,'TB YTD'!$4:$4,0),0),0)</f>
        <v>6580</v>
      </c>
      <c r="R556" s="63"/>
    </row>
    <row r="557" spans="1:18" hidden="1" x14ac:dyDescent="0.25">
      <c r="A557" s="106">
        <v>541</v>
      </c>
      <c r="B557" s="8" t="s">
        <v>767</v>
      </c>
      <c r="C557" s="8" t="s">
        <v>133</v>
      </c>
      <c r="D557" s="17" t="s">
        <v>128</v>
      </c>
      <c r="E557" s="17" t="s">
        <v>134</v>
      </c>
      <c r="G557" s="17" t="s">
        <v>2</v>
      </c>
      <c r="H557" s="62"/>
      <c r="I557" s="37">
        <f>IFERROR(VLOOKUP(B557,'TB '!$A:$G,7,),0)</f>
        <v>0</v>
      </c>
      <c r="J557" s="37">
        <f>IFERROR(VLOOKUP($B557,'TB '!$4:$1048576,MATCH('List of Ledgers '!J$4,'TB '!$4:$4,0),0),0)</f>
        <v>0</v>
      </c>
      <c r="K557" s="37">
        <f>IFERROR(VLOOKUP($B557,'TB '!$4:$1048576,MATCH('List of Ledgers '!K$4,'TB '!$4:$4,0),0),0)</f>
        <v>0</v>
      </c>
      <c r="L557" s="37">
        <f>IFERROR(VLOOKUP(B557,'TB '!$A:$J,10,),0)</f>
        <v>0</v>
      </c>
      <c r="M557" s="71"/>
      <c r="N557" s="63">
        <f>IFERROR(VLOOKUP($B557,'TB YTD'!$4:$1048576,MATCH('List of Ledgers '!N$4,'TB YTD'!$4:$4,0),0),0)</f>
        <v>0</v>
      </c>
      <c r="O557" s="63">
        <f>IFERROR(VLOOKUP($B557,'TB YTD'!$4:$1048576,MATCH('List of Ledgers '!O$4,'TB YTD'!$4:$4,0),0),0)</f>
        <v>0</v>
      </c>
      <c r="P557" s="63">
        <f>IFERROR(VLOOKUP($B557,'TB YTD'!$4:$1048576,MATCH('List of Ledgers '!P$4,'TB YTD'!$4:$4,0),0),0)</f>
        <v>0</v>
      </c>
      <c r="Q557" s="63">
        <f>IFERROR(VLOOKUP($B557,'TB YTD'!$4:$1048576,MATCH('List of Ledgers '!Q$4,'TB YTD'!$4:$4,0),0),0)</f>
        <v>0</v>
      </c>
      <c r="R557" s="63"/>
    </row>
    <row r="558" spans="1:18" hidden="1" x14ac:dyDescent="0.25">
      <c r="A558" s="106">
        <v>542</v>
      </c>
      <c r="B558" s="8" t="s">
        <v>768</v>
      </c>
      <c r="C558" s="8" t="s">
        <v>583</v>
      </c>
      <c r="D558" s="17" t="s">
        <v>128</v>
      </c>
      <c r="E558" s="17" t="s">
        <v>134</v>
      </c>
      <c r="G558" s="17" t="s">
        <v>2</v>
      </c>
      <c r="H558" s="62"/>
      <c r="I558" s="37">
        <f>IFERROR(VLOOKUP(B558,'TB '!$A:$G,7,),0)</f>
        <v>0</v>
      </c>
      <c r="J558" s="37">
        <f>IFERROR(VLOOKUP($B558,'TB '!$4:$1048576,MATCH('List of Ledgers '!J$4,'TB '!$4:$4,0),0),0)</f>
        <v>0</v>
      </c>
      <c r="K558" s="37">
        <f>IFERROR(VLOOKUP($B558,'TB '!$4:$1048576,MATCH('List of Ledgers '!K$4,'TB '!$4:$4,0),0),0)</f>
        <v>0</v>
      </c>
      <c r="L558" s="37">
        <f>IFERROR(VLOOKUP(B558,'TB '!$A:$J,10,),0)</f>
        <v>0</v>
      </c>
      <c r="M558" s="71"/>
      <c r="N558" s="63">
        <f>IFERROR(VLOOKUP($B558,'TB YTD'!$4:$1048576,MATCH('List of Ledgers '!N$4,'TB YTD'!$4:$4,0),0),0)</f>
        <v>0</v>
      </c>
      <c r="O558" s="63">
        <f>IFERROR(VLOOKUP($B558,'TB YTD'!$4:$1048576,MATCH('List of Ledgers '!O$4,'TB YTD'!$4:$4,0),0),0)</f>
        <v>0</v>
      </c>
      <c r="P558" s="63">
        <f>IFERROR(VLOOKUP($B558,'TB YTD'!$4:$1048576,MATCH('List of Ledgers '!P$4,'TB YTD'!$4:$4,0),0),0)</f>
        <v>0</v>
      </c>
      <c r="Q558" s="63">
        <f>IFERROR(VLOOKUP($B558,'TB YTD'!$4:$1048576,MATCH('List of Ledgers '!Q$4,'TB YTD'!$4:$4,0),0),0)</f>
        <v>0</v>
      </c>
      <c r="R558" s="63"/>
    </row>
    <row r="559" spans="1:18" hidden="1" x14ac:dyDescent="0.25">
      <c r="A559" s="106">
        <v>543</v>
      </c>
      <c r="B559" s="8" t="s">
        <v>769</v>
      </c>
      <c r="C559" s="8" t="s">
        <v>140</v>
      </c>
      <c r="D559" s="17" t="s">
        <v>128</v>
      </c>
      <c r="E559" s="17" t="s">
        <v>131</v>
      </c>
      <c r="G559" s="17" t="s">
        <v>7</v>
      </c>
      <c r="H559" s="62"/>
      <c r="I559" s="37">
        <f>IFERROR(VLOOKUP(B559,'TB '!$A:$G,7,),0)</f>
        <v>0</v>
      </c>
      <c r="J559" s="37">
        <f>IFERROR(VLOOKUP($B559,'TB '!$4:$1048576,MATCH('List of Ledgers '!J$4,'TB '!$4:$4,0),0),0)</f>
        <v>0</v>
      </c>
      <c r="K559" s="37">
        <f>IFERROR(VLOOKUP($B559,'TB '!$4:$1048576,MATCH('List of Ledgers '!K$4,'TB '!$4:$4,0),0),0)</f>
        <v>0</v>
      </c>
      <c r="L559" s="37">
        <f>IFERROR(VLOOKUP(B559,'TB '!$A:$J,10,),0)</f>
        <v>0</v>
      </c>
      <c r="M559" s="71"/>
      <c r="N559" s="63">
        <f>IFERROR(VLOOKUP($B559,'TB YTD'!$4:$1048576,MATCH('List of Ledgers '!N$4,'TB YTD'!$4:$4,0),0),0)</f>
        <v>-3899.63</v>
      </c>
      <c r="O559" s="63">
        <f>IFERROR(VLOOKUP($B559,'TB YTD'!$4:$1048576,MATCH('List of Ledgers '!O$4,'TB YTD'!$4:$4,0),0),0)</f>
        <v>5125</v>
      </c>
      <c r="P559" s="63">
        <f>IFERROR(VLOOKUP($B559,'TB YTD'!$4:$1048576,MATCH('List of Ledgers '!P$4,'TB YTD'!$4:$4,0),0),0)</f>
        <v>1225.3699999999999</v>
      </c>
      <c r="Q559" s="63">
        <f>IFERROR(VLOOKUP($B559,'TB YTD'!$4:$1048576,MATCH('List of Ledgers '!Q$4,'TB YTD'!$4:$4,0),0),0)</f>
        <v>0</v>
      </c>
      <c r="R559" s="63"/>
    </row>
    <row r="560" spans="1:18" hidden="1" x14ac:dyDescent="0.25">
      <c r="A560" s="106">
        <v>544</v>
      </c>
      <c r="B560" s="2" t="s">
        <v>770</v>
      </c>
      <c r="C560" s="2" t="s">
        <v>158</v>
      </c>
      <c r="D560" s="17" t="s">
        <v>128</v>
      </c>
      <c r="E560" s="17" t="s">
        <v>131</v>
      </c>
      <c r="G560" s="17" t="s">
        <v>4</v>
      </c>
      <c r="I560" s="37">
        <f>IFERROR(VLOOKUP(B560,'TB '!$A:$G,7,),0)</f>
        <v>279</v>
      </c>
      <c r="J560" s="37">
        <f>IFERROR(VLOOKUP($B560,'TB '!$4:$1048576,MATCH('List of Ledgers '!J$4,'TB '!$4:$4,0),0),0)</f>
        <v>0</v>
      </c>
      <c r="K560" s="37">
        <f>IFERROR(VLOOKUP($B560,'TB '!$4:$1048576,MATCH('List of Ledgers '!K$4,'TB '!$4:$4,0),0),0)</f>
        <v>304</v>
      </c>
      <c r="L560" s="37">
        <f>IFERROR(VLOOKUP(B560,'TB '!$A:$J,10,),0)</f>
        <v>-25</v>
      </c>
      <c r="M560" s="71"/>
      <c r="N560" s="63">
        <f>IFERROR(VLOOKUP($B560,'TB YTD'!$4:$1048576,MATCH('List of Ledgers '!N$4,'TB YTD'!$4:$4,0),0),0)</f>
        <v>0</v>
      </c>
      <c r="O560" s="63">
        <f>IFERROR(VLOOKUP($B560,'TB YTD'!$4:$1048576,MATCH('List of Ledgers '!O$4,'TB YTD'!$4:$4,0),0),0)</f>
        <v>6229420</v>
      </c>
      <c r="P560" s="63">
        <f>IFERROR(VLOOKUP($B560,'TB YTD'!$4:$1048576,MATCH('List of Ledgers '!P$4,'TB YTD'!$4:$4,0),0),0)</f>
        <v>6229445</v>
      </c>
      <c r="Q560" s="63">
        <f>IFERROR(VLOOKUP($B560,'TB YTD'!$4:$1048576,MATCH('List of Ledgers '!Q$4,'TB YTD'!$4:$4,0),0),0)</f>
        <v>-25</v>
      </c>
    </row>
    <row r="561" spans="1:18" hidden="1" x14ac:dyDescent="0.25">
      <c r="A561" s="106">
        <v>545</v>
      </c>
      <c r="B561" s="8" t="s">
        <v>771</v>
      </c>
      <c r="C561" s="8" t="s">
        <v>140</v>
      </c>
      <c r="D561" s="17" t="s">
        <v>128</v>
      </c>
      <c r="E561" s="17" t="s">
        <v>131</v>
      </c>
      <c r="G561" s="17" t="s">
        <v>7</v>
      </c>
      <c r="H561" s="62"/>
      <c r="I561" s="37">
        <f>IFERROR(VLOOKUP(B561,'TB '!$A:$G,7,),0)</f>
        <v>-1000</v>
      </c>
      <c r="J561" s="37">
        <f>IFERROR(VLOOKUP($B561,'TB '!$4:$1048576,MATCH('List of Ledgers '!J$4,'TB '!$4:$4,0),0),0)</f>
        <v>2000</v>
      </c>
      <c r="K561" s="37">
        <f>IFERROR(VLOOKUP($B561,'TB '!$4:$1048576,MATCH('List of Ledgers '!K$4,'TB '!$4:$4,0),0),0)</f>
        <v>2000</v>
      </c>
      <c r="L561" s="37">
        <f>IFERROR(VLOOKUP(B561,'TB '!$A:$J,10,),0)</f>
        <v>-1000</v>
      </c>
      <c r="M561" s="71"/>
      <c r="N561" s="63">
        <f>IFERROR(VLOOKUP($B561,'TB YTD'!$4:$1048576,MATCH('List of Ledgers '!N$4,'TB YTD'!$4:$4,0),0),0)</f>
        <v>-1000</v>
      </c>
      <c r="O561" s="63">
        <f>IFERROR(VLOOKUP($B561,'TB YTD'!$4:$1048576,MATCH('List of Ledgers '!O$4,'TB YTD'!$4:$4,0),0),0)</f>
        <v>12000</v>
      </c>
      <c r="P561" s="63">
        <f>IFERROR(VLOOKUP($B561,'TB YTD'!$4:$1048576,MATCH('List of Ledgers '!P$4,'TB YTD'!$4:$4,0),0),0)</f>
        <v>12000</v>
      </c>
      <c r="Q561" s="63">
        <f>IFERROR(VLOOKUP($B561,'TB YTD'!$4:$1048576,MATCH('List of Ledgers '!Q$4,'TB YTD'!$4:$4,0),0),0)</f>
        <v>-1000</v>
      </c>
      <c r="R561" s="63"/>
    </row>
    <row r="562" spans="1:18" hidden="1" x14ac:dyDescent="0.25">
      <c r="A562" s="106">
        <v>546</v>
      </c>
      <c r="B562" s="8" t="s">
        <v>772</v>
      </c>
      <c r="C562" s="8" t="s">
        <v>609</v>
      </c>
      <c r="D562" s="12" t="s">
        <v>128</v>
      </c>
      <c r="E562" s="12" t="s">
        <v>134</v>
      </c>
      <c r="G562" s="12" t="s">
        <v>2</v>
      </c>
      <c r="H562" s="62"/>
      <c r="I562" s="37">
        <f>IFERROR(VLOOKUP(B562,'TB '!$A:$G,7,),0)</f>
        <v>0</v>
      </c>
      <c r="J562" s="37">
        <f>IFERROR(VLOOKUP($B562,'TB '!$4:$1048576,MATCH('List of Ledgers '!J$4,'TB '!$4:$4,0),0),0)</f>
        <v>0</v>
      </c>
      <c r="K562" s="37">
        <f>IFERROR(VLOOKUP($B562,'TB '!$4:$1048576,MATCH('List of Ledgers '!K$4,'TB '!$4:$4,0),0),0)</f>
        <v>0</v>
      </c>
      <c r="L562" s="37">
        <f>IFERROR(VLOOKUP(B562,'TB '!$A:$J,10,),0)</f>
        <v>0</v>
      </c>
      <c r="M562" s="71"/>
      <c r="N562" s="63">
        <f>IFERROR(VLOOKUP($B562,'TB YTD'!$4:$1048576,MATCH('List of Ledgers '!N$4,'TB YTD'!$4:$4,0),0),0)</f>
        <v>-3029.36</v>
      </c>
      <c r="O562" s="63">
        <f>IFERROR(VLOOKUP($B562,'TB YTD'!$4:$1048576,MATCH('List of Ledgers '!O$4,'TB YTD'!$4:$4,0),0),0)</f>
        <v>60133</v>
      </c>
      <c r="P562" s="63">
        <f>IFERROR(VLOOKUP($B562,'TB YTD'!$4:$1048576,MATCH('List of Ledgers '!P$4,'TB YTD'!$4:$4,0),0),0)</f>
        <v>57103.64</v>
      </c>
      <c r="Q562" s="63">
        <f>IFERROR(VLOOKUP($B562,'TB YTD'!$4:$1048576,MATCH('List of Ledgers '!Q$4,'TB YTD'!$4:$4,0),0),0)</f>
        <v>0</v>
      </c>
      <c r="R562" s="63"/>
    </row>
    <row r="563" spans="1:18" hidden="1" x14ac:dyDescent="0.25">
      <c r="A563" s="106">
        <v>547</v>
      </c>
      <c r="B563" s="8" t="s">
        <v>773</v>
      </c>
      <c r="C563" s="8" t="s">
        <v>757</v>
      </c>
      <c r="D563" s="17"/>
      <c r="E563" s="17"/>
      <c r="G563" s="17"/>
      <c r="H563" s="62"/>
      <c r="I563" s="37">
        <f>IFERROR(VLOOKUP(B563,'TB '!$A:$G,7,),0)</f>
        <v>-606233</v>
      </c>
      <c r="J563" s="37">
        <f>IFERROR(VLOOKUP($B563,'TB '!$4:$1048576,MATCH('List of Ledgers '!J$4,'TB '!$4:$4,0),0),0)</f>
        <v>610835</v>
      </c>
      <c r="K563" s="37">
        <f>IFERROR(VLOOKUP($B563,'TB '!$4:$1048576,MATCH('List of Ledgers '!K$4,'TB '!$4:$4,0),0),0)</f>
        <v>584007</v>
      </c>
      <c r="L563" s="37">
        <f>IFERROR(VLOOKUP(B563,'TB '!$A:$J,10,),0)</f>
        <v>-579405</v>
      </c>
      <c r="M563" s="71"/>
      <c r="N563" s="63">
        <f>IFERROR(VLOOKUP($B563,'TB YTD'!$4:$1048576,MATCH('List of Ledgers '!N$4,'TB YTD'!$4:$4,0),0),0)</f>
        <v>-109824</v>
      </c>
      <c r="O563" s="63">
        <f>IFERROR(VLOOKUP($B563,'TB YTD'!$4:$1048576,MATCH('List of Ledgers '!O$4,'TB YTD'!$4:$4,0),0),0)</f>
        <v>2741112</v>
      </c>
      <c r="P563" s="63">
        <f>IFERROR(VLOOKUP($B563,'TB YTD'!$4:$1048576,MATCH('List of Ledgers '!P$4,'TB YTD'!$4:$4,0),0),0)</f>
        <v>3210693</v>
      </c>
      <c r="Q563" s="63">
        <f>IFERROR(VLOOKUP($B563,'TB YTD'!$4:$1048576,MATCH('List of Ledgers '!Q$4,'TB YTD'!$4:$4,0),0),0)</f>
        <v>-579405</v>
      </c>
      <c r="R563" s="63"/>
    </row>
    <row r="564" spans="1:18" hidden="1" x14ac:dyDescent="0.25">
      <c r="A564" s="106">
        <v>548</v>
      </c>
      <c r="B564" s="8" t="s">
        <v>774</v>
      </c>
      <c r="C564" s="8" t="s">
        <v>365</v>
      </c>
      <c r="D564" s="17" t="s">
        <v>151</v>
      </c>
      <c r="E564" s="17" t="s">
        <v>351</v>
      </c>
      <c r="F564" s="12" t="s">
        <v>27</v>
      </c>
      <c r="G564" s="17" t="s">
        <v>3</v>
      </c>
      <c r="H564" s="62"/>
      <c r="I564" s="37">
        <f>IFERROR(VLOOKUP(B564,'TB '!$A:$G,7,),0)</f>
        <v>0</v>
      </c>
      <c r="J564" s="37">
        <f>IFERROR(VLOOKUP($B564,'TB '!$4:$1048576,MATCH('List of Ledgers '!J$4,'TB '!$4:$4,0),0),0)</f>
        <v>0</v>
      </c>
      <c r="K564" s="37">
        <f>IFERROR(VLOOKUP($B564,'TB '!$4:$1048576,MATCH('List of Ledgers '!K$4,'TB '!$4:$4,0),0),0)</f>
        <v>28434.720000000001</v>
      </c>
      <c r="L564" s="37">
        <f>IFERROR(VLOOKUP(B564,'TB '!$A:$J,10,),0)</f>
        <v>-28434.720000000001</v>
      </c>
      <c r="M564" s="71"/>
      <c r="N564" s="63">
        <f>IFERROR(VLOOKUP($B564,'TB YTD'!$4:$1048576,MATCH('List of Ledgers '!N$4,'TB YTD'!$4:$4,0),0),0)</f>
        <v>0</v>
      </c>
      <c r="O564" s="63">
        <f>IFERROR(VLOOKUP($B564,'TB YTD'!$4:$1048576,MATCH('List of Ledgers '!O$4,'TB YTD'!$4:$4,0),0),0)</f>
        <v>0</v>
      </c>
      <c r="P564" s="63">
        <f>IFERROR(VLOOKUP($B564,'TB YTD'!$4:$1048576,MATCH('List of Ledgers '!P$4,'TB YTD'!$4:$4,0),0),0)</f>
        <v>887346.04</v>
      </c>
      <c r="Q564" s="63">
        <f>IFERROR(VLOOKUP($B564,'TB YTD'!$4:$1048576,MATCH('List of Ledgers '!Q$4,'TB YTD'!$4:$4,0),0),0)</f>
        <v>-887346.04</v>
      </c>
      <c r="R564" s="63"/>
    </row>
    <row r="565" spans="1:18" hidden="1" x14ac:dyDescent="0.25">
      <c r="A565" s="106">
        <v>549</v>
      </c>
      <c r="B565" s="8" t="s">
        <v>775</v>
      </c>
      <c r="C565" s="8" t="s">
        <v>776</v>
      </c>
      <c r="D565" s="17" t="s">
        <v>151</v>
      </c>
      <c r="E565" s="17" t="s">
        <v>351</v>
      </c>
      <c r="F565" s="12" t="s">
        <v>27</v>
      </c>
      <c r="G565" s="17" t="s">
        <v>7</v>
      </c>
      <c r="H565" s="62"/>
      <c r="I565" s="37">
        <f>IFERROR(VLOOKUP(B565,'TB '!$A:$G,7,),0)</f>
        <v>0</v>
      </c>
      <c r="J565" s="37">
        <f>IFERROR(VLOOKUP($B565,'TB '!$4:$1048576,MATCH('List of Ledgers '!J$4,'TB '!$4:$4,0),0),0)</f>
        <v>0</v>
      </c>
      <c r="K565" s="37">
        <f>IFERROR(VLOOKUP($B565,'TB '!$4:$1048576,MATCH('List of Ledgers '!K$4,'TB '!$4:$4,0),0),0)</f>
        <v>0</v>
      </c>
      <c r="L565" s="37">
        <f>IFERROR(VLOOKUP(B565,'TB '!$A:$J,10,),0)</f>
        <v>0</v>
      </c>
      <c r="M565" s="71"/>
      <c r="N565" s="63">
        <f>IFERROR(VLOOKUP($B565,'TB YTD'!$4:$1048576,MATCH('List of Ledgers '!N$4,'TB YTD'!$4:$4,0),0),0)</f>
        <v>0</v>
      </c>
      <c r="O565" s="63">
        <f>IFERROR(VLOOKUP($B565,'TB YTD'!$4:$1048576,MATCH('List of Ledgers '!O$4,'TB YTD'!$4:$4,0),0),0)</f>
        <v>0</v>
      </c>
      <c r="P565" s="63">
        <f>IFERROR(VLOOKUP($B565,'TB YTD'!$4:$1048576,MATCH('List of Ledgers '!P$4,'TB YTD'!$4:$4,0),0),0)</f>
        <v>0</v>
      </c>
      <c r="Q565" s="63">
        <f>IFERROR(VLOOKUP($B565,'TB YTD'!$4:$1048576,MATCH('List of Ledgers '!Q$4,'TB YTD'!$4:$4,0),0),0)</f>
        <v>0</v>
      </c>
      <c r="R565" s="63"/>
    </row>
    <row r="566" spans="1:18" hidden="1" x14ac:dyDescent="0.25">
      <c r="A566" s="106">
        <v>550</v>
      </c>
      <c r="B566" s="8" t="s">
        <v>777</v>
      </c>
      <c r="C566" s="8" t="s">
        <v>350</v>
      </c>
      <c r="D566" s="17" t="s">
        <v>151</v>
      </c>
      <c r="E566" s="17" t="s">
        <v>351</v>
      </c>
      <c r="F566" s="12" t="s">
        <v>27</v>
      </c>
      <c r="G566" s="17" t="s">
        <v>2</v>
      </c>
      <c r="H566" s="62"/>
      <c r="I566" s="37">
        <f>IFERROR(VLOOKUP(B566,'TB '!$A:$G,7,),0)</f>
        <v>0</v>
      </c>
      <c r="J566" s="37">
        <f>IFERROR(VLOOKUP($B566,'TB '!$4:$1048576,MATCH('List of Ledgers '!J$4,'TB '!$4:$4,0),0),0)</f>
        <v>0</v>
      </c>
      <c r="K566" s="37">
        <f>IFERROR(VLOOKUP($B566,'TB '!$4:$1048576,MATCH('List of Ledgers '!K$4,'TB '!$4:$4,0),0),0)</f>
        <v>0</v>
      </c>
      <c r="L566" s="37">
        <f>IFERROR(VLOOKUP(B566,'TB '!$A:$J,10,),0)</f>
        <v>0</v>
      </c>
      <c r="M566" s="71"/>
      <c r="N566" s="63">
        <f>IFERROR(VLOOKUP($B566,'TB YTD'!$4:$1048576,MATCH('List of Ledgers '!N$4,'TB YTD'!$4:$4,0),0),0)</f>
        <v>0</v>
      </c>
      <c r="O566" s="63">
        <f>IFERROR(VLOOKUP($B566,'TB YTD'!$4:$1048576,MATCH('List of Ledgers '!O$4,'TB YTD'!$4:$4,0),0),0)</f>
        <v>3024</v>
      </c>
      <c r="P566" s="63">
        <f>IFERROR(VLOOKUP($B566,'TB YTD'!$4:$1048576,MATCH('List of Ledgers '!P$4,'TB YTD'!$4:$4,0),0),0)</f>
        <v>1771674.32</v>
      </c>
      <c r="Q566" s="63">
        <f>IFERROR(VLOOKUP($B566,'TB YTD'!$4:$1048576,MATCH('List of Ledgers '!Q$4,'TB YTD'!$4:$4,0),0),0)</f>
        <v>-1768650.32</v>
      </c>
      <c r="R566" s="63"/>
    </row>
    <row r="567" spans="1:18" hidden="1" x14ac:dyDescent="0.25">
      <c r="A567" s="106">
        <v>551</v>
      </c>
      <c r="B567" s="8" t="s">
        <v>367</v>
      </c>
      <c r="C567" s="8" t="s">
        <v>367</v>
      </c>
      <c r="D567" s="17" t="s">
        <v>151</v>
      </c>
      <c r="E567" s="17" t="s">
        <v>351</v>
      </c>
      <c r="F567" s="12" t="s">
        <v>27</v>
      </c>
      <c r="G567" s="17" t="s">
        <v>4</v>
      </c>
      <c r="H567" s="62"/>
      <c r="I567" s="37">
        <f>IFERROR(VLOOKUP(B567,'TB '!$A:$G,7,),0)</f>
        <v>0</v>
      </c>
      <c r="J567" s="37">
        <f>IFERROR(VLOOKUP($B567,'TB '!$4:$1048576,MATCH('List of Ledgers '!J$4,'TB '!$4:$4,0),0),0)</f>
        <v>0</v>
      </c>
      <c r="K567" s="37">
        <f>IFERROR(VLOOKUP($B567,'TB '!$4:$1048576,MATCH('List of Ledgers '!K$4,'TB '!$4:$4,0),0),0)</f>
        <v>0</v>
      </c>
      <c r="L567" s="37">
        <f>IFERROR(VLOOKUP(B567,'TB '!$A:$J,10,),0)</f>
        <v>0</v>
      </c>
      <c r="M567" s="71"/>
      <c r="N567" s="63">
        <f>IFERROR(VLOOKUP($B567,'TB YTD'!$4:$1048576,MATCH('List of Ledgers '!N$4,'TB YTD'!$4:$4,0),0),0)</f>
        <v>0</v>
      </c>
      <c r="O567" s="63">
        <f>IFERROR(VLOOKUP($B567,'TB YTD'!$4:$1048576,MATCH('List of Ledgers '!O$4,'TB YTD'!$4:$4,0),0),0)</f>
        <v>0</v>
      </c>
      <c r="P567" s="63">
        <f>IFERROR(VLOOKUP($B567,'TB YTD'!$4:$1048576,MATCH('List of Ledgers '!P$4,'TB YTD'!$4:$4,0),0),0)</f>
        <v>0</v>
      </c>
      <c r="Q567" s="63">
        <f>IFERROR(VLOOKUP($B567,'TB YTD'!$4:$1048576,MATCH('List of Ledgers '!Q$4,'TB YTD'!$4:$4,0),0),0)</f>
        <v>0</v>
      </c>
      <c r="R567" s="63"/>
    </row>
    <row r="568" spans="1:18" hidden="1" x14ac:dyDescent="0.25">
      <c r="A568" s="106">
        <v>552</v>
      </c>
      <c r="B568" s="8" t="s">
        <v>778</v>
      </c>
      <c r="C568" s="8" t="s">
        <v>350</v>
      </c>
      <c r="D568" s="17" t="s">
        <v>151</v>
      </c>
      <c r="E568" s="17" t="s">
        <v>351</v>
      </c>
      <c r="F568" s="12" t="s">
        <v>27</v>
      </c>
      <c r="G568" s="17" t="s">
        <v>2</v>
      </c>
      <c r="H568" s="62"/>
      <c r="I568" s="37">
        <f>IFERROR(VLOOKUP(B568,'TB '!$A:$G,7,),0)</f>
        <v>0</v>
      </c>
      <c r="J568" s="37">
        <f>IFERROR(VLOOKUP($B568,'TB '!$4:$1048576,MATCH('List of Ledgers '!J$4,'TB '!$4:$4,0),0),0)</f>
        <v>0</v>
      </c>
      <c r="K568" s="37">
        <f>IFERROR(VLOOKUP($B568,'TB '!$4:$1048576,MATCH('List of Ledgers '!K$4,'TB '!$4:$4,0),0),0)</f>
        <v>0</v>
      </c>
      <c r="L568" s="37">
        <f>IFERROR(VLOOKUP(B568,'TB '!$A:$J,10,),0)</f>
        <v>0</v>
      </c>
      <c r="M568" s="71"/>
      <c r="N568" s="63">
        <f>IFERROR(VLOOKUP($B568,'TB YTD'!$4:$1048576,MATCH('List of Ledgers '!N$4,'TB YTD'!$4:$4,0),0),0)</f>
        <v>0</v>
      </c>
      <c r="O568" s="63">
        <f>IFERROR(VLOOKUP($B568,'TB YTD'!$4:$1048576,MATCH('List of Ledgers '!O$4,'TB YTD'!$4:$4,0),0),0)</f>
        <v>0</v>
      </c>
      <c r="P568" s="63">
        <f>IFERROR(VLOOKUP($B568,'TB YTD'!$4:$1048576,MATCH('List of Ledgers '!P$4,'TB YTD'!$4:$4,0),0),0)</f>
        <v>2100</v>
      </c>
      <c r="Q568" s="63">
        <f>IFERROR(VLOOKUP($B568,'TB YTD'!$4:$1048576,MATCH('List of Ledgers '!Q$4,'TB YTD'!$4:$4,0),0),0)</f>
        <v>-2100</v>
      </c>
      <c r="R568" s="63"/>
    </row>
    <row r="569" spans="1:18" hidden="1" x14ac:dyDescent="0.25">
      <c r="A569" s="106">
        <v>553</v>
      </c>
      <c r="B569" s="8" t="s">
        <v>779</v>
      </c>
      <c r="C569" s="8" t="s">
        <v>350</v>
      </c>
      <c r="D569" s="17" t="s">
        <v>151</v>
      </c>
      <c r="E569" s="17" t="s">
        <v>351</v>
      </c>
      <c r="F569" s="12" t="s">
        <v>27</v>
      </c>
      <c r="G569" s="17" t="s">
        <v>2</v>
      </c>
      <c r="H569" s="62"/>
      <c r="I569" s="37">
        <f>IFERROR(VLOOKUP(B569,'TB '!$A:$G,7,),0)</f>
        <v>0</v>
      </c>
      <c r="J569" s="37">
        <f>IFERROR(VLOOKUP($B569,'TB '!$4:$1048576,MATCH('List of Ledgers '!J$4,'TB '!$4:$4,0),0),0)</f>
        <v>0</v>
      </c>
      <c r="K569" s="37">
        <f>IFERROR(VLOOKUP($B569,'TB '!$4:$1048576,MATCH('List of Ledgers '!K$4,'TB '!$4:$4,0),0),0)</f>
        <v>0</v>
      </c>
      <c r="L569" s="37">
        <f>IFERROR(VLOOKUP(B569,'TB '!$A:$J,10,),0)</f>
        <v>0</v>
      </c>
      <c r="M569" s="71"/>
      <c r="N569" s="63">
        <f>IFERROR(VLOOKUP($B569,'TB YTD'!$4:$1048576,MATCH('List of Ledgers '!N$4,'TB YTD'!$4:$4,0),0),0)</f>
        <v>0</v>
      </c>
      <c r="O569" s="63">
        <f>IFERROR(VLOOKUP($B569,'TB YTD'!$4:$1048576,MATCH('List of Ledgers '!O$4,'TB YTD'!$4:$4,0),0),0)</f>
        <v>0</v>
      </c>
      <c r="P569" s="63">
        <f>IFERROR(VLOOKUP($B569,'TB YTD'!$4:$1048576,MATCH('List of Ledgers '!P$4,'TB YTD'!$4:$4,0),0),0)</f>
        <v>0</v>
      </c>
      <c r="Q569" s="63">
        <f>IFERROR(VLOOKUP($B569,'TB YTD'!$4:$1048576,MATCH('List of Ledgers '!Q$4,'TB YTD'!$4:$4,0),0),0)</f>
        <v>0</v>
      </c>
      <c r="R569" s="63"/>
    </row>
    <row r="570" spans="1:18" hidden="1" x14ac:dyDescent="0.25">
      <c r="A570" s="106">
        <v>554</v>
      </c>
      <c r="B570" s="2" t="s">
        <v>369</v>
      </c>
      <c r="C570" s="2" t="s">
        <v>369</v>
      </c>
      <c r="D570" s="12" t="s">
        <v>151</v>
      </c>
      <c r="E570" s="12" t="s">
        <v>351</v>
      </c>
      <c r="F570" s="12" t="s">
        <v>27</v>
      </c>
      <c r="G570" s="17" t="s">
        <v>4</v>
      </c>
      <c r="I570" s="37">
        <f>IFERROR(VLOOKUP(B570,'TB '!$A:$G,7,),0)</f>
        <v>0</v>
      </c>
      <c r="J570" s="37">
        <f>IFERROR(VLOOKUP($B570,'TB '!$4:$1048576,MATCH('List of Ledgers '!J$4,'TB '!$4:$4,0),0),0)</f>
        <v>0</v>
      </c>
      <c r="K570" s="37">
        <f>IFERROR(VLOOKUP($B570,'TB '!$4:$1048576,MATCH('List of Ledgers '!K$4,'TB '!$4:$4,0),0),0)</f>
        <v>0</v>
      </c>
      <c r="L570" s="37">
        <f>IFERROR(VLOOKUP(B570,'TB '!$A:$J,10,),0)</f>
        <v>0</v>
      </c>
      <c r="M570" s="71"/>
      <c r="N570" s="63">
        <f>IFERROR(VLOOKUP($B570,'TB YTD'!$4:$1048576,MATCH('List of Ledgers '!N$4,'TB YTD'!$4:$4,0),0),0)</f>
        <v>0</v>
      </c>
      <c r="O570" s="63">
        <f>IFERROR(VLOOKUP($B570,'TB YTD'!$4:$1048576,MATCH('List of Ledgers '!O$4,'TB YTD'!$4:$4,0),0),0)</f>
        <v>0</v>
      </c>
      <c r="P570" s="63">
        <f>IFERROR(VLOOKUP($B570,'TB YTD'!$4:$1048576,MATCH('List of Ledgers '!P$4,'TB YTD'!$4:$4,0),0),0)</f>
        <v>105991629.29000001</v>
      </c>
      <c r="Q570" s="63">
        <f>IFERROR(VLOOKUP($B570,'TB YTD'!$4:$1048576,MATCH('List of Ledgers '!Q$4,'TB YTD'!$4:$4,0),0),0)</f>
        <v>-105991629.29000001</v>
      </c>
    </row>
    <row r="571" spans="1:18" hidden="1" x14ac:dyDescent="0.25">
      <c r="A571" s="106">
        <v>555</v>
      </c>
      <c r="B571" s="2" t="s">
        <v>780</v>
      </c>
      <c r="C571" s="2" t="s">
        <v>781</v>
      </c>
      <c r="D571" s="12" t="s">
        <v>151</v>
      </c>
      <c r="E571" s="12" t="s">
        <v>351</v>
      </c>
      <c r="F571" s="12" t="s">
        <v>27</v>
      </c>
      <c r="G571" s="17" t="s">
        <v>9</v>
      </c>
      <c r="I571" s="37">
        <f>IFERROR(VLOOKUP(B571,'TB '!$A:$G,7,),0)</f>
        <v>0</v>
      </c>
      <c r="J571" s="37">
        <f>IFERROR(VLOOKUP($B571,'TB '!$4:$1048576,MATCH('List of Ledgers '!J$4,'TB '!$4:$4,0),0),0)</f>
        <v>6827434.4000000004</v>
      </c>
      <c r="K571" s="37">
        <f>IFERROR(VLOOKUP($B571,'TB '!$4:$1048576,MATCH('List of Ledgers '!K$4,'TB '!$4:$4,0),0),0)</f>
        <v>81857931.269999996</v>
      </c>
      <c r="L571" s="37">
        <f>IFERROR(VLOOKUP(B571,'TB '!$A:$J,10,),0)</f>
        <v>-75030496.870000005</v>
      </c>
      <c r="M571" s="71"/>
      <c r="N571" s="63">
        <f>IFERROR(VLOOKUP($B571,'TB YTD'!$4:$1048576,MATCH('List of Ledgers '!N$4,'TB YTD'!$4:$4,0),0),0)</f>
        <v>0</v>
      </c>
      <c r="O571" s="63">
        <f>IFERROR(VLOOKUP($B571,'TB YTD'!$4:$1048576,MATCH('List of Ledgers '!O$4,'TB YTD'!$4:$4,0),0),0)</f>
        <v>6827434.4000000004</v>
      </c>
      <c r="P571" s="63">
        <f>IFERROR(VLOOKUP($B571,'TB YTD'!$4:$1048576,MATCH('List of Ledgers '!P$4,'TB YTD'!$4:$4,0),0),0)</f>
        <v>127951454.03</v>
      </c>
      <c r="Q571" s="63">
        <f>IFERROR(VLOOKUP($B571,'TB YTD'!$4:$1048576,MATCH('List of Ledgers '!Q$4,'TB YTD'!$4:$4,0),0),0)</f>
        <v>-121124019.63</v>
      </c>
    </row>
    <row r="572" spans="1:18" hidden="1" x14ac:dyDescent="0.25">
      <c r="A572" s="106">
        <v>556</v>
      </c>
      <c r="B572" s="8" t="s">
        <v>782</v>
      </c>
      <c r="C572" s="8" t="s">
        <v>185</v>
      </c>
      <c r="D572" s="106" t="s">
        <v>128</v>
      </c>
      <c r="E572" s="17" t="s">
        <v>134</v>
      </c>
      <c r="G572" s="17" t="s">
        <v>3</v>
      </c>
      <c r="H572" s="62"/>
      <c r="I572" s="37">
        <f>IFERROR(VLOOKUP(B572,'TB '!$A:$G,7,),0)</f>
        <v>0</v>
      </c>
      <c r="J572" s="37">
        <f>IFERROR(VLOOKUP($B572,'TB '!$4:$1048576,MATCH('List of Ledgers '!J$4,'TB '!$4:$4,0),0),0)</f>
        <v>0</v>
      </c>
      <c r="K572" s="37">
        <f>IFERROR(VLOOKUP($B572,'TB '!$4:$1048576,MATCH('List of Ledgers '!K$4,'TB '!$4:$4,0),0),0)</f>
        <v>0</v>
      </c>
      <c r="L572" s="37">
        <f>IFERROR(VLOOKUP(B572,'TB '!$A:$J,10,),0)</f>
        <v>0</v>
      </c>
      <c r="M572" s="71"/>
      <c r="N572" s="63">
        <f>IFERROR(VLOOKUP($B572,'TB YTD'!$4:$1048576,MATCH('List of Ledgers '!N$4,'TB YTD'!$4:$4,0),0),0)</f>
        <v>0</v>
      </c>
      <c r="O572" s="63">
        <f>IFERROR(VLOOKUP($B572,'TB YTD'!$4:$1048576,MATCH('List of Ledgers '!O$4,'TB YTD'!$4:$4,0),0),0)</f>
        <v>0</v>
      </c>
      <c r="P572" s="63">
        <f>IFERROR(VLOOKUP($B572,'TB YTD'!$4:$1048576,MATCH('List of Ledgers '!P$4,'TB YTD'!$4:$4,0),0),0)</f>
        <v>0</v>
      </c>
      <c r="Q572" s="63">
        <f>IFERROR(VLOOKUP($B572,'TB YTD'!$4:$1048576,MATCH('List of Ledgers '!Q$4,'TB YTD'!$4:$4,0),0),0)</f>
        <v>0</v>
      </c>
      <c r="R572" s="63"/>
    </row>
    <row r="573" spans="1:18" hidden="1" x14ac:dyDescent="0.25">
      <c r="A573" s="106">
        <v>557</v>
      </c>
      <c r="B573" s="8" t="s">
        <v>783</v>
      </c>
      <c r="C573" s="8" t="s">
        <v>338</v>
      </c>
      <c r="D573" s="17" t="s">
        <v>128</v>
      </c>
      <c r="E573" s="17"/>
      <c r="G573" s="17" t="s">
        <v>2</v>
      </c>
      <c r="H573" s="62"/>
      <c r="I573" s="37">
        <f>IFERROR(VLOOKUP(B573,'TB '!$A:$G,7,),0)</f>
        <v>0</v>
      </c>
      <c r="J573" s="37">
        <f>IFERROR(VLOOKUP($B573,'TB '!$4:$1048576,MATCH('List of Ledgers '!J$4,'TB '!$4:$4,0),0),0)</f>
        <v>0</v>
      </c>
      <c r="K573" s="37">
        <f>IFERROR(VLOOKUP($B573,'TB '!$4:$1048576,MATCH('List of Ledgers '!K$4,'TB '!$4:$4,0),0),0)</f>
        <v>0</v>
      </c>
      <c r="L573" s="37">
        <f>IFERROR(VLOOKUP(B573,'TB '!$A:$J,10,),0)</f>
        <v>0</v>
      </c>
      <c r="M573" s="71"/>
      <c r="N573" s="63">
        <f>IFERROR(VLOOKUP($B573,'TB YTD'!$4:$1048576,MATCH('List of Ledgers '!N$4,'TB YTD'!$4:$4,0),0),0)</f>
        <v>0</v>
      </c>
      <c r="O573" s="63">
        <f>IFERROR(VLOOKUP($B573,'TB YTD'!$4:$1048576,MATCH('List of Ledgers '!O$4,'TB YTD'!$4:$4,0),0),0)</f>
        <v>0</v>
      </c>
      <c r="P573" s="63">
        <f>IFERROR(VLOOKUP($B573,'TB YTD'!$4:$1048576,MATCH('List of Ledgers '!P$4,'TB YTD'!$4:$4,0),0),0)</f>
        <v>0</v>
      </c>
      <c r="Q573" s="63">
        <f>IFERROR(VLOOKUP($B573,'TB YTD'!$4:$1048576,MATCH('List of Ledgers '!Q$4,'TB YTD'!$4:$4,0),0),0)</f>
        <v>0</v>
      </c>
      <c r="R573" s="63"/>
    </row>
    <row r="574" spans="1:18" hidden="1" x14ac:dyDescent="0.25">
      <c r="A574" s="106">
        <v>558</v>
      </c>
      <c r="B574" s="8" t="s">
        <v>784</v>
      </c>
      <c r="C574" s="8" t="s">
        <v>185</v>
      </c>
      <c r="D574" s="106" t="s">
        <v>128</v>
      </c>
      <c r="E574" s="17" t="s">
        <v>134</v>
      </c>
      <c r="G574" s="17" t="s">
        <v>3</v>
      </c>
      <c r="H574" s="62"/>
      <c r="I574" s="37">
        <f>IFERROR(VLOOKUP(B574,'TB '!$A:$G,7,),0)</f>
        <v>-2360</v>
      </c>
      <c r="J574" s="37">
        <f>IFERROR(VLOOKUP($B574,'TB '!$4:$1048576,MATCH('List of Ledgers '!J$4,'TB '!$4:$4,0),0),0)</f>
        <v>0</v>
      </c>
      <c r="K574" s="37">
        <f>IFERROR(VLOOKUP($B574,'TB '!$4:$1048576,MATCH('List of Ledgers '!K$4,'TB '!$4:$4,0),0),0)</f>
        <v>0</v>
      </c>
      <c r="L574" s="37">
        <f>IFERROR(VLOOKUP(B574,'TB '!$A:$J,10,),0)</f>
        <v>-2360</v>
      </c>
      <c r="M574" s="71"/>
      <c r="N574" s="63">
        <f>IFERROR(VLOOKUP($B574,'TB YTD'!$4:$1048576,MATCH('List of Ledgers '!N$4,'TB YTD'!$4:$4,0),0),0)</f>
        <v>-2360</v>
      </c>
      <c r="O574" s="63">
        <f>IFERROR(VLOOKUP($B574,'TB YTD'!$4:$1048576,MATCH('List of Ledgers '!O$4,'TB YTD'!$4:$4,0),0),0)</f>
        <v>944</v>
      </c>
      <c r="P574" s="63">
        <f>IFERROR(VLOOKUP($B574,'TB YTD'!$4:$1048576,MATCH('List of Ledgers '!P$4,'TB YTD'!$4:$4,0),0),0)</f>
        <v>944</v>
      </c>
      <c r="Q574" s="63">
        <f>IFERROR(VLOOKUP($B574,'TB YTD'!$4:$1048576,MATCH('List of Ledgers '!Q$4,'TB YTD'!$4:$4,0),0),0)</f>
        <v>-2360</v>
      </c>
      <c r="R574" s="63"/>
    </row>
    <row r="575" spans="1:18" hidden="1" x14ac:dyDescent="0.25">
      <c r="A575" s="106">
        <v>559</v>
      </c>
      <c r="B575" s="8" t="s">
        <v>785</v>
      </c>
      <c r="C575" s="8" t="s">
        <v>183</v>
      </c>
      <c r="D575" s="17" t="s">
        <v>128</v>
      </c>
      <c r="E575" s="17" t="s">
        <v>134</v>
      </c>
      <c r="G575" s="17" t="s">
        <v>2</v>
      </c>
      <c r="H575" s="62"/>
      <c r="I575" s="37">
        <f>IFERROR(VLOOKUP(B575,'TB '!$A:$G,7,),0)</f>
        <v>31996</v>
      </c>
      <c r="J575" s="37">
        <f>IFERROR(VLOOKUP($B575,'TB '!$4:$1048576,MATCH('List of Ledgers '!J$4,'TB '!$4:$4,0),0),0)</f>
        <v>0</v>
      </c>
      <c r="K575" s="37">
        <f>IFERROR(VLOOKUP($B575,'TB '!$4:$1048576,MATCH('List of Ledgers '!K$4,'TB '!$4:$4,0),0),0)</f>
        <v>0</v>
      </c>
      <c r="L575" s="37">
        <f>IFERROR(VLOOKUP(B575,'TB '!$A:$J,10,),0)</f>
        <v>31996</v>
      </c>
      <c r="M575" s="71"/>
      <c r="N575" s="63">
        <f>IFERROR(VLOOKUP($B575,'TB YTD'!$4:$1048576,MATCH('List of Ledgers '!N$4,'TB YTD'!$4:$4,0),0),0)</f>
        <v>31996</v>
      </c>
      <c r="O575" s="63">
        <f>IFERROR(VLOOKUP($B575,'TB YTD'!$4:$1048576,MATCH('List of Ledgers '!O$4,'TB YTD'!$4:$4,0),0),0)</f>
        <v>0</v>
      </c>
      <c r="P575" s="63">
        <f>IFERROR(VLOOKUP($B575,'TB YTD'!$4:$1048576,MATCH('List of Ledgers '!P$4,'TB YTD'!$4:$4,0),0),0)</f>
        <v>0</v>
      </c>
      <c r="Q575" s="63">
        <f>IFERROR(VLOOKUP($B575,'TB YTD'!$4:$1048576,MATCH('List of Ledgers '!Q$4,'TB YTD'!$4:$4,0),0),0)</f>
        <v>31996</v>
      </c>
      <c r="R575" s="63"/>
    </row>
    <row r="576" spans="1:18" hidden="1" x14ac:dyDescent="0.25">
      <c r="A576" s="106">
        <v>560</v>
      </c>
      <c r="B576" s="8" t="s">
        <v>786</v>
      </c>
      <c r="C576" s="8" t="s">
        <v>158</v>
      </c>
      <c r="D576" s="17" t="s">
        <v>128</v>
      </c>
      <c r="E576" s="17" t="s">
        <v>131</v>
      </c>
      <c r="G576" s="17" t="s">
        <v>4</v>
      </c>
      <c r="H576" s="62"/>
      <c r="I576" s="37">
        <f>IFERROR(VLOOKUP(B576,'TB '!$A:$G,7,),0)</f>
        <v>0</v>
      </c>
      <c r="J576" s="37">
        <f>IFERROR(VLOOKUP($B576,'TB '!$4:$1048576,MATCH('List of Ledgers '!J$4,'TB '!$4:$4,0),0),0)</f>
        <v>0</v>
      </c>
      <c r="K576" s="37">
        <f>IFERROR(VLOOKUP($B576,'TB '!$4:$1048576,MATCH('List of Ledgers '!K$4,'TB '!$4:$4,0),0),0)</f>
        <v>0</v>
      </c>
      <c r="L576" s="37">
        <f>IFERROR(VLOOKUP(B576,'TB '!$A:$J,10,),0)</f>
        <v>0</v>
      </c>
      <c r="M576" s="71"/>
      <c r="N576" s="63">
        <f>IFERROR(VLOOKUP($B576,'TB YTD'!$4:$1048576,MATCH('List of Ledgers '!N$4,'TB YTD'!$4:$4,0),0),0)</f>
        <v>0</v>
      </c>
      <c r="O576" s="63">
        <f>IFERROR(VLOOKUP($B576,'TB YTD'!$4:$1048576,MATCH('List of Ledgers '!O$4,'TB YTD'!$4:$4,0),0),0)</f>
        <v>0</v>
      </c>
      <c r="P576" s="63">
        <f>IFERROR(VLOOKUP($B576,'TB YTD'!$4:$1048576,MATCH('List of Ledgers '!P$4,'TB YTD'!$4:$4,0),0),0)</f>
        <v>0</v>
      </c>
      <c r="Q576" s="63">
        <f>IFERROR(VLOOKUP($B576,'TB YTD'!$4:$1048576,MATCH('List of Ledgers '!Q$4,'TB YTD'!$4:$4,0),0),0)</f>
        <v>0</v>
      </c>
      <c r="R576" s="63"/>
    </row>
    <row r="577" spans="1:20" hidden="1" x14ac:dyDescent="0.25">
      <c r="A577" s="106">
        <v>561</v>
      </c>
      <c r="B577" s="8" t="s">
        <v>787</v>
      </c>
      <c r="C577" s="8" t="s">
        <v>180</v>
      </c>
      <c r="D577" s="17" t="s">
        <v>128</v>
      </c>
      <c r="E577" s="17" t="s">
        <v>131</v>
      </c>
      <c r="G577" s="17" t="s">
        <v>2</v>
      </c>
      <c r="H577" s="62"/>
      <c r="I577" s="37">
        <f>IFERROR(VLOOKUP(B577,'TB '!$A:$G,7,),0)</f>
        <v>0</v>
      </c>
      <c r="J577" s="37">
        <f>IFERROR(VLOOKUP($B577,'TB '!$4:$1048576,MATCH('List of Ledgers '!J$4,'TB '!$4:$4,0),0),0)</f>
        <v>0</v>
      </c>
      <c r="K577" s="37">
        <f>IFERROR(VLOOKUP($B577,'TB '!$4:$1048576,MATCH('List of Ledgers '!K$4,'TB '!$4:$4,0),0),0)</f>
        <v>0</v>
      </c>
      <c r="L577" s="37">
        <f>IFERROR(VLOOKUP(B577,'TB '!$A:$J,10,),0)</f>
        <v>0</v>
      </c>
      <c r="M577" s="71"/>
      <c r="N577" s="63">
        <f>IFERROR(VLOOKUP($B577,'TB YTD'!$4:$1048576,MATCH('List of Ledgers '!N$4,'TB YTD'!$4:$4,0),0),0)</f>
        <v>0</v>
      </c>
      <c r="O577" s="63">
        <f>IFERROR(VLOOKUP($B577,'TB YTD'!$4:$1048576,MATCH('List of Ledgers '!O$4,'TB YTD'!$4:$4,0),0),0)</f>
        <v>4189</v>
      </c>
      <c r="P577" s="63">
        <f>IFERROR(VLOOKUP($B577,'TB YTD'!$4:$1048576,MATCH('List of Ledgers '!P$4,'TB YTD'!$4:$4,0),0),0)</f>
        <v>4189</v>
      </c>
      <c r="Q577" s="63">
        <f>IFERROR(VLOOKUP($B577,'TB YTD'!$4:$1048576,MATCH('List of Ledgers '!Q$4,'TB YTD'!$4:$4,0),0),0)</f>
        <v>0</v>
      </c>
      <c r="R577" s="63"/>
    </row>
    <row r="578" spans="1:20" hidden="1" x14ac:dyDescent="0.25">
      <c r="A578" s="106">
        <v>562</v>
      </c>
      <c r="B578" s="8" t="s">
        <v>788</v>
      </c>
      <c r="C578" s="8" t="s">
        <v>166</v>
      </c>
      <c r="D578" s="17" t="s">
        <v>151</v>
      </c>
      <c r="E578" s="17" t="s">
        <v>1291</v>
      </c>
      <c r="F578" s="12" t="s">
        <v>1290</v>
      </c>
      <c r="G578" s="17" t="s">
        <v>4</v>
      </c>
      <c r="H578" s="62"/>
      <c r="I578" s="37">
        <f>IFERROR(VLOOKUP(B578,'TB '!$A:$G,7,),0)</f>
        <v>0</v>
      </c>
      <c r="J578" s="37">
        <f>IFERROR(VLOOKUP($B578,'TB '!$4:$1048576,MATCH('List of Ledgers '!J$4,'TB '!$4:$4,0),0),0)</f>
        <v>47503.63</v>
      </c>
      <c r="K578" s="37">
        <f>IFERROR(VLOOKUP($B578,'TB '!$4:$1048576,MATCH('List of Ledgers '!K$4,'TB '!$4:$4,0),0),0)</f>
        <v>0</v>
      </c>
      <c r="L578" s="37">
        <f>IFERROR(VLOOKUP(B578,'TB '!$A:$J,10,),0)</f>
        <v>47503.63</v>
      </c>
      <c r="M578" s="71"/>
      <c r="N578" s="63">
        <f>IFERROR(VLOOKUP($B578,'TB YTD'!$4:$1048576,MATCH('List of Ledgers '!N$4,'TB YTD'!$4:$4,0),0),0)</f>
        <v>0</v>
      </c>
      <c r="O578" s="63">
        <f>IFERROR(VLOOKUP($B578,'TB YTD'!$4:$1048576,MATCH('List of Ledgers '!O$4,'TB YTD'!$4:$4,0),0),0)</f>
        <v>47503.63</v>
      </c>
      <c r="P578" s="63">
        <f>IFERROR(VLOOKUP($B578,'TB YTD'!$4:$1048576,MATCH('List of Ledgers '!P$4,'TB YTD'!$4:$4,0),0),0)</f>
        <v>0</v>
      </c>
      <c r="Q578" s="63">
        <f>IFERROR(VLOOKUP($B578,'TB YTD'!$4:$1048576,MATCH('List of Ledgers '!Q$4,'TB YTD'!$4:$4,0),0),0)</f>
        <v>47503.63</v>
      </c>
      <c r="R578" s="63"/>
    </row>
    <row r="579" spans="1:20" hidden="1" x14ac:dyDescent="0.25">
      <c r="A579" s="106">
        <v>563</v>
      </c>
      <c r="B579" s="8" t="s">
        <v>789</v>
      </c>
      <c r="C579" s="8" t="s">
        <v>166</v>
      </c>
      <c r="D579" s="17" t="s">
        <v>151</v>
      </c>
      <c r="E579" s="17" t="s">
        <v>1291</v>
      </c>
      <c r="F579" s="12" t="s">
        <v>1290</v>
      </c>
      <c r="G579" s="17" t="s">
        <v>4</v>
      </c>
      <c r="H579" s="62"/>
      <c r="I579" s="37">
        <f>IFERROR(VLOOKUP(B579,'TB '!$A:$G,7,),0)</f>
        <v>0</v>
      </c>
      <c r="J579" s="37">
        <f>IFERROR(VLOOKUP($B579,'TB '!$4:$1048576,MATCH('List of Ledgers '!J$4,'TB '!$4:$4,0),0),0)</f>
        <v>0</v>
      </c>
      <c r="K579" s="37">
        <f>IFERROR(VLOOKUP($B579,'TB '!$4:$1048576,MATCH('List of Ledgers '!K$4,'TB '!$4:$4,0),0),0)</f>
        <v>0</v>
      </c>
      <c r="L579" s="37">
        <f>IFERROR(VLOOKUP(B579,'TB '!$A:$J,10,),0)</f>
        <v>0</v>
      </c>
      <c r="M579" s="71"/>
      <c r="N579" s="63">
        <f>IFERROR(VLOOKUP($B579,'TB YTD'!$4:$1048576,MATCH('List of Ledgers '!N$4,'TB YTD'!$4:$4,0),0),0)</f>
        <v>0</v>
      </c>
      <c r="O579" s="63">
        <f>IFERROR(VLOOKUP($B579,'TB YTD'!$4:$1048576,MATCH('List of Ledgers '!O$4,'TB YTD'!$4:$4,0),0),0)</f>
        <v>19713</v>
      </c>
      <c r="P579" s="63">
        <f>IFERROR(VLOOKUP($B579,'TB YTD'!$4:$1048576,MATCH('List of Ledgers '!P$4,'TB YTD'!$4:$4,0),0),0)</f>
        <v>0</v>
      </c>
      <c r="Q579" s="63">
        <f>IFERROR(VLOOKUP($B579,'TB YTD'!$4:$1048576,MATCH('List of Ledgers '!Q$4,'TB YTD'!$4:$4,0),0),0)</f>
        <v>19713</v>
      </c>
      <c r="R579" s="63"/>
    </row>
    <row r="580" spans="1:20" hidden="1" x14ac:dyDescent="0.25">
      <c r="A580" s="106">
        <v>564</v>
      </c>
      <c r="B580" s="151" t="s">
        <v>790</v>
      </c>
      <c r="C580" s="151" t="s">
        <v>1289</v>
      </c>
      <c r="D580" s="12" t="s">
        <v>151</v>
      </c>
      <c r="E580" s="17" t="s">
        <v>1291</v>
      </c>
      <c r="F580" s="12" t="s">
        <v>71</v>
      </c>
      <c r="G580" s="17" t="s">
        <v>4</v>
      </c>
      <c r="H580" s="63"/>
      <c r="I580" s="37">
        <f>IFERROR(VLOOKUP(B580,'TB '!$A:$G,7,),0)</f>
        <v>0</v>
      </c>
      <c r="J580" s="37">
        <f>IFERROR(VLOOKUP($B580,'TB '!$4:$1048576,MATCH('List of Ledgers '!J$4,'TB '!$4:$4,0),0),0)</f>
        <v>0</v>
      </c>
      <c r="K580" s="37">
        <f>IFERROR(VLOOKUP($B580,'TB '!$4:$1048576,MATCH('List of Ledgers '!K$4,'TB '!$4:$4,0),0),0)</f>
        <v>0</v>
      </c>
      <c r="L580" s="37">
        <f>IFERROR(VLOOKUP(B580,'TB '!$A:$J,10,),0)</f>
        <v>0</v>
      </c>
      <c r="M580" s="71"/>
      <c r="N580" s="63">
        <f>IFERROR(VLOOKUP($B580,'TB YTD'!$4:$1048576,MATCH('List of Ledgers '!N$4,'TB YTD'!$4:$4,0),0),0)</f>
        <v>0</v>
      </c>
      <c r="O580" s="63">
        <f>IFERROR(VLOOKUP($B580,'TB YTD'!$4:$1048576,MATCH('List of Ledgers '!O$4,'TB YTD'!$4:$4,0),0),0)</f>
        <v>4567.8999999999996</v>
      </c>
      <c r="P580" s="63">
        <f>IFERROR(VLOOKUP($B580,'TB YTD'!$4:$1048576,MATCH('List of Ledgers '!P$4,'TB YTD'!$4:$4,0),0),0)</f>
        <v>0</v>
      </c>
      <c r="Q580" s="63">
        <f>IFERROR(VLOOKUP($B580,'TB YTD'!$4:$1048576,MATCH('List of Ledgers '!Q$4,'TB YTD'!$4:$4,0),0),0)</f>
        <v>4567.8999999999996</v>
      </c>
      <c r="R580" s="63"/>
    </row>
    <row r="581" spans="1:20" hidden="1" x14ac:dyDescent="0.25">
      <c r="A581" s="106">
        <v>565</v>
      </c>
      <c r="B581" s="151" t="s">
        <v>791</v>
      </c>
      <c r="C581" s="151" t="s">
        <v>791</v>
      </c>
      <c r="D581" s="12" t="s">
        <v>128</v>
      </c>
      <c r="I581" s="37">
        <f>IFERROR(VLOOKUP(B581,'TB '!$A:$G,7,),0)</f>
        <v>4000</v>
      </c>
      <c r="J581" s="37">
        <f>IFERROR(VLOOKUP($B581,'TB '!$4:$1048576,MATCH('List of Ledgers '!J$4,'TB '!$4:$4,0),0),0)</f>
        <v>0</v>
      </c>
      <c r="K581" s="37">
        <f>IFERROR(VLOOKUP($B581,'TB '!$4:$1048576,MATCH('List of Ledgers '!K$4,'TB '!$4:$4,0),0),0)</f>
        <v>0</v>
      </c>
      <c r="L581" s="37">
        <f>IFERROR(VLOOKUP(B581,'TB '!$A:$J,10,),0)</f>
        <v>4000</v>
      </c>
      <c r="M581" s="71"/>
      <c r="N581" s="63">
        <f>IFERROR(VLOOKUP($B581,'TB YTD'!$4:$1048576,MATCH('List of Ledgers '!N$4,'TB YTD'!$4:$4,0),0),0)</f>
        <v>0</v>
      </c>
      <c r="O581" s="63">
        <f>IFERROR(VLOOKUP($B581,'TB YTD'!$4:$1048576,MATCH('List of Ledgers '!O$4,'TB YTD'!$4:$4,0),0),0)</f>
        <v>4000</v>
      </c>
      <c r="P581" s="63">
        <f>IFERROR(VLOOKUP($B581,'TB YTD'!$4:$1048576,MATCH('List of Ledgers '!P$4,'TB YTD'!$4:$4,0),0),0)</f>
        <v>0</v>
      </c>
      <c r="Q581" s="63">
        <f>IFERROR(VLOOKUP($B581,'TB YTD'!$4:$1048576,MATCH('List of Ledgers '!Q$4,'TB YTD'!$4:$4,0),0),0)</f>
        <v>4000</v>
      </c>
    </row>
    <row r="582" spans="1:20" hidden="1" x14ac:dyDescent="0.25">
      <c r="A582" s="106">
        <v>566</v>
      </c>
      <c r="B582" s="8" t="s">
        <v>792</v>
      </c>
      <c r="C582" s="8" t="s">
        <v>244</v>
      </c>
      <c r="D582" s="106" t="s">
        <v>128</v>
      </c>
      <c r="E582" s="17" t="s">
        <v>134</v>
      </c>
      <c r="G582" s="17" t="s">
        <v>3</v>
      </c>
      <c r="H582" s="62"/>
      <c r="I582" s="37">
        <f>IFERROR(VLOOKUP(B582,'TB '!$A:$G,7,),0)</f>
        <v>0</v>
      </c>
      <c r="J582" s="37">
        <f>IFERROR(VLOOKUP($B582,'TB '!$4:$1048576,MATCH('List of Ledgers '!J$4,'TB '!$4:$4,0),0),0)</f>
        <v>0</v>
      </c>
      <c r="K582" s="37">
        <f>IFERROR(VLOOKUP($B582,'TB '!$4:$1048576,MATCH('List of Ledgers '!K$4,'TB '!$4:$4,0),0),0)</f>
        <v>0</v>
      </c>
      <c r="L582" s="37">
        <f>IFERROR(VLOOKUP(B582,'TB '!$A:$J,10,),0)</f>
        <v>0</v>
      </c>
      <c r="M582" s="71"/>
      <c r="N582" s="63">
        <f>IFERROR(VLOOKUP($B582,'TB YTD'!$4:$1048576,MATCH('List of Ledgers '!N$4,'TB YTD'!$4:$4,0),0),0)</f>
        <v>0</v>
      </c>
      <c r="O582" s="63">
        <f>IFERROR(VLOOKUP($B582,'TB YTD'!$4:$1048576,MATCH('List of Ledgers '!O$4,'TB YTD'!$4:$4,0),0),0)</f>
        <v>0</v>
      </c>
      <c r="P582" s="63">
        <f>IFERROR(VLOOKUP($B582,'TB YTD'!$4:$1048576,MATCH('List of Ledgers '!P$4,'TB YTD'!$4:$4,0),0),0)</f>
        <v>0</v>
      </c>
      <c r="Q582" s="63">
        <f>IFERROR(VLOOKUP($B582,'TB YTD'!$4:$1048576,MATCH('List of Ledgers '!Q$4,'TB YTD'!$4:$4,0),0),0)</f>
        <v>0</v>
      </c>
      <c r="R582" s="63"/>
      <c r="S582" s="38"/>
      <c r="T582" s="38"/>
    </row>
    <row r="583" spans="1:20" hidden="1" x14ac:dyDescent="0.25">
      <c r="A583" s="106">
        <v>567</v>
      </c>
      <c r="B583" s="8" t="s">
        <v>793</v>
      </c>
      <c r="C583" s="8" t="s">
        <v>244</v>
      </c>
      <c r="D583" s="106" t="s">
        <v>128</v>
      </c>
      <c r="E583" s="17" t="s">
        <v>134</v>
      </c>
      <c r="G583" s="17" t="s">
        <v>3</v>
      </c>
      <c r="H583" s="62"/>
      <c r="I583" s="37">
        <f>IFERROR(VLOOKUP(B583,'TB '!$A:$G,7,),0)</f>
        <v>0</v>
      </c>
      <c r="J583" s="37">
        <f>IFERROR(VLOOKUP($B583,'TB '!$4:$1048576,MATCH('List of Ledgers '!J$4,'TB '!$4:$4,0),0),0)</f>
        <v>0</v>
      </c>
      <c r="K583" s="37">
        <f>IFERROR(VLOOKUP($B583,'TB '!$4:$1048576,MATCH('List of Ledgers '!K$4,'TB '!$4:$4,0),0),0)</f>
        <v>0</v>
      </c>
      <c r="L583" s="37">
        <f>IFERROR(VLOOKUP(B583,'TB '!$A:$J,10,),0)</f>
        <v>0</v>
      </c>
      <c r="M583" s="71"/>
      <c r="N583" s="63">
        <f>IFERROR(VLOOKUP($B583,'TB YTD'!$4:$1048576,MATCH('List of Ledgers '!N$4,'TB YTD'!$4:$4,0),0),0)</f>
        <v>0</v>
      </c>
      <c r="O583" s="63">
        <f>IFERROR(VLOOKUP($B583,'TB YTD'!$4:$1048576,MATCH('List of Ledgers '!O$4,'TB YTD'!$4:$4,0),0),0)</f>
        <v>15644</v>
      </c>
      <c r="P583" s="63">
        <f>IFERROR(VLOOKUP($B583,'TB YTD'!$4:$1048576,MATCH('List of Ledgers '!P$4,'TB YTD'!$4:$4,0),0),0)</f>
        <v>15644</v>
      </c>
      <c r="Q583" s="63">
        <f>IFERROR(VLOOKUP($B583,'TB YTD'!$4:$1048576,MATCH('List of Ledgers '!Q$4,'TB YTD'!$4:$4,0),0),0)</f>
        <v>0</v>
      </c>
      <c r="R583" s="63"/>
    </row>
    <row r="584" spans="1:20" hidden="1" x14ac:dyDescent="0.25">
      <c r="A584" s="106">
        <v>568</v>
      </c>
      <c r="B584" s="8" t="s">
        <v>794</v>
      </c>
      <c r="C584" s="8" t="s">
        <v>146</v>
      </c>
      <c r="D584" s="17"/>
      <c r="E584" s="17"/>
      <c r="G584" s="17"/>
      <c r="H584" s="62"/>
      <c r="I584" s="37">
        <f>IFERROR(VLOOKUP(B584,'TB '!$A:$G,7,),0)</f>
        <v>1530</v>
      </c>
      <c r="J584" s="37">
        <f>IFERROR(VLOOKUP($B584,'TB '!$4:$1048576,MATCH('List of Ledgers '!J$4,'TB '!$4:$4,0),0),0)</f>
        <v>0</v>
      </c>
      <c r="K584" s="37">
        <f>IFERROR(VLOOKUP($B584,'TB '!$4:$1048576,MATCH('List of Ledgers '!K$4,'TB '!$4:$4,0),0),0)</f>
        <v>0</v>
      </c>
      <c r="L584" s="37">
        <f>IFERROR(VLOOKUP(B584,'TB '!$A:$J,10,),0)</f>
        <v>1530</v>
      </c>
      <c r="M584" s="71"/>
      <c r="N584" s="63">
        <f>IFERROR(VLOOKUP($B584,'TB YTD'!$4:$1048576,MATCH('List of Ledgers '!N$4,'TB YTD'!$4:$4,0),0),0)</f>
        <v>1530</v>
      </c>
      <c r="O584" s="63">
        <f>IFERROR(VLOOKUP($B584,'TB YTD'!$4:$1048576,MATCH('List of Ledgers '!O$4,'TB YTD'!$4:$4,0),0),0)</f>
        <v>0</v>
      </c>
      <c r="P584" s="63">
        <f>IFERROR(VLOOKUP($B584,'TB YTD'!$4:$1048576,MATCH('List of Ledgers '!P$4,'TB YTD'!$4:$4,0),0),0)</f>
        <v>0</v>
      </c>
      <c r="Q584" s="63">
        <f>IFERROR(VLOOKUP($B584,'TB YTD'!$4:$1048576,MATCH('List of Ledgers '!Q$4,'TB YTD'!$4:$4,0),0),0)</f>
        <v>1530</v>
      </c>
      <c r="R584" s="63"/>
    </row>
    <row r="585" spans="1:20" hidden="1" x14ac:dyDescent="0.25">
      <c r="A585" s="106">
        <v>569</v>
      </c>
      <c r="B585" s="8" t="s">
        <v>795</v>
      </c>
      <c r="C585" s="8" t="s">
        <v>146</v>
      </c>
      <c r="D585" s="17"/>
      <c r="E585" s="17"/>
      <c r="G585" s="17"/>
      <c r="H585" s="62"/>
      <c r="I585" s="37">
        <f>IFERROR(VLOOKUP(B585,'TB '!$A:$G,7,),0)</f>
        <v>433850</v>
      </c>
      <c r="J585" s="37">
        <f>IFERROR(VLOOKUP($B585,'TB '!$4:$1048576,MATCH('List of Ledgers '!J$4,'TB '!$4:$4,0),0),0)</f>
        <v>0</v>
      </c>
      <c r="K585" s="37">
        <f>IFERROR(VLOOKUP($B585,'TB '!$4:$1048576,MATCH('List of Ledgers '!K$4,'TB '!$4:$4,0),0),0)</f>
        <v>0</v>
      </c>
      <c r="L585" s="37">
        <f>IFERROR(VLOOKUP(B585,'TB '!$A:$J,10,),0)</f>
        <v>433850</v>
      </c>
      <c r="M585" s="71"/>
      <c r="N585" s="63">
        <f>IFERROR(VLOOKUP($B585,'TB YTD'!$4:$1048576,MATCH('List of Ledgers '!N$4,'TB YTD'!$4:$4,0),0),0)</f>
        <v>433850</v>
      </c>
      <c r="O585" s="63">
        <f>IFERROR(VLOOKUP($B585,'TB YTD'!$4:$1048576,MATCH('List of Ledgers '!O$4,'TB YTD'!$4:$4,0),0),0)</f>
        <v>0</v>
      </c>
      <c r="P585" s="63">
        <f>IFERROR(VLOOKUP($B585,'TB YTD'!$4:$1048576,MATCH('List of Ledgers '!P$4,'TB YTD'!$4:$4,0),0),0)</f>
        <v>0</v>
      </c>
      <c r="Q585" s="63">
        <f>IFERROR(VLOOKUP($B585,'TB YTD'!$4:$1048576,MATCH('List of Ledgers '!Q$4,'TB YTD'!$4:$4,0),0),0)</f>
        <v>433850</v>
      </c>
      <c r="R585" s="63"/>
    </row>
    <row r="586" spans="1:20" hidden="1" x14ac:dyDescent="0.25">
      <c r="A586" s="106">
        <v>570</v>
      </c>
      <c r="B586" s="8" t="s">
        <v>796</v>
      </c>
      <c r="C586" s="8" t="s">
        <v>146</v>
      </c>
      <c r="D586" s="17"/>
      <c r="E586" s="17"/>
      <c r="G586" s="17"/>
      <c r="H586" s="62"/>
      <c r="I586" s="37">
        <f>IFERROR(VLOOKUP(B586,'TB '!$A:$G,7,),0)</f>
        <v>653050</v>
      </c>
      <c r="J586" s="37">
        <f>IFERROR(VLOOKUP($B586,'TB '!$4:$1048576,MATCH('List of Ledgers '!J$4,'TB '!$4:$4,0),0),0)</f>
        <v>0</v>
      </c>
      <c r="K586" s="37">
        <f>IFERROR(VLOOKUP($B586,'TB '!$4:$1048576,MATCH('List of Ledgers '!K$4,'TB '!$4:$4,0),0),0)</f>
        <v>0</v>
      </c>
      <c r="L586" s="37">
        <f>IFERROR(VLOOKUP(B586,'TB '!$A:$J,10,),0)</f>
        <v>653050</v>
      </c>
      <c r="M586" s="71"/>
      <c r="N586" s="63">
        <f>IFERROR(VLOOKUP($B586,'TB YTD'!$4:$1048576,MATCH('List of Ledgers '!N$4,'TB YTD'!$4:$4,0),0),0)</f>
        <v>653050</v>
      </c>
      <c r="O586" s="63">
        <f>IFERROR(VLOOKUP($B586,'TB YTD'!$4:$1048576,MATCH('List of Ledgers '!O$4,'TB YTD'!$4:$4,0),0),0)</f>
        <v>0</v>
      </c>
      <c r="P586" s="63">
        <f>IFERROR(VLOOKUP($B586,'TB YTD'!$4:$1048576,MATCH('List of Ledgers '!P$4,'TB YTD'!$4:$4,0),0),0)</f>
        <v>0</v>
      </c>
      <c r="Q586" s="63">
        <f>IFERROR(VLOOKUP($B586,'TB YTD'!$4:$1048576,MATCH('List of Ledgers '!Q$4,'TB YTD'!$4:$4,0),0),0)</f>
        <v>653050</v>
      </c>
      <c r="R586" s="63"/>
    </row>
    <row r="587" spans="1:20" hidden="1" x14ac:dyDescent="0.25">
      <c r="A587" s="106">
        <v>571</v>
      </c>
      <c r="B587" s="8" t="s">
        <v>797</v>
      </c>
      <c r="C587" s="8" t="s">
        <v>207</v>
      </c>
      <c r="D587" s="17" t="s">
        <v>128</v>
      </c>
      <c r="E587" s="17" t="s">
        <v>131</v>
      </c>
      <c r="G587" s="17" t="s">
        <v>3</v>
      </c>
      <c r="H587" s="62"/>
      <c r="I587" s="37">
        <f>IFERROR(VLOOKUP(B587,'TB '!$A:$G,7,),0)</f>
        <v>0</v>
      </c>
      <c r="J587" s="37">
        <f>IFERROR(VLOOKUP($B587,'TB '!$4:$1048576,MATCH('List of Ledgers '!J$4,'TB '!$4:$4,0),0),0)</f>
        <v>0</v>
      </c>
      <c r="K587" s="37">
        <f>IFERROR(VLOOKUP($B587,'TB '!$4:$1048576,MATCH('List of Ledgers '!K$4,'TB '!$4:$4,0),0),0)</f>
        <v>0</v>
      </c>
      <c r="L587" s="37">
        <f>IFERROR(VLOOKUP(B587,'TB '!$A:$J,10,),0)</f>
        <v>0</v>
      </c>
      <c r="M587" s="71"/>
      <c r="N587" s="63">
        <f>IFERROR(VLOOKUP($B587,'TB YTD'!$4:$1048576,MATCH('List of Ledgers '!N$4,'TB YTD'!$4:$4,0),0),0)</f>
        <v>0</v>
      </c>
      <c r="O587" s="63">
        <f>IFERROR(VLOOKUP($B587,'TB YTD'!$4:$1048576,MATCH('List of Ledgers '!O$4,'TB YTD'!$4:$4,0),0),0)</f>
        <v>0</v>
      </c>
      <c r="P587" s="63">
        <f>IFERROR(VLOOKUP($B587,'TB YTD'!$4:$1048576,MATCH('List of Ledgers '!P$4,'TB YTD'!$4:$4,0),0),0)</f>
        <v>0</v>
      </c>
      <c r="Q587" s="63">
        <f>IFERROR(VLOOKUP($B587,'TB YTD'!$4:$1048576,MATCH('List of Ledgers '!Q$4,'TB YTD'!$4:$4,0),0),0)</f>
        <v>0</v>
      </c>
      <c r="R587" s="63"/>
    </row>
    <row r="588" spans="1:20" hidden="1" x14ac:dyDescent="0.25">
      <c r="A588" s="106">
        <v>572</v>
      </c>
      <c r="B588" s="8" t="s">
        <v>798</v>
      </c>
      <c r="C588" s="8" t="s">
        <v>166</v>
      </c>
      <c r="D588" s="17" t="s">
        <v>151</v>
      </c>
      <c r="E588" s="17" t="s">
        <v>1291</v>
      </c>
      <c r="F588" s="12" t="s">
        <v>1290</v>
      </c>
      <c r="G588" s="17" t="s">
        <v>4</v>
      </c>
      <c r="H588" s="62"/>
      <c r="I588" s="37">
        <f>IFERROR(VLOOKUP(B588,'TB '!$A:$G,7,),0)</f>
        <v>0</v>
      </c>
      <c r="J588" s="37">
        <f>IFERROR(VLOOKUP($B588,'TB '!$4:$1048576,MATCH('List of Ledgers '!J$4,'TB '!$4:$4,0),0),0)</f>
        <v>0</v>
      </c>
      <c r="K588" s="37">
        <f>IFERROR(VLOOKUP($B588,'TB '!$4:$1048576,MATCH('List of Ledgers '!K$4,'TB '!$4:$4,0),0),0)</f>
        <v>0</v>
      </c>
      <c r="L588" s="37">
        <f>IFERROR(VLOOKUP(B588,'TB '!$A:$J,10,),0)</f>
        <v>0</v>
      </c>
      <c r="M588" s="71"/>
      <c r="N588" s="63">
        <f>IFERROR(VLOOKUP($B588,'TB YTD'!$4:$1048576,MATCH('List of Ledgers '!N$4,'TB YTD'!$4:$4,0),0),0)</f>
        <v>0</v>
      </c>
      <c r="O588" s="63">
        <f>IFERROR(VLOOKUP($B588,'TB YTD'!$4:$1048576,MATCH('List of Ledgers '!O$4,'TB YTD'!$4:$4,0),0),0)</f>
        <v>73142</v>
      </c>
      <c r="P588" s="63">
        <f>IFERROR(VLOOKUP($B588,'TB YTD'!$4:$1048576,MATCH('List of Ledgers '!P$4,'TB YTD'!$4:$4,0),0),0)</f>
        <v>0</v>
      </c>
      <c r="Q588" s="63">
        <f>IFERROR(VLOOKUP($B588,'TB YTD'!$4:$1048576,MATCH('List of Ledgers '!Q$4,'TB YTD'!$4:$4,0),0),0)</f>
        <v>73142</v>
      </c>
      <c r="R588" s="63"/>
    </row>
    <row r="589" spans="1:20" hidden="1" x14ac:dyDescent="0.25">
      <c r="A589" s="106">
        <v>573</v>
      </c>
      <c r="B589" s="8" t="s">
        <v>799</v>
      </c>
      <c r="C589" s="8" t="s">
        <v>293</v>
      </c>
      <c r="D589" s="17"/>
      <c r="E589" s="17"/>
      <c r="G589" s="17"/>
      <c r="H589" s="62"/>
      <c r="I589" s="37">
        <f>IFERROR(VLOOKUP(B589,'TB '!$A:$G,7,),0)</f>
        <v>0</v>
      </c>
      <c r="J589" s="37">
        <f>IFERROR(VLOOKUP($B589,'TB '!$4:$1048576,MATCH('List of Ledgers '!J$4,'TB '!$4:$4,0),0),0)</f>
        <v>0</v>
      </c>
      <c r="K589" s="37">
        <f>IFERROR(VLOOKUP($B589,'TB '!$4:$1048576,MATCH('List of Ledgers '!K$4,'TB '!$4:$4,0),0),0)</f>
        <v>0</v>
      </c>
      <c r="L589" s="37">
        <f>IFERROR(VLOOKUP(B589,'TB '!$A:$J,10,),0)</f>
        <v>0</v>
      </c>
      <c r="M589" s="71"/>
      <c r="N589" s="63">
        <f>IFERROR(VLOOKUP($B589,'TB YTD'!$4:$1048576,MATCH('List of Ledgers '!N$4,'TB YTD'!$4:$4,0),0),0)</f>
        <v>0</v>
      </c>
      <c r="O589" s="63">
        <f>IFERROR(VLOOKUP($B589,'TB YTD'!$4:$1048576,MATCH('List of Ledgers '!O$4,'TB YTD'!$4:$4,0),0),0)</f>
        <v>0</v>
      </c>
      <c r="P589" s="63">
        <f>IFERROR(VLOOKUP($B589,'TB YTD'!$4:$1048576,MATCH('List of Ledgers '!P$4,'TB YTD'!$4:$4,0),0),0)</f>
        <v>0</v>
      </c>
      <c r="Q589" s="63">
        <f>IFERROR(VLOOKUP($B589,'TB YTD'!$4:$1048576,MATCH('List of Ledgers '!Q$4,'TB YTD'!$4:$4,0),0),0)</f>
        <v>0</v>
      </c>
      <c r="R589" s="63"/>
    </row>
    <row r="590" spans="1:20" hidden="1" x14ac:dyDescent="0.25">
      <c r="A590" s="106">
        <v>574</v>
      </c>
      <c r="B590" s="8" t="s">
        <v>800</v>
      </c>
      <c r="C590" s="8" t="s">
        <v>293</v>
      </c>
      <c r="D590" s="17"/>
      <c r="E590" s="17"/>
      <c r="G590" s="17"/>
      <c r="H590" s="62"/>
      <c r="I590" s="37">
        <f>IFERROR(VLOOKUP(B590,'TB '!$A:$G,7,),0)</f>
        <v>348252.15999999997</v>
      </c>
      <c r="J590" s="37">
        <f>IFERROR(VLOOKUP($B590,'TB '!$4:$1048576,MATCH('List of Ledgers '!J$4,'TB '!$4:$4,0),0),0)</f>
        <v>324787.86</v>
      </c>
      <c r="K590" s="37">
        <f>IFERROR(VLOOKUP($B590,'TB '!$4:$1048576,MATCH('List of Ledgers '!K$4,'TB '!$4:$4,0),0),0)</f>
        <v>0</v>
      </c>
      <c r="L590" s="37">
        <f>IFERROR(VLOOKUP(B590,'TB '!$A:$J,10,),0)</f>
        <v>673040.02</v>
      </c>
      <c r="M590" s="71"/>
      <c r="N590" s="63">
        <f>IFERROR(VLOOKUP($B590,'TB YTD'!$4:$1048576,MATCH('List of Ledgers '!N$4,'TB YTD'!$4:$4,0),0),0)</f>
        <v>0</v>
      </c>
      <c r="O590" s="63">
        <f>IFERROR(VLOOKUP($B590,'TB YTD'!$4:$1048576,MATCH('List of Ledgers '!O$4,'TB YTD'!$4:$4,0),0),0)</f>
        <v>673040.02</v>
      </c>
      <c r="P590" s="63">
        <f>IFERROR(VLOOKUP($B590,'TB YTD'!$4:$1048576,MATCH('List of Ledgers '!P$4,'TB YTD'!$4:$4,0),0),0)</f>
        <v>0</v>
      </c>
      <c r="Q590" s="63">
        <f>IFERROR(VLOOKUP($B590,'TB YTD'!$4:$1048576,MATCH('List of Ledgers '!Q$4,'TB YTD'!$4:$4,0),0),0)</f>
        <v>673040.02</v>
      </c>
      <c r="R590" s="63"/>
    </row>
    <row r="591" spans="1:20" hidden="1" x14ac:dyDescent="0.25">
      <c r="A591" s="106">
        <v>575</v>
      </c>
      <c r="B591" s="8" t="s">
        <v>801</v>
      </c>
      <c r="C591" s="8" t="s">
        <v>293</v>
      </c>
      <c r="D591" s="17"/>
      <c r="E591" s="17"/>
      <c r="G591" s="17"/>
      <c r="H591" s="62"/>
      <c r="I591" s="37">
        <f>IFERROR(VLOOKUP(B591,'TB '!$A:$G,7,),0)</f>
        <v>-1329.9</v>
      </c>
      <c r="J591" s="37">
        <f>IFERROR(VLOOKUP($B591,'TB '!$4:$1048576,MATCH('List of Ledgers '!J$4,'TB '!$4:$4,0),0),0)</f>
        <v>0</v>
      </c>
      <c r="K591" s="37">
        <f>IFERROR(VLOOKUP($B591,'TB '!$4:$1048576,MATCH('List of Ledgers '!K$4,'TB '!$4:$4,0),0),0)</f>
        <v>0</v>
      </c>
      <c r="L591" s="37">
        <f>IFERROR(VLOOKUP(B591,'TB '!$A:$J,10,),0)</f>
        <v>-1329.9</v>
      </c>
      <c r="M591" s="71"/>
      <c r="N591" s="63">
        <f>IFERROR(VLOOKUP($B591,'TB YTD'!$4:$1048576,MATCH('List of Ledgers '!N$4,'TB YTD'!$4:$4,0),0),0)</f>
        <v>0</v>
      </c>
      <c r="O591" s="63">
        <f>IFERROR(VLOOKUP($B591,'TB YTD'!$4:$1048576,MATCH('List of Ledgers '!O$4,'TB YTD'!$4:$4,0),0),0)</f>
        <v>3250.5</v>
      </c>
      <c r="P591" s="63">
        <f>IFERROR(VLOOKUP($B591,'TB YTD'!$4:$1048576,MATCH('List of Ledgers '!P$4,'TB YTD'!$4:$4,0),0),0)</f>
        <v>4580.3999999999996</v>
      </c>
      <c r="Q591" s="63">
        <f>IFERROR(VLOOKUP($B591,'TB YTD'!$4:$1048576,MATCH('List of Ledgers '!Q$4,'TB YTD'!$4:$4,0),0),0)</f>
        <v>-1329.9</v>
      </c>
      <c r="R591" s="63"/>
    </row>
    <row r="592" spans="1:20" s="38" customFormat="1" hidden="1" x14ac:dyDescent="0.25">
      <c r="A592" s="106">
        <v>576</v>
      </c>
      <c r="B592" s="8" t="s">
        <v>802</v>
      </c>
      <c r="C592" s="8" t="s">
        <v>293</v>
      </c>
      <c r="D592" s="17"/>
      <c r="E592" s="17"/>
      <c r="F592" s="12"/>
      <c r="G592" s="17"/>
      <c r="H592" s="62"/>
      <c r="I592" s="37">
        <f>IFERROR(VLOOKUP(B592,'TB '!$A:$G,7,),0)</f>
        <v>367217.96</v>
      </c>
      <c r="J592" s="37">
        <f>IFERROR(VLOOKUP($B592,'TB '!$4:$1048576,MATCH('List of Ledgers '!J$4,'TB '!$4:$4,0),0),0)</f>
        <v>400078</v>
      </c>
      <c r="K592" s="37">
        <f>IFERROR(VLOOKUP($B592,'TB '!$4:$1048576,MATCH('List of Ledgers '!K$4,'TB '!$4:$4,0),0),0)</f>
        <v>1847559.12</v>
      </c>
      <c r="L592" s="37">
        <f>IFERROR(VLOOKUP(B592,'TB '!$A:$J,10,),0)</f>
        <v>-1080263.1599999999</v>
      </c>
      <c r="M592" s="71"/>
      <c r="N592" s="63">
        <f>IFERROR(VLOOKUP($B592,'TB YTD'!$4:$1048576,MATCH('List of Ledgers '!N$4,'TB YTD'!$4:$4,0),0),0)</f>
        <v>-317245.48</v>
      </c>
      <c r="O592" s="63">
        <f>IFERROR(VLOOKUP($B592,'TB YTD'!$4:$1048576,MATCH('List of Ledgers '!O$4,'TB YTD'!$4:$4,0),0),0)</f>
        <v>1399794.99</v>
      </c>
      <c r="P592" s="63">
        <f>IFERROR(VLOOKUP($B592,'TB YTD'!$4:$1048576,MATCH('List of Ledgers '!P$4,'TB YTD'!$4:$4,0),0),0)</f>
        <v>2162812.67</v>
      </c>
      <c r="Q592" s="63">
        <f>IFERROR(VLOOKUP($B592,'TB YTD'!$4:$1048576,MATCH('List of Ledgers '!Q$4,'TB YTD'!$4:$4,0),0),0)</f>
        <v>-1080263.1599999999</v>
      </c>
      <c r="R592" s="63"/>
      <c r="S592" s="2"/>
      <c r="T592" s="2"/>
    </row>
    <row r="593" spans="1:18" hidden="1" x14ac:dyDescent="0.25">
      <c r="A593" s="106">
        <v>577</v>
      </c>
      <c r="B593" s="8" t="s">
        <v>803</v>
      </c>
      <c r="C593" s="8" t="s">
        <v>298</v>
      </c>
      <c r="D593" s="17"/>
      <c r="E593" s="17"/>
      <c r="G593" s="17"/>
      <c r="H593" s="62"/>
      <c r="I593" s="37">
        <f>IFERROR(VLOOKUP(B593,'TB '!$A:$G,7,),0)</f>
        <v>0</v>
      </c>
      <c r="J593" s="37">
        <f>IFERROR(VLOOKUP($B593,'TB '!$4:$1048576,MATCH('List of Ledgers '!J$4,'TB '!$4:$4,0),0),0)</f>
        <v>1500</v>
      </c>
      <c r="K593" s="37">
        <f>IFERROR(VLOOKUP($B593,'TB '!$4:$1048576,MATCH('List of Ledgers '!K$4,'TB '!$4:$4,0),0),0)</f>
        <v>0</v>
      </c>
      <c r="L593" s="37">
        <f>IFERROR(VLOOKUP(B593,'TB '!$A:$J,10,),0)</f>
        <v>1500</v>
      </c>
      <c r="M593" s="71"/>
      <c r="N593" s="63">
        <f>IFERROR(VLOOKUP($B593,'TB YTD'!$4:$1048576,MATCH('List of Ledgers '!N$4,'TB YTD'!$4:$4,0),0),0)</f>
        <v>-540</v>
      </c>
      <c r="O593" s="63">
        <f>IFERROR(VLOOKUP($B593,'TB YTD'!$4:$1048576,MATCH('List of Ledgers '!O$4,'TB YTD'!$4:$4,0),0),0)</f>
        <v>3178</v>
      </c>
      <c r="P593" s="63">
        <f>IFERROR(VLOOKUP($B593,'TB YTD'!$4:$1048576,MATCH('List of Ledgers '!P$4,'TB YTD'!$4:$4,0),0),0)</f>
        <v>1138</v>
      </c>
      <c r="Q593" s="63">
        <f>IFERROR(VLOOKUP($B593,'TB YTD'!$4:$1048576,MATCH('List of Ledgers '!Q$4,'TB YTD'!$4:$4,0),0),0)</f>
        <v>1500</v>
      </c>
      <c r="R593" s="63"/>
    </row>
    <row r="594" spans="1:18" hidden="1" x14ac:dyDescent="0.25">
      <c r="A594" s="106">
        <v>578</v>
      </c>
      <c r="B594" s="8" t="s">
        <v>804</v>
      </c>
      <c r="C594" s="8" t="s">
        <v>358</v>
      </c>
      <c r="D594" s="17"/>
      <c r="E594" s="17"/>
      <c r="G594" s="17"/>
      <c r="H594" s="62"/>
      <c r="I594" s="37">
        <f>IFERROR(VLOOKUP(B594,'TB '!$A:$G,7,),0)</f>
        <v>0</v>
      </c>
      <c r="J594" s="37">
        <f>IFERROR(VLOOKUP($B594,'TB '!$4:$1048576,MATCH('List of Ledgers '!J$4,'TB '!$4:$4,0),0),0)</f>
        <v>0</v>
      </c>
      <c r="K594" s="37">
        <f>IFERROR(VLOOKUP($B594,'TB '!$4:$1048576,MATCH('List of Ledgers '!K$4,'TB '!$4:$4,0),0),0)</f>
        <v>0</v>
      </c>
      <c r="L594" s="37">
        <f>IFERROR(VLOOKUP(B594,'TB '!$A:$J,10,),0)</f>
        <v>0</v>
      </c>
      <c r="M594" s="71"/>
      <c r="N594" s="63">
        <f>IFERROR(VLOOKUP($B594,'TB YTD'!$4:$1048576,MATCH('List of Ledgers '!N$4,'TB YTD'!$4:$4,0),0),0)</f>
        <v>0</v>
      </c>
      <c r="O594" s="63">
        <f>IFERROR(VLOOKUP($B594,'TB YTD'!$4:$1048576,MATCH('List of Ledgers '!O$4,'TB YTD'!$4:$4,0),0),0)</f>
        <v>0</v>
      </c>
      <c r="P594" s="63">
        <f>IFERROR(VLOOKUP($B594,'TB YTD'!$4:$1048576,MATCH('List of Ledgers '!P$4,'TB YTD'!$4:$4,0),0),0)</f>
        <v>0</v>
      </c>
      <c r="Q594" s="63">
        <f>IFERROR(VLOOKUP($B594,'TB YTD'!$4:$1048576,MATCH('List of Ledgers '!Q$4,'TB YTD'!$4:$4,0),0),0)</f>
        <v>0</v>
      </c>
      <c r="R594" s="63"/>
    </row>
    <row r="595" spans="1:18" hidden="1" x14ac:dyDescent="0.25">
      <c r="A595" s="106">
        <v>579</v>
      </c>
      <c r="B595" s="8" t="s">
        <v>805</v>
      </c>
      <c r="C595" s="8" t="s">
        <v>286</v>
      </c>
      <c r="D595" s="17" t="s">
        <v>128</v>
      </c>
      <c r="E595" s="17"/>
      <c r="G595" s="17" t="s">
        <v>11</v>
      </c>
      <c r="H595" s="62"/>
      <c r="I595" s="37">
        <f>IFERROR(VLOOKUP(B595,'TB '!$A:$G,7,),0)</f>
        <v>0</v>
      </c>
      <c r="J595" s="37">
        <f>IFERROR(VLOOKUP($B595,'TB '!$4:$1048576,MATCH('List of Ledgers '!J$4,'TB '!$4:$4,0),0),0)</f>
        <v>0</v>
      </c>
      <c r="K595" s="37">
        <f>IFERROR(VLOOKUP($B595,'TB '!$4:$1048576,MATCH('List of Ledgers '!K$4,'TB '!$4:$4,0),0),0)</f>
        <v>0</v>
      </c>
      <c r="L595" s="37">
        <f>IFERROR(VLOOKUP(B595,'TB '!$A:$J,10,),0)</f>
        <v>0</v>
      </c>
      <c r="M595" s="71"/>
      <c r="N595" s="63">
        <f>IFERROR(VLOOKUP($B595,'TB YTD'!$4:$1048576,MATCH('List of Ledgers '!N$4,'TB YTD'!$4:$4,0),0),0)</f>
        <v>557976.01</v>
      </c>
      <c r="O595" s="63">
        <f>IFERROR(VLOOKUP($B595,'TB YTD'!$4:$1048576,MATCH('List of Ledgers '!O$4,'TB YTD'!$4:$4,0),0),0)</f>
        <v>450.56</v>
      </c>
      <c r="P595" s="63">
        <f>IFERROR(VLOOKUP($B595,'TB YTD'!$4:$1048576,MATCH('List of Ledgers '!P$4,'TB YTD'!$4:$4,0),0),0)</f>
        <v>558426.56999999995</v>
      </c>
      <c r="Q595" s="63">
        <f>IFERROR(VLOOKUP($B595,'TB YTD'!$4:$1048576,MATCH('List of Ledgers '!Q$4,'TB YTD'!$4:$4,0),0),0)</f>
        <v>0</v>
      </c>
      <c r="R595" s="63"/>
    </row>
    <row r="596" spans="1:18" hidden="1" x14ac:dyDescent="0.25">
      <c r="A596" s="106">
        <v>580</v>
      </c>
      <c r="B596" s="8" t="s">
        <v>806</v>
      </c>
      <c r="C596" s="8" t="s">
        <v>286</v>
      </c>
      <c r="D596" s="17"/>
      <c r="E596" s="17"/>
      <c r="G596" s="17"/>
      <c r="H596" s="62"/>
      <c r="I596" s="37">
        <f>IFERROR(VLOOKUP(B596,'TB '!$A:$G,7,),0)</f>
        <v>0</v>
      </c>
      <c r="J596" s="37">
        <f>IFERROR(VLOOKUP($B596,'TB '!$4:$1048576,MATCH('List of Ledgers '!J$4,'TB '!$4:$4,0),0),0)</f>
        <v>0</v>
      </c>
      <c r="K596" s="37">
        <f>IFERROR(VLOOKUP($B596,'TB '!$4:$1048576,MATCH('List of Ledgers '!K$4,'TB '!$4:$4,0),0),0)</f>
        <v>0</v>
      </c>
      <c r="L596" s="37">
        <f>IFERROR(VLOOKUP(B596,'TB '!$A:$J,10,),0)</f>
        <v>0</v>
      </c>
      <c r="M596" s="71"/>
      <c r="N596" s="63">
        <f>IFERROR(VLOOKUP($B596,'TB YTD'!$4:$1048576,MATCH('List of Ledgers '!N$4,'TB YTD'!$4:$4,0),0),0)</f>
        <v>208322.55</v>
      </c>
      <c r="O596" s="63">
        <f>IFERROR(VLOOKUP($B596,'TB YTD'!$4:$1048576,MATCH('List of Ledgers '!O$4,'TB YTD'!$4:$4,0),0),0)</f>
        <v>109111.21</v>
      </c>
      <c r="P596" s="63">
        <f>IFERROR(VLOOKUP($B596,'TB YTD'!$4:$1048576,MATCH('List of Ledgers '!P$4,'TB YTD'!$4:$4,0),0),0)</f>
        <v>317433.76</v>
      </c>
      <c r="Q596" s="63">
        <f>IFERROR(VLOOKUP($B596,'TB YTD'!$4:$1048576,MATCH('List of Ledgers '!Q$4,'TB YTD'!$4:$4,0),0),0)</f>
        <v>0</v>
      </c>
      <c r="R596" s="63"/>
    </row>
    <row r="597" spans="1:18" hidden="1" x14ac:dyDescent="0.25">
      <c r="A597" s="106">
        <v>581</v>
      </c>
      <c r="B597" s="8" t="s">
        <v>807</v>
      </c>
      <c r="C597" s="8" t="s">
        <v>286</v>
      </c>
      <c r="D597" s="17"/>
      <c r="E597" s="17"/>
      <c r="G597" s="17"/>
      <c r="H597" s="62"/>
      <c r="I597" s="37">
        <f>IFERROR(VLOOKUP(B597,'TB '!$A:$G,7,),0)</f>
        <v>0</v>
      </c>
      <c r="J597" s="37">
        <f>IFERROR(VLOOKUP($B597,'TB '!$4:$1048576,MATCH('List of Ledgers '!J$4,'TB '!$4:$4,0),0),0)</f>
        <v>0</v>
      </c>
      <c r="K597" s="37">
        <f>IFERROR(VLOOKUP($B597,'TB '!$4:$1048576,MATCH('List of Ledgers '!K$4,'TB '!$4:$4,0),0),0)</f>
        <v>0</v>
      </c>
      <c r="L597" s="37">
        <f>IFERROR(VLOOKUP(B597,'TB '!$A:$J,10,),0)</f>
        <v>0</v>
      </c>
      <c r="M597" s="71"/>
      <c r="N597" s="63">
        <f>IFERROR(VLOOKUP($B597,'TB YTD'!$4:$1048576,MATCH('List of Ledgers '!N$4,'TB YTD'!$4:$4,0),0),0)</f>
        <v>0</v>
      </c>
      <c r="O597" s="63">
        <f>IFERROR(VLOOKUP($B597,'TB YTD'!$4:$1048576,MATCH('List of Ledgers '!O$4,'TB YTD'!$4:$4,0),0),0)</f>
        <v>0</v>
      </c>
      <c r="P597" s="63">
        <f>IFERROR(VLOOKUP($B597,'TB YTD'!$4:$1048576,MATCH('List of Ledgers '!P$4,'TB YTD'!$4:$4,0),0),0)</f>
        <v>0</v>
      </c>
      <c r="Q597" s="63">
        <f>IFERROR(VLOOKUP($B597,'TB YTD'!$4:$1048576,MATCH('List of Ledgers '!Q$4,'TB YTD'!$4:$4,0),0),0)</f>
        <v>0</v>
      </c>
      <c r="R597" s="63"/>
    </row>
    <row r="598" spans="1:18" hidden="1" x14ac:dyDescent="0.25">
      <c r="A598" s="106">
        <v>582</v>
      </c>
      <c r="B598" s="8" t="s">
        <v>808</v>
      </c>
      <c r="C598" s="8" t="s">
        <v>286</v>
      </c>
      <c r="D598" s="17"/>
      <c r="E598" s="17"/>
      <c r="G598" s="17"/>
      <c r="H598" s="62"/>
      <c r="I598" s="37">
        <f>IFERROR(VLOOKUP(B598,'TB '!$A:$G,7,),0)</f>
        <v>0</v>
      </c>
      <c r="J598" s="37">
        <f>IFERROR(VLOOKUP($B598,'TB '!$4:$1048576,MATCH('List of Ledgers '!J$4,'TB '!$4:$4,0),0),0)</f>
        <v>0</v>
      </c>
      <c r="K598" s="37">
        <f>IFERROR(VLOOKUP($B598,'TB '!$4:$1048576,MATCH('List of Ledgers '!K$4,'TB '!$4:$4,0),0),0)</f>
        <v>0</v>
      </c>
      <c r="L598" s="37">
        <f>IFERROR(VLOOKUP(B598,'TB '!$A:$J,10,),0)</f>
        <v>0</v>
      </c>
      <c r="M598" s="71"/>
      <c r="N598" s="63">
        <f>IFERROR(VLOOKUP($B598,'TB YTD'!$4:$1048576,MATCH('List of Ledgers '!N$4,'TB YTD'!$4:$4,0),0),0)</f>
        <v>180633.55</v>
      </c>
      <c r="O598" s="63">
        <f>IFERROR(VLOOKUP($B598,'TB YTD'!$4:$1048576,MATCH('List of Ledgers '!O$4,'TB YTD'!$4:$4,0),0),0)</f>
        <v>205.84</v>
      </c>
      <c r="P598" s="63">
        <f>IFERROR(VLOOKUP($B598,'TB YTD'!$4:$1048576,MATCH('List of Ledgers '!P$4,'TB YTD'!$4:$4,0),0),0)</f>
        <v>180839.39</v>
      </c>
      <c r="Q598" s="63">
        <f>IFERROR(VLOOKUP($B598,'TB YTD'!$4:$1048576,MATCH('List of Ledgers '!Q$4,'TB YTD'!$4:$4,0),0),0)</f>
        <v>0</v>
      </c>
      <c r="R598" s="63"/>
    </row>
    <row r="599" spans="1:18" hidden="1" x14ac:dyDescent="0.25">
      <c r="A599" s="106">
        <v>583</v>
      </c>
      <c r="B599" s="8" t="s">
        <v>809</v>
      </c>
      <c r="C599" s="8" t="s">
        <v>286</v>
      </c>
      <c r="D599" s="17"/>
      <c r="E599" s="17"/>
      <c r="G599" s="17"/>
      <c r="H599" s="62"/>
      <c r="I599" s="37">
        <f>IFERROR(VLOOKUP(B599,'TB '!$A:$G,7,),0)</f>
        <v>0</v>
      </c>
      <c r="J599" s="37">
        <f>IFERROR(VLOOKUP($B599,'TB '!$4:$1048576,MATCH('List of Ledgers '!J$4,'TB '!$4:$4,0),0),0)</f>
        <v>0</v>
      </c>
      <c r="K599" s="37">
        <f>IFERROR(VLOOKUP($B599,'TB '!$4:$1048576,MATCH('List of Ledgers '!K$4,'TB '!$4:$4,0),0),0)</f>
        <v>0</v>
      </c>
      <c r="L599" s="37">
        <f>IFERROR(VLOOKUP(B599,'TB '!$A:$J,10,),0)</f>
        <v>0</v>
      </c>
      <c r="M599" s="71"/>
      <c r="N599" s="63">
        <f>IFERROR(VLOOKUP($B599,'TB YTD'!$4:$1048576,MATCH('List of Ledgers '!N$4,'TB YTD'!$4:$4,0),0),0)</f>
        <v>0</v>
      </c>
      <c r="O599" s="63">
        <f>IFERROR(VLOOKUP($B599,'TB YTD'!$4:$1048576,MATCH('List of Ledgers '!O$4,'TB YTD'!$4:$4,0),0),0)</f>
        <v>0</v>
      </c>
      <c r="P599" s="63">
        <f>IFERROR(VLOOKUP($B599,'TB YTD'!$4:$1048576,MATCH('List of Ledgers '!P$4,'TB YTD'!$4:$4,0),0),0)</f>
        <v>0</v>
      </c>
      <c r="Q599" s="63">
        <f>IFERROR(VLOOKUP($B599,'TB YTD'!$4:$1048576,MATCH('List of Ledgers '!Q$4,'TB YTD'!$4:$4,0),0),0)</f>
        <v>0</v>
      </c>
      <c r="R599" s="63"/>
    </row>
    <row r="600" spans="1:18" hidden="1" x14ac:dyDescent="0.25">
      <c r="A600" s="106">
        <v>584</v>
      </c>
      <c r="B600" s="8" t="s">
        <v>810</v>
      </c>
      <c r="C600" s="8" t="s">
        <v>286</v>
      </c>
      <c r="D600" s="17"/>
      <c r="E600" s="17"/>
      <c r="G600" s="17"/>
      <c r="H600" s="62"/>
      <c r="I600" s="37">
        <f>IFERROR(VLOOKUP(B600,'TB '!$A:$G,7,),0)</f>
        <v>0</v>
      </c>
      <c r="J600" s="37">
        <f>IFERROR(VLOOKUP($B600,'TB '!$4:$1048576,MATCH('List of Ledgers '!J$4,'TB '!$4:$4,0),0),0)</f>
        <v>0</v>
      </c>
      <c r="K600" s="37">
        <f>IFERROR(VLOOKUP($B600,'TB '!$4:$1048576,MATCH('List of Ledgers '!K$4,'TB '!$4:$4,0),0),0)</f>
        <v>0</v>
      </c>
      <c r="L600" s="37">
        <f>IFERROR(VLOOKUP(B600,'TB '!$A:$J,10,),0)</f>
        <v>0</v>
      </c>
      <c r="M600" s="71"/>
      <c r="N600" s="63">
        <f>IFERROR(VLOOKUP($B600,'TB YTD'!$4:$1048576,MATCH('List of Ledgers '!N$4,'TB YTD'!$4:$4,0),0),0)</f>
        <v>63825.78</v>
      </c>
      <c r="O600" s="63">
        <f>IFERROR(VLOOKUP($B600,'TB YTD'!$4:$1048576,MATCH('List of Ledgers '!O$4,'TB YTD'!$4:$4,0),0),0)</f>
        <v>32943.93</v>
      </c>
      <c r="P600" s="63">
        <f>IFERROR(VLOOKUP($B600,'TB YTD'!$4:$1048576,MATCH('List of Ledgers '!P$4,'TB YTD'!$4:$4,0),0),0)</f>
        <v>96769.71</v>
      </c>
      <c r="Q600" s="63">
        <f>IFERROR(VLOOKUP($B600,'TB YTD'!$4:$1048576,MATCH('List of Ledgers '!Q$4,'TB YTD'!$4:$4,0),0),0)</f>
        <v>0</v>
      </c>
      <c r="R600" s="63"/>
    </row>
    <row r="601" spans="1:18" hidden="1" x14ac:dyDescent="0.25">
      <c r="A601" s="106">
        <v>585</v>
      </c>
      <c r="B601" s="8" t="s">
        <v>811</v>
      </c>
      <c r="C601" s="8" t="s">
        <v>286</v>
      </c>
      <c r="D601" s="17"/>
      <c r="E601" s="17"/>
      <c r="G601" s="17"/>
      <c r="H601" s="62"/>
      <c r="I601" s="37">
        <f>IFERROR(VLOOKUP(B601,'TB '!$A:$G,7,),0)</f>
        <v>0</v>
      </c>
      <c r="J601" s="37">
        <f>IFERROR(VLOOKUP($B601,'TB '!$4:$1048576,MATCH('List of Ledgers '!J$4,'TB '!$4:$4,0),0),0)</f>
        <v>0</v>
      </c>
      <c r="K601" s="37">
        <f>IFERROR(VLOOKUP($B601,'TB '!$4:$1048576,MATCH('List of Ledgers '!K$4,'TB '!$4:$4,0),0),0)</f>
        <v>0</v>
      </c>
      <c r="L601" s="37">
        <f>IFERROR(VLOOKUP(B601,'TB '!$A:$J,10,),0)</f>
        <v>0</v>
      </c>
      <c r="M601" s="71"/>
      <c r="N601" s="63">
        <f>IFERROR(VLOOKUP($B601,'TB YTD'!$4:$1048576,MATCH('List of Ledgers '!N$4,'TB YTD'!$4:$4,0),0),0)</f>
        <v>0</v>
      </c>
      <c r="O601" s="63">
        <f>IFERROR(VLOOKUP($B601,'TB YTD'!$4:$1048576,MATCH('List of Ledgers '!O$4,'TB YTD'!$4:$4,0),0),0)</f>
        <v>0</v>
      </c>
      <c r="P601" s="63">
        <f>IFERROR(VLOOKUP($B601,'TB YTD'!$4:$1048576,MATCH('List of Ledgers '!P$4,'TB YTD'!$4:$4,0),0),0)</f>
        <v>0</v>
      </c>
      <c r="Q601" s="63">
        <f>IFERROR(VLOOKUP($B601,'TB YTD'!$4:$1048576,MATCH('List of Ledgers '!Q$4,'TB YTD'!$4:$4,0),0),0)</f>
        <v>0</v>
      </c>
      <c r="R601" s="63"/>
    </row>
    <row r="602" spans="1:18" hidden="1" x14ac:dyDescent="0.25">
      <c r="A602" s="106">
        <v>586</v>
      </c>
      <c r="B602" s="8" t="s">
        <v>812</v>
      </c>
      <c r="C602" s="8" t="s">
        <v>286</v>
      </c>
      <c r="H602" s="62"/>
      <c r="I602" s="37">
        <f>IFERROR(VLOOKUP(B602,'TB '!$A:$G,7,),0)</f>
        <v>0</v>
      </c>
      <c r="J602" s="37">
        <f>IFERROR(VLOOKUP($B602,'TB '!$4:$1048576,MATCH('List of Ledgers '!J$4,'TB '!$4:$4,0),0),0)</f>
        <v>0</v>
      </c>
      <c r="K602" s="37">
        <f>IFERROR(VLOOKUP($B602,'TB '!$4:$1048576,MATCH('List of Ledgers '!K$4,'TB '!$4:$4,0),0),0)</f>
        <v>0</v>
      </c>
      <c r="L602" s="37">
        <f>IFERROR(VLOOKUP(B602,'TB '!$A:$J,10,),0)</f>
        <v>0</v>
      </c>
      <c r="M602" s="71"/>
      <c r="N602" s="63">
        <f>IFERROR(VLOOKUP($B602,'TB YTD'!$4:$1048576,MATCH('List of Ledgers '!N$4,'TB YTD'!$4:$4,0),0),0)</f>
        <v>203581.74</v>
      </c>
      <c r="O602" s="63">
        <f>IFERROR(VLOOKUP($B602,'TB YTD'!$4:$1048576,MATCH('List of Ledgers '!O$4,'TB YTD'!$4:$4,0),0),0)</f>
        <v>17263.560000000001</v>
      </c>
      <c r="P602" s="63">
        <f>IFERROR(VLOOKUP($B602,'TB YTD'!$4:$1048576,MATCH('List of Ledgers '!P$4,'TB YTD'!$4:$4,0),0),0)</f>
        <v>220845.3</v>
      </c>
      <c r="Q602" s="63">
        <f>IFERROR(VLOOKUP($B602,'TB YTD'!$4:$1048576,MATCH('List of Ledgers '!Q$4,'TB YTD'!$4:$4,0),0),0)</f>
        <v>0</v>
      </c>
      <c r="R602" s="63"/>
    </row>
    <row r="603" spans="1:18" hidden="1" x14ac:dyDescent="0.25">
      <c r="A603" s="106">
        <v>587</v>
      </c>
      <c r="B603" s="8" t="s">
        <v>813</v>
      </c>
      <c r="C603" s="8" t="s">
        <v>286</v>
      </c>
      <c r="D603" s="17"/>
      <c r="E603" s="17"/>
      <c r="G603" s="17"/>
      <c r="H603" s="62"/>
      <c r="I603" s="37">
        <f>IFERROR(VLOOKUP(B603,'TB '!$A:$G,7,),0)</f>
        <v>0</v>
      </c>
      <c r="J603" s="37">
        <f>IFERROR(VLOOKUP($B603,'TB '!$4:$1048576,MATCH('List of Ledgers '!J$4,'TB '!$4:$4,0),0),0)</f>
        <v>0</v>
      </c>
      <c r="K603" s="37">
        <f>IFERROR(VLOOKUP($B603,'TB '!$4:$1048576,MATCH('List of Ledgers '!K$4,'TB '!$4:$4,0),0),0)</f>
        <v>0</v>
      </c>
      <c r="L603" s="37">
        <f>IFERROR(VLOOKUP(B603,'TB '!$A:$J,10,),0)</f>
        <v>0</v>
      </c>
      <c r="M603" s="71"/>
      <c r="N603" s="63">
        <f>IFERROR(VLOOKUP($B603,'TB YTD'!$4:$1048576,MATCH('List of Ledgers '!N$4,'TB YTD'!$4:$4,0),0),0)</f>
        <v>211301.5</v>
      </c>
      <c r="O603" s="63">
        <f>IFERROR(VLOOKUP($B603,'TB YTD'!$4:$1048576,MATCH('List of Ledgers '!O$4,'TB YTD'!$4:$4,0),0),0)</f>
        <v>19037.150000000001</v>
      </c>
      <c r="P603" s="63">
        <f>IFERROR(VLOOKUP($B603,'TB YTD'!$4:$1048576,MATCH('List of Ledgers '!P$4,'TB YTD'!$4:$4,0),0),0)</f>
        <v>230338.65</v>
      </c>
      <c r="Q603" s="63">
        <f>IFERROR(VLOOKUP($B603,'TB YTD'!$4:$1048576,MATCH('List of Ledgers '!Q$4,'TB YTD'!$4:$4,0),0),0)</f>
        <v>0</v>
      </c>
      <c r="R603" s="63"/>
    </row>
    <row r="604" spans="1:18" hidden="1" x14ac:dyDescent="0.25">
      <c r="A604" s="106">
        <v>588</v>
      </c>
      <c r="B604" s="8" t="s">
        <v>814</v>
      </c>
      <c r="C604" s="8" t="s">
        <v>286</v>
      </c>
      <c r="D604" s="17"/>
      <c r="E604" s="17"/>
      <c r="G604" s="17"/>
      <c r="H604" s="62"/>
      <c r="I604" s="37">
        <f>IFERROR(VLOOKUP(B604,'TB '!$A:$G,7,),0)</f>
        <v>0</v>
      </c>
      <c r="J604" s="37">
        <f>IFERROR(VLOOKUP($B604,'TB '!$4:$1048576,MATCH('List of Ledgers '!J$4,'TB '!$4:$4,0),0),0)</f>
        <v>0</v>
      </c>
      <c r="K604" s="37">
        <f>IFERROR(VLOOKUP($B604,'TB '!$4:$1048576,MATCH('List of Ledgers '!K$4,'TB '!$4:$4,0),0),0)</f>
        <v>0</v>
      </c>
      <c r="L604" s="37">
        <f>IFERROR(VLOOKUP(B604,'TB '!$A:$J,10,),0)</f>
        <v>0</v>
      </c>
      <c r="M604" s="71"/>
      <c r="N604" s="63">
        <f>IFERROR(VLOOKUP($B604,'TB YTD'!$4:$1048576,MATCH('List of Ledgers '!N$4,'TB YTD'!$4:$4,0),0),0)</f>
        <v>0</v>
      </c>
      <c r="O604" s="63">
        <f>IFERROR(VLOOKUP($B604,'TB YTD'!$4:$1048576,MATCH('List of Ledgers '!O$4,'TB YTD'!$4:$4,0),0),0)</f>
        <v>0</v>
      </c>
      <c r="P604" s="63">
        <f>IFERROR(VLOOKUP($B604,'TB YTD'!$4:$1048576,MATCH('List of Ledgers '!P$4,'TB YTD'!$4:$4,0),0),0)</f>
        <v>0</v>
      </c>
      <c r="Q604" s="63">
        <f>IFERROR(VLOOKUP($B604,'TB YTD'!$4:$1048576,MATCH('List of Ledgers '!Q$4,'TB YTD'!$4:$4,0),0),0)</f>
        <v>0</v>
      </c>
      <c r="R604" s="63"/>
    </row>
    <row r="605" spans="1:18" hidden="1" x14ac:dyDescent="0.25">
      <c r="A605" s="106">
        <v>589</v>
      </c>
      <c r="B605" s="8" t="s">
        <v>815</v>
      </c>
      <c r="C605" s="8" t="s">
        <v>286</v>
      </c>
      <c r="D605" s="17"/>
      <c r="E605" s="17"/>
      <c r="G605" s="17"/>
      <c r="H605" s="62"/>
      <c r="I605" s="37">
        <f>IFERROR(VLOOKUP(B605,'TB '!$A:$G,7,),0)</f>
        <v>0</v>
      </c>
      <c r="J605" s="37">
        <f>IFERROR(VLOOKUP($B605,'TB '!$4:$1048576,MATCH('List of Ledgers '!J$4,'TB '!$4:$4,0),0),0)</f>
        <v>0</v>
      </c>
      <c r="K605" s="37">
        <f>IFERROR(VLOOKUP($B605,'TB '!$4:$1048576,MATCH('List of Ledgers '!K$4,'TB '!$4:$4,0),0),0)</f>
        <v>0</v>
      </c>
      <c r="L605" s="37">
        <f>IFERROR(VLOOKUP(B605,'TB '!$A:$J,10,),0)</f>
        <v>0</v>
      </c>
      <c r="M605" s="71"/>
      <c r="N605" s="63">
        <f>IFERROR(VLOOKUP($B605,'TB YTD'!$4:$1048576,MATCH('List of Ledgers '!N$4,'TB YTD'!$4:$4,0),0),0)</f>
        <v>5919.82</v>
      </c>
      <c r="O605" s="63">
        <f>IFERROR(VLOOKUP($B605,'TB YTD'!$4:$1048576,MATCH('List of Ledgers '!O$4,'TB YTD'!$4:$4,0),0),0)</f>
        <v>4.96</v>
      </c>
      <c r="P605" s="63">
        <f>IFERROR(VLOOKUP($B605,'TB YTD'!$4:$1048576,MATCH('List of Ledgers '!P$4,'TB YTD'!$4:$4,0),0),0)</f>
        <v>5924.78</v>
      </c>
      <c r="Q605" s="63">
        <f>IFERROR(VLOOKUP($B605,'TB YTD'!$4:$1048576,MATCH('List of Ledgers '!Q$4,'TB YTD'!$4:$4,0),0),0)</f>
        <v>0</v>
      </c>
      <c r="R605" s="63"/>
    </row>
    <row r="606" spans="1:18" hidden="1" x14ac:dyDescent="0.25">
      <c r="A606" s="106">
        <v>590</v>
      </c>
      <c r="B606" s="8" t="s">
        <v>816</v>
      </c>
      <c r="C606" s="8" t="s">
        <v>286</v>
      </c>
      <c r="D606" s="17"/>
      <c r="E606" s="17"/>
      <c r="G606" s="17"/>
      <c r="H606" s="62"/>
      <c r="I606" s="37">
        <f>IFERROR(VLOOKUP(B606,'TB '!$A:$G,7,),0)</f>
        <v>0</v>
      </c>
      <c r="J606" s="37">
        <f>IFERROR(VLOOKUP($B606,'TB '!$4:$1048576,MATCH('List of Ledgers '!J$4,'TB '!$4:$4,0),0),0)</f>
        <v>0</v>
      </c>
      <c r="K606" s="37">
        <f>IFERROR(VLOOKUP($B606,'TB '!$4:$1048576,MATCH('List of Ledgers '!K$4,'TB '!$4:$4,0),0),0)</f>
        <v>0</v>
      </c>
      <c r="L606" s="37">
        <f>IFERROR(VLOOKUP(B606,'TB '!$A:$J,10,),0)</f>
        <v>0</v>
      </c>
      <c r="M606" s="71"/>
      <c r="N606" s="63">
        <f>IFERROR(VLOOKUP($B606,'TB YTD'!$4:$1048576,MATCH('List of Ledgers '!N$4,'TB YTD'!$4:$4,0),0),0)</f>
        <v>0</v>
      </c>
      <c r="O606" s="63">
        <f>IFERROR(VLOOKUP($B606,'TB YTD'!$4:$1048576,MATCH('List of Ledgers '!O$4,'TB YTD'!$4:$4,0),0),0)</f>
        <v>0</v>
      </c>
      <c r="P606" s="63">
        <f>IFERROR(VLOOKUP($B606,'TB YTD'!$4:$1048576,MATCH('List of Ledgers '!P$4,'TB YTD'!$4:$4,0),0),0)</f>
        <v>0</v>
      </c>
      <c r="Q606" s="63">
        <f>IFERROR(VLOOKUP($B606,'TB YTD'!$4:$1048576,MATCH('List of Ledgers '!Q$4,'TB YTD'!$4:$4,0),0),0)</f>
        <v>0</v>
      </c>
      <c r="R606" s="63"/>
    </row>
    <row r="607" spans="1:18" hidden="1" x14ac:dyDescent="0.25">
      <c r="A607" s="106">
        <v>591</v>
      </c>
      <c r="B607" s="8" t="s">
        <v>817</v>
      </c>
      <c r="C607" s="8" t="s">
        <v>286</v>
      </c>
      <c r="D607" s="17"/>
      <c r="E607" s="17"/>
      <c r="G607" s="17"/>
      <c r="H607" s="62"/>
      <c r="I607" s="37">
        <f>IFERROR(VLOOKUP(B607,'TB '!$A:$G,7,),0)</f>
        <v>0</v>
      </c>
      <c r="J607" s="37">
        <f>IFERROR(VLOOKUP($B607,'TB '!$4:$1048576,MATCH('List of Ledgers '!J$4,'TB '!$4:$4,0),0),0)</f>
        <v>0</v>
      </c>
      <c r="K607" s="37">
        <f>IFERROR(VLOOKUP($B607,'TB '!$4:$1048576,MATCH('List of Ledgers '!K$4,'TB '!$4:$4,0),0),0)</f>
        <v>0</v>
      </c>
      <c r="L607" s="37">
        <f>IFERROR(VLOOKUP(B607,'TB '!$A:$J,10,),0)</f>
        <v>0</v>
      </c>
      <c r="M607" s="71"/>
      <c r="N607" s="63">
        <f>IFERROR(VLOOKUP($B607,'TB YTD'!$4:$1048576,MATCH('List of Ledgers '!N$4,'TB YTD'!$4:$4,0),0),0)</f>
        <v>0</v>
      </c>
      <c r="O607" s="63">
        <f>IFERROR(VLOOKUP($B607,'TB YTD'!$4:$1048576,MATCH('List of Ledgers '!O$4,'TB YTD'!$4:$4,0),0),0)</f>
        <v>0</v>
      </c>
      <c r="P607" s="63">
        <f>IFERROR(VLOOKUP($B607,'TB YTD'!$4:$1048576,MATCH('List of Ledgers '!P$4,'TB YTD'!$4:$4,0),0),0)</f>
        <v>0</v>
      </c>
      <c r="Q607" s="63">
        <f>IFERROR(VLOOKUP($B607,'TB YTD'!$4:$1048576,MATCH('List of Ledgers '!Q$4,'TB YTD'!$4:$4,0),0),0)</f>
        <v>0</v>
      </c>
      <c r="R607" s="63"/>
    </row>
    <row r="608" spans="1:18" hidden="1" x14ac:dyDescent="0.25">
      <c r="A608" s="106">
        <v>592</v>
      </c>
      <c r="B608" s="8" t="s">
        <v>818</v>
      </c>
      <c r="C608" s="8" t="s">
        <v>286</v>
      </c>
      <c r="D608" s="17"/>
      <c r="E608" s="17"/>
      <c r="G608" s="17"/>
      <c r="H608" s="62"/>
      <c r="I608" s="37">
        <f>IFERROR(VLOOKUP(B608,'TB '!$A:$G,7,),0)</f>
        <v>0</v>
      </c>
      <c r="J608" s="37">
        <f>IFERROR(VLOOKUP($B608,'TB '!$4:$1048576,MATCH('List of Ledgers '!J$4,'TB '!$4:$4,0),0),0)</f>
        <v>0</v>
      </c>
      <c r="K608" s="37">
        <f>IFERROR(VLOOKUP($B608,'TB '!$4:$1048576,MATCH('List of Ledgers '!K$4,'TB '!$4:$4,0),0),0)</f>
        <v>0</v>
      </c>
      <c r="L608" s="37">
        <f>IFERROR(VLOOKUP(B608,'TB '!$A:$J,10,),0)</f>
        <v>0</v>
      </c>
      <c r="M608" s="71"/>
      <c r="N608" s="63">
        <f>IFERROR(VLOOKUP($B608,'TB YTD'!$4:$1048576,MATCH('List of Ledgers '!N$4,'TB YTD'!$4:$4,0),0),0)</f>
        <v>241601.48</v>
      </c>
      <c r="O608" s="63">
        <f>IFERROR(VLOOKUP($B608,'TB YTD'!$4:$1048576,MATCH('List of Ledgers '!O$4,'TB YTD'!$4:$4,0),0),0)</f>
        <v>143601.54</v>
      </c>
      <c r="P608" s="63">
        <f>IFERROR(VLOOKUP($B608,'TB YTD'!$4:$1048576,MATCH('List of Ledgers '!P$4,'TB YTD'!$4:$4,0),0),0)</f>
        <v>385203.02</v>
      </c>
      <c r="Q608" s="63">
        <f>IFERROR(VLOOKUP($B608,'TB YTD'!$4:$1048576,MATCH('List of Ledgers '!Q$4,'TB YTD'!$4:$4,0),0),0)</f>
        <v>0</v>
      </c>
      <c r="R608" s="63"/>
    </row>
    <row r="609" spans="1:18" hidden="1" x14ac:dyDescent="0.25">
      <c r="A609" s="106">
        <v>593</v>
      </c>
      <c r="B609" s="8" t="s">
        <v>819</v>
      </c>
      <c r="C609" s="8" t="s">
        <v>286</v>
      </c>
      <c r="D609" s="17"/>
      <c r="E609" s="17"/>
      <c r="G609" s="17"/>
      <c r="H609" s="62"/>
      <c r="I609" s="37">
        <f>IFERROR(VLOOKUP(B609,'TB '!$A:$G,7,),0)</f>
        <v>0</v>
      </c>
      <c r="J609" s="37">
        <f>IFERROR(VLOOKUP($B609,'TB '!$4:$1048576,MATCH('List of Ledgers '!J$4,'TB '!$4:$4,0),0),0)</f>
        <v>0</v>
      </c>
      <c r="K609" s="37">
        <f>IFERROR(VLOOKUP($B609,'TB '!$4:$1048576,MATCH('List of Ledgers '!K$4,'TB '!$4:$4,0),0),0)</f>
        <v>0</v>
      </c>
      <c r="L609" s="37">
        <f>IFERROR(VLOOKUP(B609,'TB '!$A:$J,10,),0)</f>
        <v>0</v>
      </c>
      <c r="M609" s="71"/>
      <c r="N609" s="63">
        <f>IFERROR(VLOOKUP($B609,'TB YTD'!$4:$1048576,MATCH('List of Ledgers '!N$4,'TB YTD'!$4:$4,0),0),0)</f>
        <v>48557.5</v>
      </c>
      <c r="O609" s="63">
        <f>IFERROR(VLOOKUP($B609,'TB YTD'!$4:$1048576,MATCH('List of Ledgers '!O$4,'TB YTD'!$4:$4,0),0),0)</f>
        <v>51.81</v>
      </c>
      <c r="P609" s="63">
        <f>IFERROR(VLOOKUP($B609,'TB YTD'!$4:$1048576,MATCH('List of Ledgers '!P$4,'TB YTD'!$4:$4,0),0),0)</f>
        <v>48609.31</v>
      </c>
      <c r="Q609" s="63">
        <f>IFERROR(VLOOKUP($B609,'TB YTD'!$4:$1048576,MATCH('List of Ledgers '!Q$4,'TB YTD'!$4:$4,0),0),0)</f>
        <v>0</v>
      </c>
      <c r="R609" s="63"/>
    </row>
    <row r="610" spans="1:18" hidden="1" x14ac:dyDescent="0.25">
      <c r="A610" s="106">
        <v>594</v>
      </c>
      <c r="B610" s="8" t="s">
        <v>820</v>
      </c>
      <c r="C610" s="8" t="s">
        <v>286</v>
      </c>
      <c r="H610" s="62"/>
      <c r="I610" s="37">
        <f>IFERROR(VLOOKUP(B610,'TB '!$A:$G,7,),0)</f>
        <v>0</v>
      </c>
      <c r="J610" s="37">
        <f>IFERROR(VLOOKUP($B610,'TB '!$4:$1048576,MATCH('List of Ledgers '!J$4,'TB '!$4:$4,0),0),0)</f>
        <v>0</v>
      </c>
      <c r="K610" s="37">
        <f>IFERROR(VLOOKUP($B610,'TB '!$4:$1048576,MATCH('List of Ledgers '!K$4,'TB '!$4:$4,0),0),0)</f>
        <v>0</v>
      </c>
      <c r="L610" s="37">
        <f>IFERROR(VLOOKUP(B610,'TB '!$A:$J,10,),0)</f>
        <v>0</v>
      </c>
      <c r="M610" s="71"/>
      <c r="N610" s="63">
        <f>IFERROR(VLOOKUP($B610,'TB YTD'!$4:$1048576,MATCH('List of Ledgers '!N$4,'TB YTD'!$4:$4,0),0),0)</f>
        <v>88021.66</v>
      </c>
      <c r="O610" s="63">
        <f>IFERROR(VLOOKUP($B610,'TB YTD'!$4:$1048576,MATCH('List of Ledgers '!O$4,'TB YTD'!$4:$4,0),0),0)</f>
        <v>9410.09</v>
      </c>
      <c r="P610" s="63">
        <f>IFERROR(VLOOKUP($B610,'TB YTD'!$4:$1048576,MATCH('List of Ledgers '!P$4,'TB YTD'!$4:$4,0),0),0)</f>
        <v>97431.75</v>
      </c>
      <c r="Q610" s="63">
        <f>IFERROR(VLOOKUP($B610,'TB YTD'!$4:$1048576,MATCH('List of Ledgers '!Q$4,'TB YTD'!$4:$4,0),0),0)</f>
        <v>0</v>
      </c>
      <c r="R610" s="63"/>
    </row>
    <row r="611" spans="1:18" hidden="1" x14ac:dyDescent="0.25">
      <c r="A611" s="106">
        <v>595</v>
      </c>
      <c r="B611" s="8" t="s">
        <v>821</v>
      </c>
      <c r="C611" s="8" t="s">
        <v>286</v>
      </c>
      <c r="D611" s="17"/>
      <c r="E611" s="17"/>
      <c r="G611" s="17"/>
      <c r="H611" s="62"/>
      <c r="I611" s="37">
        <f>IFERROR(VLOOKUP(B611,'TB '!$A:$G,7,),0)</f>
        <v>0</v>
      </c>
      <c r="J611" s="37">
        <f>IFERROR(VLOOKUP($B611,'TB '!$4:$1048576,MATCH('List of Ledgers '!J$4,'TB '!$4:$4,0),0),0)</f>
        <v>0</v>
      </c>
      <c r="K611" s="37">
        <f>IFERROR(VLOOKUP($B611,'TB '!$4:$1048576,MATCH('List of Ledgers '!K$4,'TB '!$4:$4,0),0),0)</f>
        <v>0</v>
      </c>
      <c r="L611" s="37">
        <f>IFERROR(VLOOKUP(B611,'TB '!$A:$J,10,),0)</f>
        <v>0</v>
      </c>
      <c r="M611" s="71"/>
      <c r="N611" s="63">
        <f>IFERROR(VLOOKUP($B611,'TB YTD'!$4:$1048576,MATCH('List of Ledgers '!N$4,'TB YTD'!$4:$4,0),0),0)</f>
        <v>0</v>
      </c>
      <c r="O611" s="63">
        <f>IFERROR(VLOOKUP($B611,'TB YTD'!$4:$1048576,MATCH('List of Ledgers '!O$4,'TB YTD'!$4:$4,0),0),0)</f>
        <v>0</v>
      </c>
      <c r="P611" s="63">
        <f>IFERROR(VLOOKUP($B611,'TB YTD'!$4:$1048576,MATCH('List of Ledgers '!P$4,'TB YTD'!$4:$4,0),0),0)</f>
        <v>0</v>
      </c>
      <c r="Q611" s="63">
        <f>IFERROR(VLOOKUP($B611,'TB YTD'!$4:$1048576,MATCH('List of Ledgers '!Q$4,'TB YTD'!$4:$4,0),0),0)</f>
        <v>0</v>
      </c>
      <c r="R611" s="63"/>
    </row>
    <row r="612" spans="1:18" hidden="1" x14ac:dyDescent="0.25">
      <c r="A612" s="106">
        <v>596</v>
      </c>
      <c r="B612" s="8" t="s">
        <v>822</v>
      </c>
      <c r="C612" s="8" t="s">
        <v>286</v>
      </c>
      <c r="D612" s="17"/>
      <c r="E612" s="17"/>
      <c r="G612" s="17"/>
      <c r="H612" s="62"/>
      <c r="I612" s="37">
        <f>IFERROR(VLOOKUP(B612,'TB '!$A:$G,7,),0)</f>
        <v>0</v>
      </c>
      <c r="J612" s="37">
        <f>IFERROR(VLOOKUP($B612,'TB '!$4:$1048576,MATCH('List of Ledgers '!J$4,'TB '!$4:$4,0),0),0)</f>
        <v>0</v>
      </c>
      <c r="K612" s="37">
        <f>IFERROR(VLOOKUP($B612,'TB '!$4:$1048576,MATCH('List of Ledgers '!K$4,'TB '!$4:$4,0),0),0)</f>
        <v>0</v>
      </c>
      <c r="L612" s="37">
        <f>IFERROR(VLOOKUP(B612,'TB '!$A:$J,10,),0)</f>
        <v>0</v>
      </c>
      <c r="M612" s="71"/>
      <c r="N612" s="63">
        <f>IFERROR(VLOOKUP($B612,'TB YTD'!$4:$1048576,MATCH('List of Ledgers '!N$4,'TB YTD'!$4:$4,0),0),0)</f>
        <v>122565.87</v>
      </c>
      <c r="O612" s="63">
        <f>IFERROR(VLOOKUP($B612,'TB YTD'!$4:$1048576,MATCH('List of Ledgers '!O$4,'TB YTD'!$4:$4,0),0),0)</f>
        <v>126.11</v>
      </c>
      <c r="P612" s="63">
        <f>IFERROR(VLOOKUP($B612,'TB YTD'!$4:$1048576,MATCH('List of Ledgers '!P$4,'TB YTD'!$4:$4,0),0),0)</f>
        <v>122691.98</v>
      </c>
      <c r="Q612" s="63">
        <f>IFERROR(VLOOKUP($B612,'TB YTD'!$4:$1048576,MATCH('List of Ledgers '!Q$4,'TB YTD'!$4:$4,0),0),0)</f>
        <v>0</v>
      </c>
      <c r="R612" s="63"/>
    </row>
    <row r="613" spans="1:18" hidden="1" x14ac:dyDescent="0.25">
      <c r="A613" s="106">
        <v>597</v>
      </c>
      <c r="B613" s="8" t="s">
        <v>823</v>
      </c>
      <c r="C613" s="8" t="s">
        <v>286</v>
      </c>
      <c r="D613" s="17"/>
      <c r="E613" s="17"/>
      <c r="G613" s="17"/>
      <c r="H613" s="62"/>
      <c r="I613" s="37">
        <f>IFERROR(VLOOKUP(B613,'TB '!$A:$G,7,),0)</f>
        <v>0</v>
      </c>
      <c r="J613" s="37">
        <f>IFERROR(VLOOKUP($B613,'TB '!$4:$1048576,MATCH('List of Ledgers '!J$4,'TB '!$4:$4,0),0),0)</f>
        <v>0</v>
      </c>
      <c r="K613" s="37">
        <f>IFERROR(VLOOKUP($B613,'TB '!$4:$1048576,MATCH('List of Ledgers '!K$4,'TB '!$4:$4,0),0),0)</f>
        <v>0</v>
      </c>
      <c r="L613" s="37">
        <f>IFERROR(VLOOKUP(B613,'TB '!$A:$J,10,),0)</f>
        <v>0</v>
      </c>
      <c r="M613" s="71"/>
      <c r="N613" s="63">
        <f>IFERROR(VLOOKUP($B613,'TB YTD'!$4:$1048576,MATCH('List of Ledgers '!N$4,'TB YTD'!$4:$4,0),0),0)</f>
        <v>85704.07</v>
      </c>
      <c r="O613" s="63">
        <f>IFERROR(VLOOKUP($B613,'TB YTD'!$4:$1048576,MATCH('List of Ledgers '!O$4,'TB YTD'!$4:$4,0),0),0)</f>
        <v>17778.439999999999</v>
      </c>
      <c r="P613" s="63">
        <f>IFERROR(VLOOKUP($B613,'TB YTD'!$4:$1048576,MATCH('List of Ledgers '!P$4,'TB YTD'!$4:$4,0),0),0)</f>
        <v>103482.51</v>
      </c>
      <c r="Q613" s="63">
        <f>IFERROR(VLOOKUP($B613,'TB YTD'!$4:$1048576,MATCH('List of Ledgers '!Q$4,'TB YTD'!$4:$4,0),0),0)</f>
        <v>0</v>
      </c>
      <c r="R613" s="63"/>
    </row>
    <row r="614" spans="1:18" hidden="1" x14ac:dyDescent="0.25">
      <c r="A614" s="106">
        <v>598</v>
      </c>
      <c r="B614" s="8" t="s">
        <v>824</v>
      </c>
      <c r="C614" s="8" t="s">
        <v>286</v>
      </c>
      <c r="D614" s="17"/>
      <c r="E614" s="17"/>
      <c r="G614" s="17"/>
      <c r="H614" s="62"/>
      <c r="I614" s="37">
        <f>IFERROR(VLOOKUP(B614,'TB '!$A:$G,7,),0)</f>
        <v>0</v>
      </c>
      <c r="J614" s="37">
        <f>IFERROR(VLOOKUP($B614,'TB '!$4:$1048576,MATCH('List of Ledgers '!J$4,'TB '!$4:$4,0),0),0)</f>
        <v>0</v>
      </c>
      <c r="K614" s="37">
        <f>IFERROR(VLOOKUP($B614,'TB '!$4:$1048576,MATCH('List of Ledgers '!K$4,'TB '!$4:$4,0),0),0)</f>
        <v>0</v>
      </c>
      <c r="L614" s="37">
        <f>IFERROR(VLOOKUP(B614,'TB '!$A:$J,10,),0)</f>
        <v>0</v>
      </c>
      <c r="M614" s="71"/>
      <c r="N614" s="63">
        <f>IFERROR(VLOOKUP($B614,'TB YTD'!$4:$1048576,MATCH('List of Ledgers '!N$4,'TB YTD'!$4:$4,0),0),0)</f>
        <v>85602.3</v>
      </c>
      <c r="O614" s="63">
        <f>IFERROR(VLOOKUP($B614,'TB YTD'!$4:$1048576,MATCH('List of Ledgers '!O$4,'TB YTD'!$4:$4,0),0),0)</f>
        <v>8331.9</v>
      </c>
      <c r="P614" s="63">
        <f>IFERROR(VLOOKUP($B614,'TB YTD'!$4:$1048576,MATCH('List of Ledgers '!P$4,'TB YTD'!$4:$4,0),0),0)</f>
        <v>93934.2</v>
      </c>
      <c r="Q614" s="63">
        <f>IFERROR(VLOOKUP($B614,'TB YTD'!$4:$1048576,MATCH('List of Ledgers '!Q$4,'TB YTD'!$4:$4,0),0),0)</f>
        <v>0</v>
      </c>
      <c r="R614" s="63"/>
    </row>
    <row r="615" spans="1:18" hidden="1" x14ac:dyDescent="0.25">
      <c r="A615" s="106">
        <v>599</v>
      </c>
      <c r="B615" s="8" t="s">
        <v>825</v>
      </c>
      <c r="C615" s="8" t="s">
        <v>286</v>
      </c>
      <c r="D615" s="17"/>
      <c r="E615" s="17"/>
      <c r="G615" s="17"/>
      <c r="H615" s="62"/>
      <c r="I615" s="37">
        <f>IFERROR(VLOOKUP(B615,'TB '!$A:$G,7,),0)</f>
        <v>0</v>
      </c>
      <c r="J615" s="37">
        <f>IFERROR(VLOOKUP($B615,'TB '!$4:$1048576,MATCH('List of Ledgers '!J$4,'TB '!$4:$4,0),0),0)</f>
        <v>0</v>
      </c>
      <c r="K615" s="37">
        <f>IFERROR(VLOOKUP($B615,'TB '!$4:$1048576,MATCH('List of Ledgers '!K$4,'TB '!$4:$4,0),0),0)</f>
        <v>0</v>
      </c>
      <c r="L615" s="37">
        <f>IFERROR(VLOOKUP(B615,'TB '!$A:$J,10,),0)</f>
        <v>0</v>
      </c>
      <c r="M615" s="71"/>
      <c r="N615" s="63">
        <f>IFERROR(VLOOKUP($B615,'TB YTD'!$4:$1048576,MATCH('List of Ledgers '!N$4,'TB YTD'!$4:$4,0),0),0)</f>
        <v>196233</v>
      </c>
      <c r="O615" s="63">
        <f>IFERROR(VLOOKUP($B615,'TB YTD'!$4:$1048576,MATCH('List of Ledgers '!O$4,'TB YTD'!$4:$4,0),0),0)</f>
        <v>199.61</v>
      </c>
      <c r="P615" s="63">
        <f>IFERROR(VLOOKUP($B615,'TB YTD'!$4:$1048576,MATCH('List of Ledgers '!P$4,'TB YTD'!$4:$4,0),0),0)</f>
        <v>196432.61</v>
      </c>
      <c r="Q615" s="63">
        <f>IFERROR(VLOOKUP($B615,'TB YTD'!$4:$1048576,MATCH('List of Ledgers '!Q$4,'TB YTD'!$4:$4,0),0),0)</f>
        <v>0</v>
      </c>
      <c r="R615" s="63"/>
    </row>
    <row r="616" spans="1:18" hidden="1" x14ac:dyDescent="0.25">
      <c r="A616" s="106">
        <v>600</v>
      </c>
      <c r="B616" s="8" t="s">
        <v>826</v>
      </c>
      <c r="C616" s="8" t="s">
        <v>286</v>
      </c>
      <c r="D616" s="17"/>
      <c r="E616" s="17"/>
      <c r="G616" s="17"/>
      <c r="H616" s="62"/>
      <c r="I616" s="37">
        <f>IFERROR(VLOOKUP(B616,'TB '!$A:$G,7,),0)</f>
        <v>0</v>
      </c>
      <c r="J616" s="37">
        <f>IFERROR(VLOOKUP($B616,'TB '!$4:$1048576,MATCH('List of Ledgers '!J$4,'TB '!$4:$4,0),0),0)</f>
        <v>0</v>
      </c>
      <c r="K616" s="37">
        <f>IFERROR(VLOOKUP($B616,'TB '!$4:$1048576,MATCH('List of Ledgers '!K$4,'TB '!$4:$4,0),0),0)</f>
        <v>0</v>
      </c>
      <c r="L616" s="37">
        <f>IFERROR(VLOOKUP(B616,'TB '!$A:$J,10,),0)</f>
        <v>0</v>
      </c>
      <c r="M616" s="71"/>
      <c r="N616" s="63">
        <f>IFERROR(VLOOKUP($B616,'TB YTD'!$4:$1048576,MATCH('List of Ledgers '!N$4,'TB YTD'!$4:$4,0),0),0)</f>
        <v>34766.35</v>
      </c>
      <c r="O616" s="63">
        <f>IFERROR(VLOOKUP($B616,'TB YTD'!$4:$1048576,MATCH('List of Ledgers '!O$4,'TB YTD'!$4:$4,0),0),0)</f>
        <v>16327.86</v>
      </c>
      <c r="P616" s="63">
        <f>IFERROR(VLOOKUP($B616,'TB YTD'!$4:$1048576,MATCH('List of Ledgers '!P$4,'TB YTD'!$4:$4,0),0),0)</f>
        <v>51094.21</v>
      </c>
      <c r="Q616" s="63">
        <f>IFERROR(VLOOKUP($B616,'TB YTD'!$4:$1048576,MATCH('List of Ledgers '!Q$4,'TB YTD'!$4:$4,0),0),0)</f>
        <v>0</v>
      </c>
      <c r="R616" s="63"/>
    </row>
    <row r="617" spans="1:18" hidden="1" x14ac:dyDescent="0.25">
      <c r="A617" s="106">
        <v>601</v>
      </c>
      <c r="B617" s="8" t="s">
        <v>827</v>
      </c>
      <c r="C617" s="8" t="s">
        <v>286</v>
      </c>
      <c r="D617" s="17"/>
      <c r="E617" s="17"/>
      <c r="G617" s="17"/>
      <c r="H617" s="62"/>
      <c r="I617" s="37">
        <f>IFERROR(VLOOKUP(B617,'TB '!$A:$G,7,),0)</f>
        <v>0</v>
      </c>
      <c r="J617" s="37">
        <f>IFERROR(VLOOKUP($B617,'TB '!$4:$1048576,MATCH('List of Ledgers '!J$4,'TB '!$4:$4,0),0),0)</f>
        <v>0</v>
      </c>
      <c r="K617" s="37">
        <f>IFERROR(VLOOKUP($B617,'TB '!$4:$1048576,MATCH('List of Ledgers '!K$4,'TB '!$4:$4,0),0),0)</f>
        <v>0</v>
      </c>
      <c r="L617" s="37">
        <f>IFERROR(VLOOKUP(B617,'TB '!$A:$J,10,),0)</f>
        <v>0</v>
      </c>
      <c r="M617" s="71"/>
      <c r="N617" s="63">
        <f>IFERROR(VLOOKUP($B617,'TB YTD'!$4:$1048576,MATCH('List of Ledgers '!N$4,'TB YTD'!$4:$4,0),0),0)</f>
        <v>54499.41</v>
      </c>
      <c r="O617" s="63">
        <f>IFERROR(VLOOKUP($B617,'TB YTD'!$4:$1048576,MATCH('List of Ledgers '!O$4,'TB YTD'!$4:$4,0),0),0)</f>
        <v>93.05</v>
      </c>
      <c r="P617" s="63">
        <f>IFERROR(VLOOKUP($B617,'TB YTD'!$4:$1048576,MATCH('List of Ledgers '!P$4,'TB YTD'!$4:$4,0),0),0)</f>
        <v>54592.46</v>
      </c>
      <c r="Q617" s="63">
        <f>IFERROR(VLOOKUP($B617,'TB YTD'!$4:$1048576,MATCH('List of Ledgers '!Q$4,'TB YTD'!$4:$4,0),0),0)</f>
        <v>0</v>
      </c>
      <c r="R617" s="63"/>
    </row>
    <row r="618" spans="1:18" hidden="1" x14ac:dyDescent="0.25">
      <c r="A618" s="106">
        <v>602</v>
      </c>
      <c r="B618" s="8" t="s">
        <v>828</v>
      </c>
      <c r="C618" s="8" t="s">
        <v>286</v>
      </c>
      <c r="D618" s="17"/>
      <c r="E618" s="17"/>
      <c r="G618" s="17"/>
      <c r="H618" s="62"/>
      <c r="I618" s="37">
        <f>IFERROR(VLOOKUP(B618,'TB '!$A:$G,7,),0)</f>
        <v>0</v>
      </c>
      <c r="J618" s="37">
        <f>IFERROR(VLOOKUP($B618,'TB '!$4:$1048576,MATCH('List of Ledgers '!J$4,'TB '!$4:$4,0),0),0)</f>
        <v>0</v>
      </c>
      <c r="K618" s="37">
        <f>IFERROR(VLOOKUP($B618,'TB '!$4:$1048576,MATCH('List of Ledgers '!K$4,'TB '!$4:$4,0),0),0)</f>
        <v>0</v>
      </c>
      <c r="L618" s="37">
        <f>IFERROR(VLOOKUP(B618,'TB '!$A:$J,10,),0)</f>
        <v>0</v>
      </c>
      <c r="M618" s="71"/>
      <c r="N618" s="63">
        <f>IFERROR(VLOOKUP($B618,'TB YTD'!$4:$1048576,MATCH('List of Ledgers '!N$4,'TB YTD'!$4:$4,0),0),0)</f>
        <v>101599.82</v>
      </c>
      <c r="O618" s="63">
        <f>IFERROR(VLOOKUP($B618,'TB YTD'!$4:$1048576,MATCH('List of Ledgers '!O$4,'TB YTD'!$4:$4,0),0),0)</f>
        <v>84.99</v>
      </c>
      <c r="P618" s="63">
        <f>IFERROR(VLOOKUP($B618,'TB YTD'!$4:$1048576,MATCH('List of Ledgers '!P$4,'TB YTD'!$4:$4,0),0),0)</f>
        <v>101684.81</v>
      </c>
      <c r="Q618" s="63">
        <f>IFERROR(VLOOKUP($B618,'TB YTD'!$4:$1048576,MATCH('List of Ledgers '!Q$4,'TB YTD'!$4:$4,0),0),0)</f>
        <v>0</v>
      </c>
      <c r="R618" s="63"/>
    </row>
    <row r="619" spans="1:18" hidden="1" x14ac:dyDescent="0.25">
      <c r="A619" s="106">
        <v>603</v>
      </c>
      <c r="B619" s="8" t="s">
        <v>829</v>
      </c>
      <c r="C619" s="8" t="s">
        <v>286</v>
      </c>
      <c r="D619" s="17"/>
      <c r="E619" s="17"/>
      <c r="G619" s="17"/>
      <c r="H619" s="62"/>
      <c r="I619" s="37">
        <f>IFERROR(VLOOKUP(B619,'TB '!$A:$G,7,),0)</f>
        <v>0</v>
      </c>
      <c r="J619" s="37">
        <f>IFERROR(VLOOKUP($B619,'TB '!$4:$1048576,MATCH('List of Ledgers '!J$4,'TB '!$4:$4,0),0),0)</f>
        <v>0</v>
      </c>
      <c r="K619" s="37">
        <f>IFERROR(VLOOKUP($B619,'TB '!$4:$1048576,MATCH('List of Ledgers '!K$4,'TB '!$4:$4,0),0),0)</f>
        <v>0</v>
      </c>
      <c r="L619" s="37">
        <f>IFERROR(VLOOKUP(B619,'TB '!$A:$J,10,),0)</f>
        <v>0</v>
      </c>
      <c r="M619" s="71"/>
      <c r="N619" s="63">
        <f>IFERROR(VLOOKUP($B619,'TB YTD'!$4:$1048576,MATCH('List of Ledgers '!N$4,'TB YTD'!$4:$4,0),0),0)</f>
        <v>173506.77</v>
      </c>
      <c r="O619" s="63">
        <f>IFERROR(VLOOKUP($B619,'TB YTD'!$4:$1048576,MATCH('List of Ledgers '!O$4,'TB YTD'!$4:$4,0),0),0)</f>
        <v>150.9</v>
      </c>
      <c r="P619" s="63">
        <f>IFERROR(VLOOKUP($B619,'TB YTD'!$4:$1048576,MATCH('List of Ledgers '!P$4,'TB YTD'!$4:$4,0),0),0)</f>
        <v>173657.67</v>
      </c>
      <c r="Q619" s="63">
        <f>IFERROR(VLOOKUP($B619,'TB YTD'!$4:$1048576,MATCH('List of Ledgers '!Q$4,'TB YTD'!$4:$4,0),0),0)</f>
        <v>0</v>
      </c>
      <c r="R619" s="63"/>
    </row>
    <row r="620" spans="1:18" hidden="1" x14ac:dyDescent="0.25">
      <c r="A620" s="106">
        <v>604</v>
      </c>
      <c r="B620" s="8" t="s">
        <v>830</v>
      </c>
      <c r="C620" s="8" t="s">
        <v>286</v>
      </c>
      <c r="D620" s="17"/>
      <c r="E620" s="17"/>
      <c r="G620" s="17"/>
      <c r="H620" s="62"/>
      <c r="I620" s="37">
        <f>IFERROR(VLOOKUP(B620,'TB '!$A:$G,7,),0)</f>
        <v>0</v>
      </c>
      <c r="J620" s="37">
        <f>IFERROR(VLOOKUP($B620,'TB '!$4:$1048576,MATCH('List of Ledgers '!J$4,'TB '!$4:$4,0),0),0)</f>
        <v>0</v>
      </c>
      <c r="K620" s="37">
        <f>IFERROR(VLOOKUP($B620,'TB '!$4:$1048576,MATCH('List of Ledgers '!K$4,'TB '!$4:$4,0),0),0)</f>
        <v>0</v>
      </c>
      <c r="L620" s="37">
        <f>IFERROR(VLOOKUP(B620,'TB '!$A:$J,10,),0)</f>
        <v>0</v>
      </c>
      <c r="M620" s="71"/>
      <c r="N620" s="63">
        <f>IFERROR(VLOOKUP($B620,'TB YTD'!$4:$1048576,MATCH('List of Ledgers '!N$4,'TB YTD'!$4:$4,0),0),0)</f>
        <v>0</v>
      </c>
      <c r="O620" s="63">
        <f>IFERROR(VLOOKUP($B620,'TB YTD'!$4:$1048576,MATCH('List of Ledgers '!O$4,'TB YTD'!$4:$4,0),0),0)</f>
        <v>0</v>
      </c>
      <c r="P620" s="63">
        <f>IFERROR(VLOOKUP($B620,'TB YTD'!$4:$1048576,MATCH('List of Ledgers '!P$4,'TB YTD'!$4:$4,0),0),0)</f>
        <v>0</v>
      </c>
      <c r="Q620" s="63">
        <f>IFERROR(VLOOKUP($B620,'TB YTD'!$4:$1048576,MATCH('List of Ledgers '!Q$4,'TB YTD'!$4:$4,0),0),0)</f>
        <v>0</v>
      </c>
      <c r="R620" s="63"/>
    </row>
    <row r="621" spans="1:18" hidden="1" x14ac:dyDescent="0.25">
      <c r="A621" s="106">
        <v>605</v>
      </c>
      <c r="B621" s="8" t="s">
        <v>831</v>
      </c>
      <c r="C621" s="8" t="s">
        <v>286</v>
      </c>
      <c r="D621" s="17"/>
      <c r="E621" s="17"/>
      <c r="G621" s="17"/>
      <c r="H621" s="62"/>
      <c r="I621" s="37">
        <f>IFERROR(VLOOKUP(B621,'TB '!$A:$G,7,),0)</f>
        <v>0</v>
      </c>
      <c r="J621" s="37">
        <f>IFERROR(VLOOKUP($B621,'TB '!$4:$1048576,MATCH('List of Ledgers '!J$4,'TB '!$4:$4,0),0),0)</f>
        <v>0</v>
      </c>
      <c r="K621" s="37">
        <f>IFERROR(VLOOKUP($B621,'TB '!$4:$1048576,MATCH('List of Ledgers '!K$4,'TB '!$4:$4,0),0),0)</f>
        <v>0</v>
      </c>
      <c r="L621" s="37">
        <f>IFERROR(VLOOKUP(B621,'TB '!$A:$J,10,),0)</f>
        <v>0</v>
      </c>
      <c r="M621" s="71"/>
      <c r="N621" s="63">
        <f>IFERROR(VLOOKUP($B621,'TB YTD'!$4:$1048576,MATCH('List of Ledgers '!N$4,'TB YTD'!$4:$4,0),0),0)</f>
        <v>0</v>
      </c>
      <c r="O621" s="63">
        <f>IFERROR(VLOOKUP($B621,'TB YTD'!$4:$1048576,MATCH('List of Ledgers '!O$4,'TB YTD'!$4:$4,0),0),0)</f>
        <v>0</v>
      </c>
      <c r="P621" s="63">
        <f>IFERROR(VLOOKUP($B621,'TB YTD'!$4:$1048576,MATCH('List of Ledgers '!P$4,'TB YTD'!$4:$4,0),0),0)</f>
        <v>0</v>
      </c>
      <c r="Q621" s="63">
        <f>IFERROR(VLOOKUP($B621,'TB YTD'!$4:$1048576,MATCH('List of Ledgers '!Q$4,'TB YTD'!$4:$4,0),0),0)</f>
        <v>0</v>
      </c>
      <c r="R621" s="63"/>
    </row>
    <row r="622" spans="1:18" hidden="1" x14ac:dyDescent="0.25">
      <c r="A622" s="106">
        <v>606</v>
      </c>
      <c r="B622" s="8" t="s">
        <v>832</v>
      </c>
      <c r="C622" s="8" t="s">
        <v>286</v>
      </c>
      <c r="D622" s="17"/>
      <c r="E622" s="17"/>
      <c r="G622" s="17"/>
      <c r="H622" s="62"/>
      <c r="I622" s="37">
        <f>IFERROR(VLOOKUP(B622,'TB '!$A:$G,7,),0)</f>
        <v>0</v>
      </c>
      <c r="J622" s="37">
        <f>IFERROR(VLOOKUP($B622,'TB '!$4:$1048576,MATCH('List of Ledgers '!J$4,'TB '!$4:$4,0),0),0)</f>
        <v>0</v>
      </c>
      <c r="K622" s="37">
        <f>IFERROR(VLOOKUP($B622,'TB '!$4:$1048576,MATCH('List of Ledgers '!K$4,'TB '!$4:$4,0),0),0)</f>
        <v>0</v>
      </c>
      <c r="L622" s="37">
        <f>IFERROR(VLOOKUP(B622,'TB '!$A:$J,10,),0)</f>
        <v>0</v>
      </c>
      <c r="M622" s="71"/>
      <c r="N622" s="63">
        <f>IFERROR(VLOOKUP($B622,'TB YTD'!$4:$1048576,MATCH('List of Ledgers '!N$4,'TB YTD'!$4:$4,0),0),0)</f>
        <v>99368.25</v>
      </c>
      <c r="O622" s="63">
        <f>IFERROR(VLOOKUP($B622,'TB YTD'!$4:$1048576,MATCH('List of Ledgers '!O$4,'TB YTD'!$4:$4,0),0),0)</f>
        <v>41.39</v>
      </c>
      <c r="P622" s="63">
        <f>IFERROR(VLOOKUP($B622,'TB YTD'!$4:$1048576,MATCH('List of Ledgers '!P$4,'TB YTD'!$4:$4,0),0),0)</f>
        <v>99409.64</v>
      </c>
      <c r="Q622" s="63">
        <f>IFERROR(VLOOKUP($B622,'TB YTD'!$4:$1048576,MATCH('List of Ledgers '!Q$4,'TB YTD'!$4:$4,0),0),0)</f>
        <v>0</v>
      </c>
      <c r="R622" s="63"/>
    </row>
    <row r="623" spans="1:18" hidden="1" x14ac:dyDescent="0.25">
      <c r="A623" s="106">
        <v>607</v>
      </c>
      <c r="B623" s="8" t="s">
        <v>833</v>
      </c>
      <c r="C623" s="8" t="s">
        <v>286</v>
      </c>
      <c r="D623" s="17"/>
      <c r="E623" s="17"/>
      <c r="G623" s="17"/>
      <c r="H623" s="62"/>
      <c r="I623" s="37">
        <f>IFERROR(VLOOKUP(B623,'TB '!$A:$G,7,),0)</f>
        <v>0</v>
      </c>
      <c r="J623" s="37">
        <f>IFERROR(VLOOKUP($B623,'TB '!$4:$1048576,MATCH('List of Ledgers '!J$4,'TB '!$4:$4,0),0),0)</f>
        <v>0</v>
      </c>
      <c r="K623" s="37">
        <f>IFERROR(VLOOKUP($B623,'TB '!$4:$1048576,MATCH('List of Ledgers '!K$4,'TB '!$4:$4,0),0),0)</f>
        <v>0</v>
      </c>
      <c r="L623" s="37">
        <f>IFERROR(VLOOKUP(B623,'TB '!$A:$J,10,),0)</f>
        <v>0</v>
      </c>
      <c r="M623" s="71"/>
      <c r="N623" s="63">
        <f>IFERROR(VLOOKUP($B623,'TB YTD'!$4:$1048576,MATCH('List of Ledgers '!N$4,'TB YTD'!$4:$4,0),0),0)</f>
        <v>0</v>
      </c>
      <c r="O623" s="63">
        <f>IFERROR(VLOOKUP($B623,'TB YTD'!$4:$1048576,MATCH('List of Ledgers '!O$4,'TB YTD'!$4:$4,0),0),0)</f>
        <v>0</v>
      </c>
      <c r="P623" s="63">
        <f>IFERROR(VLOOKUP($B623,'TB YTD'!$4:$1048576,MATCH('List of Ledgers '!P$4,'TB YTD'!$4:$4,0),0),0)</f>
        <v>0</v>
      </c>
      <c r="Q623" s="63">
        <f>IFERROR(VLOOKUP($B623,'TB YTD'!$4:$1048576,MATCH('List of Ledgers '!Q$4,'TB YTD'!$4:$4,0),0),0)</f>
        <v>0</v>
      </c>
      <c r="R623" s="63"/>
    </row>
    <row r="624" spans="1:18" hidden="1" x14ac:dyDescent="0.25">
      <c r="A624" s="106">
        <v>608</v>
      </c>
      <c r="B624" s="8" t="s">
        <v>834</v>
      </c>
      <c r="C624" s="8" t="s">
        <v>286</v>
      </c>
      <c r="D624" s="17"/>
      <c r="E624" s="17"/>
      <c r="G624" s="17"/>
      <c r="H624" s="62"/>
      <c r="I624" s="37">
        <f>IFERROR(VLOOKUP(B624,'TB '!$A:$G,7,),0)</f>
        <v>0</v>
      </c>
      <c r="J624" s="37">
        <f>IFERROR(VLOOKUP($B624,'TB '!$4:$1048576,MATCH('List of Ledgers '!J$4,'TB '!$4:$4,0),0),0)</f>
        <v>0</v>
      </c>
      <c r="K624" s="37">
        <f>IFERROR(VLOOKUP($B624,'TB '!$4:$1048576,MATCH('List of Ledgers '!K$4,'TB '!$4:$4,0),0),0)</f>
        <v>0</v>
      </c>
      <c r="L624" s="37">
        <f>IFERROR(VLOOKUP(B624,'TB '!$A:$J,10,),0)</f>
        <v>0</v>
      </c>
      <c r="M624" s="71"/>
      <c r="N624" s="63">
        <f>IFERROR(VLOOKUP($B624,'TB YTD'!$4:$1048576,MATCH('List of Ledgers '!N$4,'TB YTD'!$4:$4,0),0),0)</f>
        <v>189724.95</v>
      </c>
      <c r="O624" s="63">
        <f>IFERROR(VLOOKUP($B624,'TB YTD'!$4:$1048576,MATCH('List of Ledgers '!O$4,'TB YTD'!$4:$4,0),0),0)</f>
        <v>208.47</v>
      </c>
      <c r="P624" s="63">
        <f>IFERROR(VLOOKUP($B624,'TB YTD'!$4:$1048576,MATCH('List of Ledgers '!P$4,'TB YTD'!$4:$4,0),0),0)</f>
        <v>189933.42</v>
      </c>
      <c r="Q624" s="63">
        <f>IFERROR(VLOOKUP($B624,'TB YTD'!$4:$1048576,MATCH('List of Ledgers '!Q$4,'TB YTD'!$4:$4,0),0),0)</f>
        <v>0</v>
      </c>
      <c r="R624" s="63"/>
    </row>
    <row r="625" spans="1:18" hidden="1" x14ac:dyDescent="0.25">
      <c r="A625" s="106">
        <v>609</v>
      </c>
      <c r="B625" s="8" t="s">
        <v>835</v>
      </c>
      <c r="C625" s="8" t="s">
        <v>286</v>
      </c>
      <c r="D625" s="17"/>
      <c r="E625" s="17"/>
      <c r="G625" s="17"/>
      <c r="H625" s="62"/>
      <c r="I625" s="37">
        <f>IFERROR(VLOOKUP(B625,'TB '!$A:$G,7,),0)</f>
        <v>0</v>
      </c>
      <c r="J625" s="37">
        <f>IFERROR(VLOOKUP($B625,'TB '!$4:$1048576,MATCH('List of Ledgers '!J$4,'TB '!$4:$4,0),0),0)</f>
        <v>0</v>
      </c>
      <c r="K625" s="37">
        <f>IFERROR(VLOOKUP($B625,'TB '!$4:$1048576,MATCH('List of Ledgers '!K$4,'TB '!$4:$4,0),0),0)</f>
        <v>0</v>
      </c>
      <c r="L625" s="37">
        <f>IFERROR(VLOOKUP(B625,'TB '!$A:$J,10,),0)</f>
        <v>0</v>
      </c>
      <c r="M625" s="71"/>
      <c r="N625" s="63">
        <f>IFERROR(VLOOKUP($B625,'TB YTD'!$4:$1048576,MATCH('List of Ledgers '!N$4,'TB YTD'!$4:$4,0),0),0)</f>
        <v>254298.72</v>
      </c>
      <c r="O625" s="63">
        <f>IFERROR(VLOOKUP($B625,'TB YTD'!$4:$1048576,MATCH('List of Ledgers '!O$4,'TB YTD'!$4:$4,0),0),0)</f>
        <v>67975.53</v>
      </c>
      <c r="P625" s="63">
        <f>IFERROR(VLOOKUP($B625,'TB YTD'!$4:$1048576,MATCH('List of Ledgers '!P$4,'TB YTD'!$4:$4,0),0),0)</f>
        <v>322274.25</v>
      </c>
      <c r="Q625" s="63">
        <f>IFERROR(VLOOKUP($B625,'TB YTD'!$4:$1048576,MATCH('List of Ledgers '!Q$4,'TB YTD'!$4:$4,0),0),0)</f>
        <v>0</v>
      </c>
      <c r="R625" s="63"/>
    </row>
    <row r="626" spans="1:18" hidden="1" x14ac:dyDescent="0.25">
      <c r="A626" s="106">
        <v>610</v>
      </c>
      <c r="B626" s="8" t="s">
        <v>836</v>
      </c>
      <c r="C626" s="8" t="s">
        <v>286</v>
      </c>
      <c r="D626" s="17"/>
      <c r="E626" s="17"/>
      <c r="G626" s="17"/>
      <c r="H626" s="62"/>
      <c r="I626" s="37">
        <f>IFERROR(VLOOKUP(B626,'TB '!$A:$G,7,),0)</f>
        <v>0</v>
      </c>
      <c r="J626" s="37">
        <f>IFERROR(VLOOKUP($B626,'TB '!$4:$1048576,MATCH('List of Ledgers '!J$4,'TB '!$4:$4,0),0),0)</f>
        <v>0</v>
      </c>
      <c r="K626" s="37">
        <f>IFERROR(VLOOKUP($B626,'TB '!$4:$1048576,MATCH('List of Ledgers '!K$4,'TB '!$4:$4,0),0),0)</f>
        <v>0</v>
      </c>
      <c r="L626" s="37">
        <f>IFERROR(VLOOKUP(B626,'TB '!$A:$J,10,),0)</f>
        <v>0</v>
      </c>
      <c r="M626" s="71"/>
      <c r="N626" s="63">
        <f>IFERROR(VLOOKUP($B626,'TB YTD'!$4:$1048576,MATCH('List of Ledgers '!N$4,'TB YTD'!$4:$4,0),0),0)</f>
        <v>95369.74</v>
      </c>
      <c r="O626" s="63">
        <f>IFERROR(VLOOKUP($B626,'TB YTD'!$4:$1048576,MATCH('List of Ledgers '!O$4,'TB YTD'!$4:$4,0),0),0)</f>
        <v>93.55</v>
      </c>
      <c r="P626" s="63">
        <f>IFERROR(VLOOKUP($B626,'TB YTD'!$4:$1048576,MATCH('List of Ledgers '!P$4,'TB YTD'!$4:$4,0),0),0)</f>
        <v>95463.29</v>
      </c>
      <c r="Q626" s="63">
        <f>IFERROR(VLOOKUP($B626,'TB YTD'!$4:$1048576,MATCH('List of Ledgers '!Q$4,'TB YTD'!$4:$4,0),0),0)</f>
        <v>0</v>
      </c>
      <c r="R626" s="63"/>
    </row>
    <row r="627" spans="1:18" hidden="1" x14ac:dyDescent="0.25">
      <c r="A627" s="106">
        <v>611</v>
      </c>
      <c r="B627" s="8" t="s">
        <v>837</v>
      </c>
      <c r="C627" s="8" t="s">
        <v>286</v>
      </c>
      <c r="D627" s="17"/>
      <c r="E627" s="17"/>
      <c r="G627" s="17"/>
      <c r="H627" s="62"/>
      <c r="I627" s="37">
        <f>IFERROR(VLOOKUP(B627,'TB '!$A:$G,7,),0)</f>
        <v>0</v>
      </c>
      <c r="J627" s="37">
        <f>IFERROR(VLOOKUP($B627,'TB '!$4:$1048576,MATCH('List of Ledgers '!J$4,'TB '!$4:$4,0),0),0)</f>
        <v>0</v>
      </c>
      <c r="K627" s="37">
        <f>IFERROR(VLOOKUP($B627,'TB '!$4:$1048576,MATCH('List of Ledgers '!K$4,'TB '!$4:$4,0),0),0)</f>
        <v>0</v>
      </c>
      <c r="L627" s="37">
        <f>IFERROR(VLOOKUP(B627,'TB '!$A:$J,10,),0)</f>
        <v>0</v>
      </c>
      <c r="M627" s="71"/>
      <c r="N627" s="63">
        <f>IFERROR(VLOOKUP($B627,'TB YTD'!$4:$1048576,MATCH('List of Ledgers '!N$4,'TB YTD'!$4:$4,0),0),0)</f>
        <v>658157.36</v>
      </c>
      <c r="O627" s="63">
        <f>IFERROR(VLOOKUP($B627,'TB YTD'!$4:$1048576,MATCH('List of Ledgers '!O$4,'TB YTD'!$4:$4,0),0),0)</f>
        <v>605.77</v>
      </c>
      <c r="P627" s="63">
        <f>IFERROR(VLOOKUP($B627,'TB YTD'!$4:$1048576,MATCH('List of Ledgers '!P$4,'TB YTD'!$4:$4,0),0),0)</f>
        <v>658763.13</v>
      </c>
      <c r="Q627" s="63">
        <f>IFERROR(VLOOKUP($B627,'TB YTD'!$4:$1048576,MATCH('List of Ledgers '!Q$4,'TB YTD'!$4:$4,0),0),0)</f>
        <v>0</v>
      </c>
      <c r="R627" s="63"/>
    </row>
    <row r="628" spans="1:18" hidden="1" x14ac:dyDescent="0.25">
      <c r="A628" s="106">
        <v>612</v>
      </c>
      <c r="B628" s="8" t="s">
        <v>838</v>
      </c>
      <c r="C628" s="8" t="s">
        <v>286</v>
      </c>
      <c r="D628" s="17"/>
      <c r="E628" s="17"/>
      <c r="G628" s="17"/>
      <c r="H628" s="62"/>
      <c r="I628" s="37">
        <f>IFERROR(VLOOKUP(B628,'TB '!$A:$G,7,),0)</f>
        <v>0</v>
      </c>
      <c r="J628" s="37">
        <f>IFERROR(VLOOKUP($B628,'TB '!$4:$1048576,MATCH('List of Ledgers '!J$4,'TB '!$4:$4,0),0),0)</f>
        <v>0</v>
      </c>
      <c r="K628" s="37">
        <f>IFERROR(VLOOKUP($B628,'TB '!$4:$1048576,MATCH('List of Ledgers '!K$4,'TB '!$4:$4,0),0),0)</f>
        <v>0</v>
      </c>
      <c r="L628" s="37">
        <f>IFERROR(VLOOKUP(B628,'TB '!$A:$J,10,),0)</f>
        <v>0</v>
      </c>
      <c r="M628" s="71"/>
      <c r="N628" s="63">
        <f>IFERROR(VLOOKUP($B628,'TB YTD'!$4:$1048576,MATCH('List of Ledgers '!N$4,'TB YTD'!$4:$4,0),0),0)</f>
        <v>71184.2</v>
      </c>
      <c r="O628" s="63">
        <f>IFERROR(VLOOKUP($B628,'TB YTD'!$4:$1048576,MATCH('List of Ledgers '!O$4,'TB YTD'!$4:$4,0),0),0)</f>
        <v>70.09</v>
      </c>
      <c r="P628" s="63">
        <f>IFERROR(VLOOKUP($B628,'TB YTD'!$4:$1048576,MATCH('List of Ledgers '!P$4,'TB YTD'!$4:$4,0),0),0)</f>
        <v>71254.289999999994</v>
      </c>
      <c r="Q628" s="63">
        <f>IFERROR(VLOOKUP($B628,'TB YTD'!$4:$1048576,MATCH('List of Ledgers '!Q$4,'TB YTD'!$4:$4,0),0),0)</f>
        <v>0</v>
      </c>
      <c r="R628" s="63"/>
    </row>
    <row r="629" spans="1:18" hidden="1" x14ac:dyDescent="0.25">
      <c r="A629" s="106">
        <v>613</v>
      </c>
      <c r="B629" s="8" t="s">
        <v>839</v>
      </c>
      <c r="C629" s="8" t="s">
        <v>286</v>
      </c>
      <c r="D629" s="17"/>
      <c r="E629" s="17"/>
      <c r="G629" s="17"/>
      <c r="H629" s="62"/>
      <c r="I629" s="37">
        <f>IFERROR(VLOOKUP(B629,'TB '!$A:$G,7,),0)</f>
        <v>0</v>
      </c>
      <c r="J629" s="37">
        <f>IFERROR(VLOOKUP($B629,'TB '!$4:$1048576,MATCH('List of Ledgers '!J$4,'TB '!$4:$4,0),0),0)</f>
        <v>0</v>
      </c>
      <c r="K629" s="37">
        <f>IFERROR(VLOOKUP($B629,'TB '!$4:$1048576,MATCH('List of Ledgers '!K$4,'TB '!$4:$4,0),0),0)</f>
        <v>0</v>
      </c>
      <c r="L629" s="37">
        <f>IFERROR(VLOOKUP(B629,'TB '!$A:$J,10,),0)</f>
        <v>0</v>
      </c>
      <c r="M629" s="71"/>
      <c r="N629" s="63">
        <f>IFERROR(VLOOKUP($B629,'TB YTD'!$4:$1048576,MATCH('List of Ledgers '!N$4,'TB YTD'!$4:$4,0),0),0)</f>
        <v>178088.08</v>
      </c>
      <c r="O629" s="63">
        <f>IFERROR(VLOOKUP($B629,'TB YTD'!$4:$1048576,MATCH('List of Ledgers '!O$4,'TB YTD'!$4:$4,0),0),0)</f>
        <v>14604.14</v>
      </c>
      <c r="P629" s="63">
        <f>IFERROR(VLOOKUP($B629,'TB YTD'!$4:$1048576,MATCH('List of Ledgers '!P$4,'TB YTD'!$4:$4,0),0),0)</f>
        <v>192692.22</v>
      </c>
      <c r="Q629" s="63">
        <f>IFERROR(VLOOKUP($B629,'TB YTD'!$4:$1048576,MATCH('List of Ledgers '!Q$4,'TB YTD'!$4:$4,0),0),0)</f>
        <v>0</v>
      </c>
      <c r="R629" s="63"/>
    </row>
    <row r="630" spans="1:18" hidden="1" x14ac:dyDescent="0.25">
      <c r="A630" s="106">
        <v>614</v>
      </c>
      <c r="B630" s="8" t="s">
        <v>840</v>
      </c>
      <c r="C630" s="8" t="s">
        <v>286</v>
      </c>
      <c r="D630" s="17"/>
      <c r="E630" s="17"/>
      <c r="G630" s="17"/>
      <c r="H630" s="62"/>
      <c r="I630" s="37">
        <f>IFERROR(VLOOKUP(B630,'TB '!$A:$G,7,),0)</f>
        <v>0</v>
      </c>
      <c r="J630" s="37">
        <f>IFERROR(VLOOKUP($B630,'TB '!$4:$1048576,MATCH('List of Ledgers '!J$4,'TB '!$4:$4,0),0),0)</f>
        <v>0</v>
      </c>
      <c r="K630" s="37">
        <f>IFERROR(VLOOKUP($B630,'TB '!$4:$1048576,MATCH('List of Ledgers '!K$4,'TB '!$4:$4,0),0),0)</f>
        <v>0</v>
      </c>
      <c r="L630" s="37">
        <f>IFERROR(VLOOKUP(B630,'TB '!$A:$J,10,),0)</f>
        <v>0</v>
      </c>
      <c r="M630" s="71"/>
      <c r="N630" s="63">
        <f>IFERROR(VLOOKUP($B630,'TB YTD'!$4:$1048576,MATCH('List of Ledgers '!N$4,'TB YTD'!$4:$4,0),0),0)</f>
        <v>0</v>
      </c>
      <c r="O630" s="63">
        <f>IFERROR(VLOOKUP($B630,'TB YTD'!$4:$1048576,MATCH('List of Ledgers '!O$4,'TB YTD'!$4:$4,0),0),0)</f>
        <v>0</v>
      </c>
      <c r="P630" s="63">
        <f>IFERROR(VLOOKUP($B630,'TB YTD'!$4:$1048576,MATCH('List of Ledgers '!P$4,'TB YTD'!$4:$4,0),0),0)</f>
        <v>0</v>
      </c>
      <c r="Q630" s="63">
        <f>IFERROR(VLOOKUP($B630,'TB YTD'!$4:$1048576,MATCH('List of Ledgers '!Q$4,'TB YTD'!$4:$4,0),0),0)</f>
        <v>0</v>
      </c>
      <c r="R630" s="63"/>
    </row>
    <row r="631" spans="1:18" hidden="1" x14ac:dyDescent="0.25">
      <c r="A631" s="106">
        <v>615</v>
      </c>
      <c r="B631" s="8" t="s">
        <v>841</v>
      </c>
      <c r="C631" s="8" t="s">
        <v>286</v>
      </c>
      <c r="D631" s="17"/>
      <c r="E631" s="17"/>
      <c r="G631" s="17"/>
      <c r="H631" s="62"/>
      <c r="I631" s="37">
        <f>IFERROR(VLOOKUP(B631,'TB '!$A:$G,7,),0)</f>
        <v>0</v>
      </c>
      <c r="J631" s="37">
        <f>IFERROR(VLOOKUP($B631,'TB '!$4:$1048576,MATCH('List of Ledgers '!J$4,'TB '!$4:$4,0),0),0)</f>
        <v>0</v>
      </c>
      <c r="K631" s="37">
        <f>IFERROR(VLOOKUP($B631,'TB '!$4:$1048576,MATCH('List of Ledgers '!K$4,'TB '!$4:$4,0),0),0)</f>
        <v>0</v>
      </c>
      <c r="L631" s="37">
        <f>IFERROR(VLOOKUP(B631,'TB '!$A:$J,10,),0)</f>
        <v>0</v>
      </c>
      <c r="M631" s="71"/>
      <c r="N631" s="63">
        <f>IFERROR(VLOOKUP($B631,'TB YTD'!$4:$1048576,MATCH('List of Ledgers '!N$4,'TB YTD'!$4:$4,0),0),0)</f>
        <v>0</v>
      </c>
      <c r="O631" s="63">
        <f>IFERROR(VLOOKUP($B631,'TB YTD'!$4:$1048576,MATCH('List of Ledgers '!O$4,'TB YTD'!$4:$4,0),0),0)</f>
        <v>0</v>
      </c>
      <c r="P631" s="63">
        <f>IFERROR(VLOOKUP($B631,'TB YTD'!$4:$1048576,MATCH('List of Ledgers '!P$4,'TB YTD'!$4:$4,0),0),0)</f>
        <v>0</v>
      </c>
      <c r="Q631" s="63">
        <f>IFERROR(VLOOKUP($B631,'TB YTD'!$4:$1048576,MATCH('List of Ledgers '!Q$4,'TB YTD'!$4:$4,0),0),0)</f>
        <v>0</v>
      </c>
      <c r="R631" s="63"/>
    </row>
    <row r="632" spans="1:18" hidden="1" x14ac:dyDescent="0.25">
      <c r="A632" s="106">
        <v>616</v>
      </c>
      <c r="B632" s="8" t="s">
        <v>842</v>
      </c>
      <c r="C632" s="8" t="s">
        <v>166</v>
      </c>
      <c r="D632" s="17" t="s">
        <v>151</v>
      </c>
      <c r="E632" s="17" t="s">
        <v>1291</v>
      </c>
      <c r="F632" s="12" t="s">
        <v>55</v>
      </c>
      <c r="G632" s="17" t="s">
        <v>4</v>
      </c>
      <c r="H632" s="62"/>
      <c r="I632" s="37">
        <f>IFERROR(VLOOKUP(B632,'TB '!$A:$G,7,),0)</f>
        <v>0</v>
      </c>
      <c r="J632" s="37">
        <f>IFERROR(VLOOKUP($B632,'TB '!$4:$1048576,MATCH('List of Ledgers '!J$4,'TB '!$4:$4,0),0),0)</f>
        <v>0</v>
      </c>
      <c r="K632" s="37">
        <f>IFERROR(VLOOKUP($B632,'TB '!$4:$1048576,MATCH('List of Ledgers '!K$4,'TB '!$4:$4,0),0),0)</f>
        <v>0</v>
      </c>
      <c r="L632" s="37">
        <f>IFERROR(VLOOKUP(B632,'TB '!$A:$J,10,),0)</f>
        <v>0</v>
      </c>
      <c r="M632" s="71"/>
      <c r="N632" s="63">
        <f>IFERROR(VLOOKUP($B632,'TB YTD'!$4:$1048576,MATCH('List of Ledgers '!N$4,'TB YTD'!$4:$4,0),0),0)</f>
        <v>0</v>
      </c>
      <c r="O632" s="63">
        <f>IFERROR(VLOOKUP($B632,'TB YTD'!$4:$1048576,MATCH('List of Ledgers '!O$4,'TB YTD'!$4:$4,0),0),0)</f>
        <v>4750</v>
      </c>
      <c r="P632" s="63">
        <f>IFERROR(VLOOKUP($B632,'TB YTD'!$4:$1048576,MATCH('List of Ledgers '!P$4,'TB YTD'!$4:$4,0),0),0)</f>
        <v>0</v>
      </c>
      <c r="Q632" s="63">
        <f>IFERROR(VLOOKUP($B632,'TB YTD'!$4:$1048576,MATCH('List of Ledgers '!Q$4,'TB YTD'!$4:$4,0),0),0)</f>
        <v>4750</v>
      </c>
      <c r="R632" s="63"/>
    </row>
    <row r="633" spans="1:18" hidden="1" x14ac:dyDescent="0.25">
      <c r="A633" s="106">
        <v>617</v>
      </c>
      <c r="B633" s="8" t="s">
        <v>843</v>
      </c>
      <c r="C633" s="8" t="s">
        <v>140</v>
      </c>
      <c r="D633" s="17" t="s">
        <v>128</v>
      </c>
      <c r="E633" s="17" t="s">
        <v>131</v>
      </c>
      <c r="G633" s="17" t="s">
        <v>7</v>
      </c>
      <c r="H633" s="62"/>
      <c r="I633" s="37">
        <f>IFERROR(VLOOKUP(B633,'TB '!$A:$G,7,),0)</f>
        <v>0</v>
      </c>
      <c r="J633" s="37">
        <f>IFERROR(VLOOKUP($B633,'TB '!$4:$1048576,MATCH('List of Ledgers '!J$4,'TB '!$4:$4,0),0),0)</f>
        <v>0</v>
      </c>
      <c r="K633" s="37">
        <f>IFERROR(VLOOKUP($B633,'TB '!$4:$1048576,MATCH('List of Ledgers '!K$4,'TB '!$4:$4,0),0),0)</f>
        <v>0</v>
      </c>
      <c r="L633" s="37">
        <f>IFERROR(VLOOKUP(B633,'TB '!$A:$J,10,),0)</f>
        <v>0</v>
      </c>
      <c r="M633" s="71"/>
      <c r="N633" s="63">
        <f>IFERROR(VLOOKUP($B633,'TB YTD'!$4:$1048576,MATCH('List of Ledgers '!N$4,'TB YTD'!$4:$4,0),0),0)</f>
        <v>-618</v>
      </c>
      <c r="O633" s="63">
        <f>IFERROR(VLOOKUP($B633,'TB YTD'!$4:$1048576,MATCH('List of Ledgers '!O$4,'TB YTD'!$4:$4,0),0),0)</f>
        <v>618</v>
      </c>
      <c r="P633" s="63">
        <f>IFERROR(VLOOKUP($B633,'TB YTD'!$4:$1048576,MATCH('List of Ledgers '!P$4,'TB YTD'!$4:$4,0),0),0)</f>
        <v>0</v>
      </c>
      <c r="Q633" s="63">
        <f>IFERROR(VLOOKUP($B633,'TB YTD'!$4:$1048576,MATCH('List of Ledgers '!Q$4,'TB YTD'!$4:$4,0),0),0)</f>
        <v>0</v>
      </c>
      <c r="R633" s="63"/>
    </row>
    <row r="634" spans="1:18" hidden="1" x14ac:dyDescent="0.25">
      <c r="A634" s="106">
        <v>618</v>
      </c>
      <c r="B634" s="8" t="s">
        <v>844</v>
      </c>
      <c r="C634" s="8" t="s">
        <v>140</v>
      </c>
      <c r="D634" s="17" t="s">
        <v>128</v>
      </c>
      <c r="E634" s="17" t="s">
        <v>131</v>
      </c>
      <c r="G634" s="17" t="s">
        <v>7</v>
      </c>
      <c r="H634" s="62"/>
      <c r="I634" s="37">
        <f>IFERROR(VLOOKUP(B634,'TB '!$A:$G,7,),0)</f>
        <v>0</v>
      </c>
      <c r="J634" s="37">
        <f>IFERROR(VLOOKUP($B634,'TB '!$4:$1048576,MATCH('List of Ledgers '!J$4,'TB '!$4:$4,0),0),0)</f>
        <v>0</v>
      </c>
      <c r="K634" s="37">
        <f>IFERROR(VLOOKUP($B634,'TB '!$4:$1048576,MATCH('List of Ledgers '!K$4,'TB '!$4:$4,0),0),0)</f>
        <v>0</v>
      </c>
      <c r="L634" s="37">
        <f>IFERROR(VLOOKUP(B634,'TB '!$A:$J,10,),0)</f>
        <v>0</v>
      </c>
      <c r="M634" s="71"/>
      <c r="N634" s="63">
        <f>IFERROR(VLOOKUP($B634,'TB YTD'!$4:$1048576,MATCH('List of Ledgers '!N$4,'TB YTD'!$4:$4,0),0),0)</f>
        <v>-1235</v>
      </c>
      <c r="O634" s="63">
        <f>IFERROR(VLOOKUP($B634,'TB YTD'!$4:$1048576,MATCH('List of Ledgers '!O$4,'TB YTD'!$4:$4,0),0),0)</f>
        <v>1235</v>
      </c>
      <c r="P634" s="63">
        <f>IFERROR(VLOOKUP($B634,'TB YTD'!$4:$1048576,MATCH('List of Ledgers '!P$4,'TB YTD'!$4:$4,0),0),0)</f>
        <v>0</v>
      </c>
      <c r="Q634" s="63">
        <f>IFERROR(VLOOKUP($B634,'TB YTD'!$4:$1048576,MATCH('List of Ledgers '!Q$4,'TB YTD'!$4:$4,0),0),0)</f>
        <v>0</v>
      </c>
      <c r="R634" s="63"/>
    </row>
    <row r="635" spans="1:18" hidden="1" x14ac:dyDescent="0.25">
      <c r="A635" s="106">
        <v>619</v>
      </c>
      <c r="B635" s="8" t="s">
        <v>845</v>
      </c>
      <c r="C635" s="8" t="s">
        <v>583</v>
      </c>
      <c r="D635" s="17" t="s">
        <v>128</v>
      </c>
      <c r="E635" s="17" t="s">
        <v>134</v>
      </c>
      <c r="G635" s="17" t="s">
        <v>2</v>
      </c>
      <c r="H635" s="62"/>
      <c r="I635" s="37">
        <f>IFERROR(VLOOKUP(B635,'TB '!$A:$G,7,),0)</f>
        <v>0</v>
      </c>
      <c r="J635" s="37">
        <f>IFERROR(VLOOKUP($B635,'TB '!$4:$1048576,MATCH('List of Ledgers '!J$4,'TB '!$4:$4,0),0),0)</f>
        <v>0</v>
      </c>
      <c r="K635" s="37">
        <f>IFERROR(VLOOKUP($B635,'TB '!$4:$1048576,MATCH('List of Ledgers '!K$4,'TB '!$4:$4,0),0),0)</f>
        <v>0</v>
      </c>
      <c r="L635" s="37">
        <f>IFERROR(VLOOKUP(B635,'TB '!$A:$J,10,),0)</f>
        <v>0</v>
      </c>
      <c r="M635" s="71"/>
      <c r="N635" s="63">
        <f>IFERROR(VLOOKUP($B635,'TB YTD'!$4:$1048576,MATCH('List of Ledgers '!N$4,'TB YTD'!$4:$4,0),0),0)</f>
        <v>42952</v>
      </c>
      <c r="O635" s="63">
        <f>IFERROR(VLOOKUP($B635,'TB YTD'!$4:$1048576,MATCH('List of Ledgers '!O$4,'TB YTD'!$4:$4,0),0),0)</f>
        <v>42952</v>
      </c>
      <c r="P635" s="63">
        <f>IFERROR(VLOOKUP($B635,'TB YTD'!$4:$1048576,MATCH('List of Ledgers '!P$4,'TB YTD'!$4:$4,0),0),0)</f>
        <v>85904</v>
      </c>
      <c r="Q635" s="63">
        <f>IFERROR(VLOOKUP($B635,'TB YTD'!$4:$1048576,MATCH('List of Ledgers '!Q$4,'TB YTD'!$4:$4,0),0),0)</f>
        <v>0</v>
      </c>
      <c r="R635" s="63"/>
    </row>
    <row r="636" spans="1:18" hidden="1" x14ac:dyDescent="0.25">
      <c r="A636" s="106">
        <v>620</v>
      </c>
      <c r="B636" s="8" t="s">
        <v>846</v>
      </c>
      <c r="C636" s="8" t="s">
        <v>158</v>
      </c>
      <c r="D636" s="17" t="s">
        <v>128</v>
      </c>
      <c r="E636" s="17" t="s">
        <v>131</v>
      </c>
      <c r="G636" s="17" t="s">
        <v>7</v>
      </c>
      <c r="H636" s="62"/>
      <c r="I636" s="37">
        <f>IFERROR(VLOOKUP(B636,'TB '!$A:$G,7,),0)</f>
        <v>0</v>
      </c>
      <c r="J636" s="37">
        <f>IFERROR(VLOOKUP($B636,'TB '!$4:$1048576,MATCH('List of Ledgers '!J$4,'TB '!$4:$4,0),0),0)</f>
        <v>0</v>
      </c>
      <c r="K636" s="37">
        <f>IFERROR(VLOOKUP($B636,'TB '!$4:$1048576,MATCH('List of Ledgers '!K$4,'TB '!$4:$4,0),0),0)</f>
        <v>0</v>
      </c>
      <c r="L636" s="37">
        <f>IFERROR(VLOOKUP(B636,'TB '!$A:$J,10,),0)</f>
        <v>0</v>
      </c>
      <c r="M636" s="71"/>
      <c r="N636" s="63">
        <f>IFERROR(VLOOKUP($B636,'TB YTD'!$4:$1048576,MATCH('List of Ledgers '!N$4,'TB YTD'!$4:$4,0),0),0)</f>
        <v>0</v>
      </c>
      <c r="O636" s="63">
        <f>IFERROR(VLOOKUP($B636,'TB YTD'!$4:$1048576,MATCH('List of Ledgers '!O$4,'TB YTD'!$4:$4,0),0),0)</f>
        <v>9440</v>
      </c>
      <c r="P636" s="63">
        <f>IFERROR(VLOOKUP($B636,'TB YTD'!$4:$1048576,MATCH('List of Ledgers '!P$4,'TB YTD'!$4:$4,0),0),0)</f>
        <v>9440</v>
      </c>
      <c r="Q636" s="63">
        <f>IFERROR(VLOOKUP($B636,'TB YTD'!$4:$1048576,MATCH('List of Ledgers '!Q$4,'TB YTD'!$4:$4,0),0),0)</f>
        <v>0</v>
      </c>
      <c r="R636" s="63"/>
    </row>
    <row r="637" spans="1:18" hidden="1" x14ac:dyDescent="0.25">
      <c r="A637" s="106">
        <v>621</v>
      </c>
      <c r="B637" s="8" t="s">
        <v>847</v>
      </c>
      <c r="C637" s="8" t="s">
        <v>271</v>
      </c>
      <c r="D637" s="17" t="s">
        <v>151</v>
      </c>
      <c r="E637" s="17" t="s">
        <v>272</v>
      </c>
      <c r="F637" s="12" t="s">
        <v>1294</v>
      </c>
      <c r="G637" s="12" t="s">
        <v>11</v>
      </c>
      <c r="H637" s="62"/>
      <c r="I637" s="37">
        <f>IFERROR(VLOOKUP(B637,'TB '!$A:$G,7,),0)</f>
        <v>0</v>
      </c>
      <c r="J637" s="37">
        <f>IFERROR(VLOOKUP($B637,'TB '!$4:$1048576,MATCH('List of Ledgers '!J$4,'TB '!$4:$4,0),0),0)</f>
        <v>0</v>
      </c>
      <c r="K637" s="37">
        <f>IFERROR(VLOOKUP($B637,'TB '!$4:$1048576,MATCH('List of Ledgers '!K$4,'TB '!$4:$4,0),0),0)</f>
        <v>0</v>
      </c>
      <c r="L637" s="37">
        <f>IFERROR(VLOOKUP(B637,'TB '!$A:$J,10,),0)</f>
        <v>0</v>
      </c>
      <c r="M637" s="71"/>
      <c r="N637" s="63">
        <f>IFERROR(VLOOKUP($B637,'TB YTD'!$4:$1048576,MATCH('List of Ledgers '!N$4,'TB YTD'!$4:$4,0),0),0)</f>
        <v>0</v>
      </c>
      <c r="O637" s="63">
        <f>IFERROR(VLOOKUP($B637,'TB YTD'!$4:$1048576,MATCH('List of Ledgers '!O$4,'TB YTD'!$4:$4,0),0),0)</f>
        <v>0</v>
      </c>
      <c r="P637" s="63">
        <f>IFERROR(VLOOKUP($B637,'TB YTD'!$4:$1048576,MATCH('List of Ledgers '!P$4,'TB YTD'!$4:$4,0),0),0)</f>
        <v>465583.48</v>
      </c>
      <c r="Q637" s="175">
        <f>IFERROR(VLOOKUP($B637,'TB YTD'!$4:$1048576,MATCH('List of Ledgers '!Q$4,'TB YTD'!$4:$4,0),0),0)</f>
        <v>-465583.48</v>
      </c>
      <c r="R637" s="63"/>
    </row>
    <row r="638" spans="1:18" hidden="1" x14ac:dyDescent="0.25">
      <c r="A638" s="106">
        <v>622</v>
      </c>
      <c r="B638" s="8" t="s">
        <v>848</v>
      </c>
      <c r="C638" s="8" t="s">
        <v>198</v>
      </c>
      <c r="D638" s="17" t="s">
        <v>128</v>
      </c>
      <c r="E638" s="17" t="s">
        <v>134</v>
      </c>
      <c r="G638" s="17" t="s">
        <v>2</v>
      </c>
      <c r="H638" s="62"/>
      <c r="I638" s="37">
        <f>IFERROR(VLOOKUP(B638,'TB '!$A:$G,7,),0)</f>
        <v>0</v>
      </c>
      <c r="J638" s="37">
        <f>IFERROR(VLOOKUP($B638,'TB '!$4:$1048576,MATCH('List of Ledgers '!J$4,'TB '!$4:$4,0),0),0)</f>
        <v>0</v>
      </c>
      <c r="K638" s="37">
        <f>IFERROR(VLOOKUP($B638,'TB '!$4:$1048576,MATCH('List of Ledgers '!K$4,'TB '!$4:$4,0),0),0)</f>
        <v>0</v>
      </c>
      <c r="L638" s="37">
        <f>IFERROR(VLOOKUP(B638,'TB '!$A:$J,10,),0)</f>
        <v>0</v>
      </c>
      <c r="M638" s="71"/>
      <c r="N638" s="63">
        <f>IFERROR(VLOOKUP($B638,'TB YTD'!$4:$1048576,MATCH('List of Ledgers '!N$4,'TB YTD'!$4:$4,0),0),0)</f>
        <v>0</v>
      </c>
      <c r="O638" s="63">
        <f>IFERROR(VLOOKUP($B638,'TB YTD'!$4:$1048576,MATCH('List of Ledgers '!O$4,'TB YTD'!$4:$4,0),0),0)</f>
        <v>0</v>
      </c>
      <c r="P638" s="63">
        <f>IFERROR(VLOOKUP($B638,'TB YTD'!$4:$1048576,MATCH('List of Ledgers '!P$4,'TB YTD'!$4:$4,0),0),0)</f>
        <v>0</v>
      </c>
      <c r="Q638" s="63">
        <f>IFERROR(VLOOKUP($B638,'TB YTD'!$4:$1048576,MATCH('List of Ledgers '!Q$4,'TB YTD'!$4:$4,0),0),0)</f>
        <v>0</v>
      </c>
      <c r="R638" s="63"/>
    </row>
    <row r="639" spans="1:18" hidden="1" x14ac:dyDescent="0.25">
      <c r="A639" s="106">
        <v>623</v>
      </c>
      <c r="B639" s="8" t="s">
        <v>849</v>
      </c>
      <c r="C639" s="8" t="s">
        <v>140</v>
      </c>
      <c r="D639" s="17" t="s">
        <v>128</v>
      </c>
      <c r="E639" s="17" t="s">
        <v>131</v>
      </c>
      <c r="G639" s="17" t="s">
        <v>7</v>
      </c>
      <c r="H639" s="62"/>
      <c r="I639" s="37">
        <f>IFERROR(VLOOKUP(B639,'TB '!$A:$G,7,),0)</f>
        <v>0</v>
      </c>
      <c r="J639" s="37">
        <f>IFERROR(VLOOKUP($B639,'TB '!$4:$1048576,MATCH('List of Ledgers '!J$4,'TB '!$4:$4,0),0),0)</f>
        <v>0</v>
      </c>
      <c r="K639" s="37">
        <f>IFERROR(VLOOKUP($B639,'TB '!$4:$1048576,MATCH('List of Ledgers '!K$4,'TB '!$4:$4,0),0),0)</f>
        <v>0</v>
      </c>
      <c r="L639" s="37">
        <f>IFERROR(VLOOKUP(B639,'TB '!$A:$J,10,),0)</f>
        <v>0</v>
      </c>
      <c r="M639" s="71"/>
      <c r="N639" s="63">
        <f>IFERROR(VLOOKUP($B639,'TB YTD'!$4:$1048576,MATCH('List of Ledgers '!N$4,'TB YTD'!$4:$4,0),0),0)</f>
        <v>-587</v>
      </c>
      <c r="O639" s="63">
        <f>IFERROR(VLOOKUP($B639,'TB YTD'!$4:$1048576,MATCH('List of Ledgers '!O$4,'TB YTD'!$4:$4,0),0),0)</f>
        <v>587</v>
      </c>
      <c r="P639" s="63">
        <f>IFERROR(VLOOKUP($B639,'TB YTD'!$4:$1048576,MATCH('List of Ledgers '!P$4,'TB YTD'!$4:$4,0),0),0)</f>
        <v>0</v>
      </c>
      <c r="Q639" s="63">
        <f>IFERROR(VLOOKUP($B639,'TB YTD'!$4:$1048576,MATCH('List of Ledgers '!Q$4,'TB YTD'!$4:$4,0),0),0)</f>
        <v>0</v>
      </c>
      <c r="R639" s="63"/>
    </row>
    <row r="640" spans="1:18" hidden="1" x14ac:dyDescent="0.25">
      <c r="A640" s="106">
        <v>624</v>
      </c>
      <c r="B640" s="8" t="s">
        <v>850</v>
      </c>
      <c r="C640" s="8" t="s">
        <v>382</v>
      </c>
      <c r="D640" s="17" t="s">
        <v>128</v>
      </c>
      <c r="E640" s="17" t="s">
        <v>134</v>
      </c>
      <c r="G640" s="17" t="s">
        <v>2</v>
      </c>
      <c r="H640" s="62"/>
      <c r="I640" s="37">
        <f>IFERROR(VLOOKUP(B640,'TB '!$A:$G,7,),0)</f>
        <v>0</v>
      </c>
      <c r="J640" s="37">
        <f>IFERROR(VLOOKUP($B640,'TB '!$4:$1048576,MATCH('List of Ledgers '!J$4,'TB '!$4:$4,0),0),0)</f>
        <v>0</v>
      </c>
      <c r="K640" s="37">
        <f>IFERROR(VLOOKUP($B640,'TB '!$4:$1048576,MATCH('List of Ledgers '!K$4,'TB '!$4:$4,0),0),0)</f>
        <v>0</v>
      </c>
      <c r="L640" s="37">
        <f>IFERROR(VLOOKUP(B640,'TB '!$A:$J,10,),0)</f>
        <v>0</v>
      </c>
      <c r="M640" s="71"/>
      <c r="N640" s="63">
        <f>IFERROR(VLOOKUP($B640,'TB YTD'!$4:$1048576,MATCH('List of Ledgers '!N$4,'TB YTD'!$4:$4,0),0),0)</f>
        <v>0</v>
      </c>
      <c r="O640" s="63">
        <f>IFERROR(VLOOKUP($B640,'TB YTD'!$4:$1048576,MATCH('List of Ledgers '!O$4,'TB YTD'!$4:$4,0),0),0)</f>
        <v>0</v>
      </c>
      <c r="P640" s="63">
        <f>IFERROR(VLOOKUP($B640,'TB YTD'!$4:$1048576,MATCH('List of Ledgers '!P$4,'TB YTD'!$4:$4,0),0),0)</f>
        <v>0</v>
      </c>
      <c r="Q640" s="63">
        <f>IFERROR(VLOOKUP($B640,'TB YTD'!$4:$1048576,MATCH('List of Ledgers '!Q$4,'TB YTD'!$4:$4,0),0),0)</f>
        <v>0</v>
      </c>
      <c r="R640" s="63"/>
    </row>
    <row r="641" spans="1:18" hidden="1" x14ac:dyDescent="0.25">
      <c r="A641" s="106">
        <v>625</v>
      </c>
      <c r="B641" s="8" t="s">
        <v>851</v>
      </c>
      <c r="C641" s="8" t="s">
        <v>382</v>
      </c>
      <c r="D641" s="12" t="s">
        <v>128</v>
      </c>
      <c r="E641" s="12" t="s">
        <v>134</v>
      </c>
      <c r="G641" s="17" t="s">
        <v>2</v>
      </c>
      <c r="H641" s="62"/>
      <c r="I641" s="37">
        <f>IFERROR(VLOOKUP(B641,'TB '!$A:$G,7,),0)</f>
        <v>0</v>
      </c>
      <c r="J641" s="37">
        <f>IFERROR(VLOOKUP($B641,'TB '!$4:$1048576,MATCH('List of Ledgers '!J$4,'TB '!$4:$4,0),0),0)</f>
        <v>0</v>
      </c>
      <c r="K641" s="37">
        <f>IFERROR(VLOOKUP($B641,'TB '!$4:$1048576,MATCH('List of Ledgers '!K$4,'TB '!$4:$4,0),0),0)</f>
        <v>0</v>
      </c>
      <c r="L641" s="37">
        <f>IFERROR(VLOOKUP(B641,'TB '!$A:$J,10,),0)</f>
        <v>0</v>
      </c>
      <c r="M641" s="71"/>
      <c r="N641" s="63">
        <f>IFERROR(VLOOKUP($B641,'TB YTD'!$4:$1048576,MATCH('List of Ledgers '!N$4,'TB YTD'!$4:$4,0),0),0)</f>
        <v>0</v>
      </c>
      <c r="O641" s="63">
        <f>IFERROR(VLOOKUP($B641,'TB YTD'!$4:$1048576,MATCH('List of Ledgers '!O$4,'TB YTD'!$4:$4,0),0),0)</f>
        <v>2755000</v>
      </c>
      <c r="P641" s="63">
        <f>IFERROR(VLOOKUP($B641,'TB YTD'!$4:$1048576,MATCH('List of Ledgers '!P$4,'TB YTD'!$4:$4,0),0),0)</f>
        <v>2755000</v>
      </c>
      <c r="Q641" s="63">
        <f>IFERROR(VLOOKUP($B641,'TB YTD'!$4:$1048576,MATCH('List of Ledgers '!Q$4,'TB YTD'!$4:$4,0),0),0)</f>
        <v>0</v>
      </c>
      <c r="R641" s="63"/>
    </row>
    <row r="642" spans="1:18" hidden="1" x14ac:dyDescent="0.25">
      <c r="A642" s="106">
        <v>626</v>
      </c>
      <c r="B642" s="8" t="s">
        <v>852</v>
      </c>
      <c r="C642" s="8" t="s">
        <v>138</v>
      </c>
      <c r="D642" s="17" t="s">
        <v>128</v>
      </c>
      <c r="E642" s="17" t="s">
        <v>134</v>
      </c>
      <c r="G642" s="17" t="s">
        <v>2</v>
      </c>
      <c r="H642" s="62"/>
      <c r="I642" s="37">
        <f>IFERROR(VLOOKUP(B642,'TB '!$A:$G,7,),0)</f>
        <v>0</v>
      </c>
      <c r="J642" s="37">
        <f>IFERROR(VLOOKUP($B642,'TB '!$4:$1048576,MATCH('List of Ledgers '!J$4,'TB '!$4:$4,0),0),0)</f>
        <v>0</v>
      </c>
      <c r="K642" s="37">
        <f>IFERROR(VLOOKUP($B642,'TB '!$4:$1048576,MATCH('List of Ledgers '!K$4,'TB '!$4:$4,0),0),0)</f>
        <v>0</v>
      </c>
      <c r="L642" s="37">
        <f>IFERROR(VLOOKUP(B642,'TB '!$A:$J,10,),0)</f>
        <v>0</v>
      </c>
      <c r="M642" s="71"/>
      <c r="N642" s="63">
        <f>IFERROR(VLOOKUP($B642,'TB YTD'!$4:$1048576,MATCH('List of Ledgers '!N$4,'TB YTD'!$4:$4,0),0),0)</f>
        <v>0</v>
      </c>
      <c r="O642" s="63">
        <f>IFERROR(VLOOKUP($B642,'TB YTD'!$4:$1048576,MATCH('List of Ledgers '!O$4,'TB YTD'!$4:$4,0),0),0)</f>
        <v>0</v>
      </c>
      <c r="P642" s="63">
        <f>IFERROR(VLOOKUP($B642,'TB YTD'!$4:$1048576,MATCH('List of Ledgers '!P$4,'TB YTD'!$4:$4,0),0),0)</f>
        <v>0</v>
      </c>
      <c r="Q642" s="63">
        <f>IFERROR(VLOOKUP($B642,'TB YTD'!$4:$1048576,MATCH('List of Ledgers '!Q$4,'TB YTD'!$4:$4,0),0),0)</f>
        <v>0</v>
      </c>
      <c r="R642" s="63"/>
    </row>
    <row r="643" spans="1:18" hidden="1" x14ac:dyDescent="0.25">
      <c r="A643" s="106">
        <v>627</v>
      </c>
      <c r="B643" s="8" t="s">
        <v>853</v>
      </c>
      <c r="C643" s="8" t="s">
        <v>185</v>
      </c>
      <c r="D643" s="106" t="s">
        <v>128</v>
      </c>
      <c r="E643" s="17" t="s">
        <v>134</v>
      </c>
      <c r="G643" s="17" t="s">
        <v>3</v>
      </c>
      <c r="H643" s="62"/>
      <c r="I643" s="37">
        <f>IFERROR(VLOOKUP(B643,'TB '!$A:$G,7,),0)</f>
        <v>0</v>
      </c>
      <c r="J643" s="37">
        <f>IFERROR(VLOOKUP($B643,'TB '!$4:$1048576,MATCH('List of Ledgers '!J$4,'TB '!$4:$4,0),0),0)</f>
        <v>0</v>
      </c>
      <c r="K643" s="37">
        <f>IFERROR(VLOOKUP($B643,'TB '!$4:$1048576,MATCH('List of Ledgers '!K$4,'TB '!$4:$4,0),0),0)</f>
        <v>0</v>
      </c>
      <c r="L643" s="37">
        <f>IFERROR(VLOOKUP(B643,'TB '!$A:$J,10,),0)</f>
        <v>0</v>
      </c>
      <c r="M643" s="71"/>
      <c r="N643" s="63">
        <f>IFERROR(VLOOKUP($B643,'TB YTD'!$4:$1048576,MATCH('List of Ledgers '!N$4,'TB YTD'!$4:$4,0),0),0)</f>
        <v>0</v>
      </c>
      <c r="O643" s="63">
        <f>IFERROR(VLOOKUP($B643,'TB YTD'!$4:$1048576,MATCH('List of Ledgers '!O$4,'TB YTD'!$4:$4,0),0),0)</f>
        <v>0</v>
      </c>
      <c r="P643" s="63">
        <f>IFERROR(VLOOKUP($B643,'TB YTD'!$4:$1048576,MATCH('List of Ledgers '!P$4,'TB YTD'!$4:$4,0),0),0)</f>
        <v>0</v>
      </c>
      <c r="Q643" s="63">
        <f>IFERROR(VLOOKUP($B643,'TB YTD'!$4:$1048576,MATCH('List of Ledgers '!Q$4,'TB YTD'!$4:$4,0),0),0)</f>
        <v>0</v>
      </c>
      <c r="R643" s="63"/>
    </row>
    <row r="644" spans="1:18" hidden="1" x14ac:dyDescent="0.25">
      <c r="A644" s="106">
        <v>628</v>
      </c>
      <c r="B644" s="8" t="s">
        <v>854</v>
      </c>
      <c r="C644" s="8" t="s">
        <v>185</v>
      </c>
      <c r="D644" s="106" t="s">
        <v>128</v>
      </c>
      <c r="E644" s="17" t="s">
        <v>134</v>
      </c>
      <c r="G644" s="17" t="s">
        <v>3</v>
      </c>
      <c r="H644" s="62"/>
      <c r="I644" s="37">
        <f>IFERROR(VLOOKUP(B644,'TB '!$A:$G,7,),0)</f>
        <v>-464</v>
      </c>
      <c r="J644" s="37">
        <f>IFERROR(VLOOKUP($B644,'TB '!$4:$1048576,MATCH('List of Ledgers '!J$4,'TB '!$4:$4,0),0),0)</f>
        <v>0</v>
      </c>
      <c r="K644" s="37">
        <f>IFERROR(VLOOKUP($B644,'TB '!$4:$1048576,MATCH('List of Ledgers '!K$4,'TB '!$4:$4,0),0),0)</f>
        <v>0</v>
      </c>
      <c r="L644" s="37">
        <f>IFERROR(VLOOKUP(B644,'TB '!$A:$J,10,),0)</f>
        <v>-464</v>
      </c>
      <c r="M644" s="71"/>
      <c r="N644" s="63">
        <f>IFERROR(VLOOKUP($B644,'TB YTD'!$4:$1048576,MATCH('List of Ledgers '!N$4,'TB YTD'!$4:$4,0),0),0)</f>
        <v>-464</v>
      </c>
      <c r="O644" s="63">
        <f>IFERROR(VLOOKUP($B644,'TB YTD'!$4:$1048576,MATCH('List of Ledgers '!O$4,'TB YTD'!$4:$4,0),0),0)</f>
        <v>46933</v>
      </c>
      <c r="P644" s="63">
        <f>IFERROR(VLOOKUP($B644,'TB YTD'!$4:$1048576,MATCH('List of Ledgers '!P$4,'TB YTD'!$4:$4,0),0),0)</f>
        <v>46933</v>
      </c>
      <c r="Q644" s="63">
        <f>IFERROR(VLOOKUP($B644,'TB YTD'!$4:$1048576,MATCH('List of Ledgers '!Q$4,'TB YTD'!$4:$4,0),0),0)</f>
        <v>-464</v>
      </c>
      <c r="R644" s="63"/>
    </row>
    <row r="645" spans="1:18" hidden="1" x14ac:dyDescent="0.25">
      <c r="A645" s="106">
        <v>629</v>
      </c>
      <c r="B645" s="8" t="s">
        <v>855</v>
      </c>
      <c r="C645" s="8" t="s">
        <v>130</v>
      </c>
      <c r="D645" s="17" t="s">
        <v>128</v>
      </c>
      <c r="E645" s="17" t="s">
        <v>131</v>
      </c>
      <c r="G645" s="17" t="s">
        <v>7</v>
      </c>
      <c r="H645" s="62"/>
      <c r="I645" s="37">
        <f>IFERROR(VLOOKUP(B645,'TB '!$A:$G,7,),0)</f>
        <v>-226</v>
      </c>
      <c r="J645" s="37">
        <f>IFERROR(VLOOKUP($B645,'TB '!$4:$1048576,MATCH('List of Ledgers '!J$4,'TB '!$4:$4,0),0),0)</f>
        <v>0</v>
      </c>
      <c r="K645" s="37">
        <f>IFERROR(VLOOKUP($B645,'TB '!$4:$1048576,MATCH('List of Ledgers '!K$4,'TB '!$4:$4,0),0),0)</f>
        <v>0</v>
      </c>
      <c r="L645" s="37">
        <f>IFERROR(VLOOKUP(B645,'TB '!$A:$J,10,),0)</f>
        <v>-226</v>
      </c>
      <c r="M645" s="71"/>
      <c r="N645" s="63">
        <f>IFERROR(VLOOKUP($B645,'TB YTD'!$4:$1048576,MATCH('List of Ledgers '!N$4,'TB YTD'!$4:$4,0),0),0)</f>
        <v>-5359</v>
      </c>
      <c r="O645" s="63">
        <f>IFERROR(VLOOKUP($B645,'TB YTD'!$4:$1048576,MATCH('List of Ledgers '!O$4,'TB YTD'!$4:$4,0),0),0)</f>
        <v>16284</v>
      </c>
      <c r="P645" s="63">
        <f>IFERROR(VLOOKUP($B645,'TB YTD'!$4:$1048576,MATCH('List of Ledgers '!P$4,'TB YTD'!$4:$4,0),0),0)</f>
        <v>11151</v>
      </c>
      <c r="Q645" s="63">
        <f>IFERROR(VLOOKUP($B645,'TB YTD'!$4:$1048576,MATCH('List of Ledgers '!Q$4,'TB YTD'!$4:$4,0),0),0)</f>
        <v>-226</v>
      </c>
      <c r="R645" s="63"/>
    </row>
    <row r="646" spans="1:18" hidden="1" x14ac:dyDescent="0.25">
      <c r="A646" s="106">
        <v>630</v>
      </c>
      <c r="B646" s="151" t="s">
        <v>856</v>
      </c>
      <c r="C646" s="151" t="s">
        <v>158</v>
      </c>
      <c r="D646" s="12" t="s">
        <v>128</v>
      </c>
      <c r="E646" s="12" t="s">
        <v>131</v>
      </c>
      <c r="G646" s="17" t="s">
        <v>4</v>
      </c>
      <c r="I646" s="37">
        <f>IFERROR(VLOOKUP(B646,'TB '!$A:$G,7,),0)</f>
        <v>0</v>
      </c>
      <c r="J646" s="37">
        <f>IFERROR(VLOOKUP($B646,'TB '!$4:$1048576,MATCH('List of Ledgers '!J$4,'TB '!$4:$4,0),0),0)</f>
        <v>0</v>
      </c>
      <c r="K646" s="37">
        <f>IFERROR(VLOOKUP($B646,'TB '!$4:$1048576,MATCH('List of Ledgers '!K$4,'TB '!$4:$4,0),0),0)</f>
        <v>0</v>
      </c>
      <c r="L646" s="37">
        <f>IFERROR(VLOOKUP(B646,'TB '!$A:$J,10,),0)</f>
        <v>0</v>
      </c>
      <c r="M646" s="71"/>
      <c r="N646" s="63">
        <f>IFERROR(VLOOKUP($B646,'TB YTD'!$4:$1048576,MATCH('List of Ledgers '!N$4,'TB YTD'!$4:$4,0),0),0)</f>
        <v>0</v>
      </c>
      <c r="O646" s="63">
        <f>IFERROR(VLOOKUP($B646,'TB YTD'!$4:$1048576,MATCH('List of Ledgers '!O$4,'TB YTD'!$4:$4,0),0),0)</f>
        <v>91833</v>
      </c>
      <c r="P646" s="63">
        <f>IFERROR(VLOOKUP($B646,'TB YTD'!$4:$1048576,MATCH('List of Ledgers '!P$4,'TB YTD'!$4:$4,0),0),0)</f>
        <v>91833</v>
      </c>
      <c r="Q646" s="63">
        <f>IFERROR(VLOOKUP($B646,'TB YTD'!$4:$1048576,MATCH('List of Ledgers '!Q$4,'TB YTD'!$4:$4,0),0),0)</f>
        <v>0</v>
      </c>
    </row>
    <row r="647" spans="1:18" hidden="1" x14ac:dyDescent="0.25">
      <c r="A647" s="106">
        <v>631</v>
      </c>
      <c r="B647" s="8" t="s">
        <v>857</v>
      </c>
      <c r="C647" s="8" t="s">
        <v>185</v>
      </c>
      <c r="D647" s="106" t="s">
        <v>128</v>
      </c>
      <c r="E647" s="17" t="s">
        <v>134</v>
      </c>
      <c r="G647" s="17" t="s">
        <v>3</v>
      </c>
      <c r="H647" s="62"/>
      <c r="I647" s="37">
        <f>IFERROR(VLOOKUP(B647,'TB '!$A:$G,7,),0)</f>
        <v>0</v>
      </c>
      <c r="J647" s="37">
        <f>IFERROR(VLOOKUP($B647,'TB '!$4:$1048576,MATCH('List of Ledgers '!J$4,'TB '!$4:$4,0),0),0)</f>
        <v>0</v>
      </c>
      <c r="K647" s="37">
        <f>IFERROR(VLOOKUP($B647,'TB '!$4:$1048576,MATCH('List of Ledgers '!K$4,'TB '!$4:$4,0),0),0)</f>
        <v>0</v>
      </c>
      <c r="L647" s="37">
        <f>IFERROR(VLOOKUP(B647,'TB '!$A:$J,10,),0)</f>
        <v>0</v>
      </c>
      <c r="M647" s="71"/>
      <c r="N647" s="63">
        <f>IFERROR(VLOOKUP($B647,'TB YTD'!$4:$1048576,MATCH('List of Ledgers '!N$4,'TB YTD'!$4:$4,0),0),0)</f>
        <v>0</v>
      </c>
      <c r="O647" s="63">
        <f>IFERROR(VLOOKUP($B647,'TB YTD'!$4:$1048576,MATCH('List of Ledgers '!O$4,'TB YTD'!$4:$4,0),0),0)</f>
        <v>13767</v>
      </c>
      <c r="P647" s="63">
        <f>IFERROR(VLOOKUP($B647,'TB YTD'!$4:$1048576,MATCH('List of Ledgers '!P$4,'TB YTD'!$4:$4,0),0),0)</f>
        <v>13767</v>
      </c>
      <c r="Q647" s="63">
        <f>IFERROR(VLOOKUP($B647,'TB YTD'!$4:$1048576,MATCH('List of Ledgers '!Q$4,'TB YTD'!$4:$4,0),0),0)</f>
        <v>0</v>
      </c>
      <c r="R647" s="63"/>
    </row>
    <row r="648" spans="1:18" hidden="1" x14ac:dyDescent="0.25">
      <c r="A648" s="106">
        <v>632</v>
      </c>
      <c r="B648" s="8" t="s">
        <v>858</v>
      </c>
      <c r="C648" s="8" t="s">
        <v>158</v>
      </c>
      <c r="D648" s="17" t="s">
        <v>128</v>
      </c>
      <c r="E648" s="17" t="s">
        <v>131</v>
      </c>
      <c r="G648" s="17" t="s">
        <v>4</v>
      </c>
      <c r="H648" s="62"/>
      <c r="I648" s="37">
        <f>IFERROR(VLOOKUP(B648,'TB '!$A:$G,7,),0)</f>
        <v>-10000</v>
      </c>
      <c r="J648" s="37">
        <f>IFERROR(VLOOKUP($B648,'TB '!$4:$1048576,MATCH('List of Ledgers '!J$4,'TB '!$4:$4,0),0),0)</f>
        <v>10000</v>
      </c>
      <c r="K648" s="37">
        <f>IFERROR(VLOOKUP($B648,'TB '!$4:$1048576,MATCH('List of Ledgers '!K$4,'TB '!$4:$4,0),0),0)</f>
        <v>0</v>
      </c>
      <c r="L648" s="37">
        <f>IFERROR(VLOOKUP(B648,'TB '!$A:$J,10,),0)</f>
        <v>0</v>
      </c>
      <c r="M648" s="71"/>
      <c r="N648" s="63">
        <f>IFERROR(VLOOKUP($B648,'TB YTD'!$4:$1048576,MATCH('List of Ledgers '!N$4,'TB YTD'!$4:$4,0),0),0)</f>
        <v>-10000</v>
      </c>
      <c r="O648" s="63">
        <f>IFERROR(VLOOKUP($B648,'TB YTD'!$4:$1048576,MATCH('List of Ledgers '!O$4,'TB YTD'!$4:$4,0),0),0)</f>
        <v>120000</v>
      </c>
      <c r="P648" s="63">
        <f>IFERROR(VLOOKUP($B648,'TB YTD'!$4:$1048576,MATCH('List of Ledgers '!P$4,'TB YTD'!$4:$4,0),0),0)</f>
        <v>110000</v>
      </c>
      <c r="Q648" s="63">
        <f>IFERROR(VLOOKUP($B648,'TB YTD'!$4:$1048576,MATCH('List of Ledgers '!Q$4,'TB YTD'!$4:$4,0),0),0)</f>
        <v>0</v>
      </c>
      <c r="R648" s="63"/>
    </row>
    <row r="649" spans="1:18" hidden="1" x14ac:dyDescent="0.25">
      <c r="A649" s="106">
        <v>633</v>
      </c>
      <c r="B649" s="8" t="s">
        <v>859</v>
      </c>
      <c r="C649" s="8" t="s">
        <v>144</v>
      </c>
      <c r="D649" s="17"/>
      <c r="E649" s="17"/>
      <c r="G649" s="17"/>
      <c r="H649" s="62"/>
      <c r="I649" s="37">
        <f>IFERROR(VLOOKUP(B649,'TB '!$A:$G,7,),0)</f>
        <v>0</v>
      </c>
      <c r="J649" s="37">
        <f>IFERROR(VLOOKUP($B649,'TB '!$4:$1048576,MATCH('List of Ledgers '!J$4,'TB '!$4:$4,0),0),0)</f>
        <v>0</v>
      </c>
      <c r="K649" s="37">
        <f>IFERROR(VLOOKUP($B649,'TB '!$4:$1048576,MATCH('List of Ledgers '!K$4,'TB '!$4:$4,0),0),0)</f>
        <v>0</v>
      </c>
      <c r="L649" s="37">
        <f>IFERROR(VLOOKUP(B649,'TB '!$A:$J,10,),0)</f>
        <v>0</v>
      </c>
      <c r="M649" s="71"/>
      <c r="N649" s="63">
        <f>IFERROR(VLOOKUP($B649,'TB YTD'!$4:$1048576,MATCH('List of Ledgers '!N$4,'TB YTD'!$4:$4,0),0),0)</f>
        <v>0</v>
      </c>
      <c r="O649" s="63">
        <f>IFERROR(VLOOKUP($B649,'TB YTD'!$4:$1048576,MATCH('List of Ledgers '!O$4,'TB YTD'!$4:$4,0),0),0)</f>
        <v>0</v>
      </c>
      <c r="P649" s="63">
        <f>IFERROR(VLOOKUP($B649,'TB YTD'!$4:$1048576,MATCH('List of Ledgers '!P$4,'TB YTD'!$4:$4,0),0),0)</f>
        <v>0</v>
      </c>
      <c r="Q649" s="63">
        <f>IFERROR(VLOOKUP($B649,'TB YTD'!$4:$1048576,MATCH('List of Ledgers '!Q$4,'TB YTD'!$4:$4,0),0),0)</f>
        <v>0</v>
      </c>
      <c r="R649" s="63"/>
    </row>
    <row r="650" spans="1:18" hidden="1" x14ac:dyDescent="0.25">
      <c r="A650" s="165">
        <f>A649+1</f>
        <v>634</v>
      </c>
      <c r="B650" s="2" t="s">
        <v>1229</v>
      </c>
      <c r="C650" s="2" t="s">
        <v>876</v>
      </c>
      <c r="D650" s="17" t="s">
        <v>151</v>
      </c>
      <c r="E650" s="17" t="s">
        <v>1291</v>
      </c>
      <c r="F650" s="12" t="s">
        <v>1290</v>
      </c>
      <c r="G650" s="17" t="s">
        <v>9</v>
      </c>
      <c r="I650" s="37">
        <f>IFERROR(VLOOKUP(B650,'TB '!$A:$G,7,),0)</f>
        <v>0</v>
      </c>
      <c r="J650" s="37">
        <f>IFERROR(VLOOKUP($B650,'TB '!$4:$1048576,MATCH('List of Ledgers '!J$4,'TB '!$4:$4,0),0),0)</f>
        <v>46800</v>
      </c>
      <c r="K650" s="37">
        <f>IFERROR(VLOOKUP($B650,'TB '!$4:$1048576,MATCH('List of Ledgers '!K$4,'TB '!$4:$4,0),0),0)</f>
        <v>0</v>
      </c>
      <c r="L650" s="37">
        <f>IFERROR(VLOOKUP(B650,'TB '!$A:$J,10,),0)</f>
        <v>46800</v>
      </c>
      <c r="M650" s="71"/>
      <c r="N650" s="63">
        <f>IFERROR(VLOOKUP($B650,'TB YTD'!$4:$1048576,MATCH('List of Ledgers '!N$4,'TB YTD'!$4:$4,0),0),0)</f>
        <v>0</v>
      </c>
      <c r="O650" s="63">
        <f>IFERROR(VLOOKUP($B650,'TB YTD'!$4:$1048576,MATCH('List of Ledgers '!O$4,'TB YTD'!$4:$4,0),0),0)</f>
        <v>86650</v>
      </c>
      <c r="P650" s="63">
        <f>IFERROR(VLOOKUP($B650,'TB YTD'!$4:$1048576,MATCH('List of Ledgers '!P$4,'TB YTD'!$4:$4,0),0),0)</f>
        <v>0</v>
      </c>
      <c r="Q650" s="63">
        <f>IFERROR(VLOOKUP($B650,'TB YTD'!$4:$1048576,MATCH('List of Ledgers '!Q$4,'TB YTD'!$4:$4,0),0),0)</f>
        <v>86650</v>
      </c>
      <c r="R650" s="63"/>
    </row>
    <row r="651" spans="1:18" hidden="1" x14ac:dyDescent="0.25">
      <c r="A651" s="106">
        <v>634</v>
      </c>
      <c r="B651" s="151" t="s">
        <v>860</v>
      </c>
      <c r="C651" s="151" t="s">
        <v>158</v>
      </c>
      <c r="D651" s="12" t="s">
        <v>128</v>
      </c>
      <c r="E651" s="12" t="s">
        <v>131</v>
      </c>
      <c r="G651" s="17" t="s">
        <v>4</v>
      </c>
      <c r="I651" s="37">
        <f>IFERROR(VLOOKUP(B651,'TB '!$A:$G,7,),0)</f>
        <v>0</v>
      </c>
      <c r="J651" s="37">
        <f>IFERROR(VLOOKUP($B651,'TB '!$4:$1048576,MATCH('List of Ledgers '!J$4,'TB '!$4:$4,0),0),0)</f>
        <v>0</v>
      </c>
      <c r="K651" s="37">
        <f>IFERROR(VLOOKUP($B651,'TB '!$4:$1048576,MATCH('List of Ledgers '!K$4,'TB '!$4:$4,0),0),0)</f>
        <v>0</v>
      </c>
      <c r="L651" s="37">
        <f>IFERROR(VLOOKUP(B651,'TB '!$A:$J,10,),0)</f>
        <v>0</v>
      </c>
      <c r="M651" s="71"/>
      <c r="N651" s="63">
        <f>IFERROR(VLOOKUP($B651,'TB YTD'!$4:$1048576,MATCH('List of Ledgers '!N$4,'TB YTD'!$4:$4,0),0),0)</f>
        <v>0</v>
      </c>
      <c r="O651" s="63">
        <f>IFERROR(VLOOKUP($B651,'TB YTD'!$4:$1048576,MATCH('List of Ledgers '!O$4,'TB YTD'!$4:$4,0),0),0)</f>
        <v>0</v>
      </c>
      <c r="P651" s="63">
        <f>IFERROR(VLOOKUP($B651,'TB YTD'!$4:$1048576,MATCH('List of Ledgers '!P$4,'TB YTD'!$4:$4,0),0),0)</f>
        <v>0</v>
      </c>
      <c r="Q651" s="63">
        <f>IFERROR(VLOOKUP($B651,'TB YTD'!$4:$1048576,MATCH('List of Ledgers '!Q$4,'TB YTD'!$4:$4,0),0),0)</f>
        <v>0</v>
      </c>
    </row>
    <row r="652" spans="1:18" x14ac:dyDescent="0.25">
      <c r="A652" s="165">
        <f>A651+1</f>
        <v>635</v>
      </c>
      <c r="B652" s="2" t="s">
        <v>1230</v>
      </c>
      <c r="C652" s="2" t="s">
        <v>876</v>
      </c>
      <c r="D652" s="17" t="s">
        <v>151</v>
      </c>
      <c r="E652" s="17" t="s">
        <v>1291</v>
      </c>
      <c r="F652" s="12" t="s">
        <v>71</v>
      </c>
      <c r="G652" s="17" t="s">
        <v>9</v>
      </c>
      <c r="I652" s="37">
        <f>IFERROR(VLOOKUP(B652,'TB '!$A:$G,7,),0)</f>
        <v>0</v>
      </c>
      <c r="J652" s="37">
        <f>IFERROR(VLOOKUP($B652,'TB '!$4:$1048576,MATCH('List of Ledgers '!J$4,'TB '!$4:$4,0),0),0)</f>
        <v>5768.65</v>
      </c>
      <c r="K652" s="37">
        <f>IFERROR(VLOOKUP($B652,'TB '!$4:$1048576,MATCH('List of Ledgers '!K$4,'TB '!$4:$4,0),0),0)</f>
        <v>0</v>
      </c>
      <c r="L652" s="37">
        <f>IFERROR(VLOOKUP(B652,'TB '!$A:$J,10,),0)</f>
        <v>5768.65</v>
      </c>
      <c r="M652" s="71"/>
      <c r="N652" s="63">
        <f>IFERROR(VLOOKUP($B652,'TB YTD'!$4:$1048576,MATCH('List of Ledgers '!N$4,'TB YTD'!$4:$4,0),0),0)</f>
        <v>0</v>
      </c>
      <c r="O652" s="63">
        <f>IFERROR(VLOOKUP($B652,'TB YTD'!$4:$1048576,MATCH('List of Ledgers '!O$4,'TB YTD'!$4:$4,0),0),0)</f>
        <v>26537.85</v>
      </c>
      <c r="P652" s="63">
        <f>IFERROR(VLOOKUP($B652,'TB YTD'!$4:$1048576,MATCH('List of Ledgers '!P$4,'TB YTD'!$4:$4,0),0),0)</f>
        <v>0</v>
      </c>
      <c r="Q652" s="63">
        <f>IFERROR(VLOOKUP($B652,'TB YTD'!$4:$1048576,MATCH('List of Ledgers '!Q$4,'TB YTD'!$4:$4,0),0),0)</f>
        <v>26537.85</v>
      </c>
      <c r="R652" s="63"/>
    </row>
    <row r="653" spans="1:18" hidden="1" x14ac:dyDescent="0.25">
      <c r="A653" s="106">
        <v>635</v>
      </c>
      <c r="B653" s="8" t="s">
        <v>861</v>
      </c>
      <c r="C653" s="8" t="s">
        <v>609</v>
      </c>
      <c r="D653" s="12" t="s">
        <v>128</v>
      </c>
      <c r="E653" s="12" t="s">
        <v>134</v>
      </c>
      <c r="G653" s="12" t="s">
        <v>2</v>
      </c>
      <c r="H653" s="62"/>
      <c r="I653" s="37">
        <f>IFERROR(VLOOKUP(B653,'TB '!$A:$G,7,),0)</f>
        <v>78824</v>
      </c>
      <c r="J653" s="37">
        <f>IFERROR(VLOOKUP($B653,'TB '!$4:$1048576,MATCH('List of Ledgers '!J$4,'TB '!$4:$4,0),0),0)</f>
        <v>0</v>
      </c>
      <c r="K653" s="37">
        <f>IFERROR(VLOOKUP($B653,'TB '!$4:$1048576,MATCH('List of Ledgers '!K$4,'TB '!$4:$4,0),0),0)</f>
        <v>0</v>
      </c>
      <c r="L653" s="37">
        <f>IFERROR(VLOOKUP(B653,'TB '!$A:$J,10,),0)</f>
        <v>78824</v>
      </c>
      <c r="M653" s="71"/>
      <c r="N653" s="63">
        <f>IFERROR(VLOOKUP($B653,'TB YTD'!$4:$1048576,MATCH('List of Ledgers '!N$4,'TB YTD'!$4:$4,0),0),0)</f>
        <v>78824</v>
      </c>
      <c r="O653" s="63">
        <f>IFERROR(VLOOKUP($B653,'TB YTD'!$4:$1048576,MATCH('List of Ledgers '!O$4,'TB YTD'!$4:$4,0),0),0)</f>
        <v>0</v>
      </c>
      <c r="P653" s="63">
        <f>IFERROR(VLOOKUP($B653,'TB YTD'!$4:$1048576,MATCH('List of Ledgers '!P$4,'TB YTD'!$4:$4,0),0),0)</f>
        <v>0</v>
      </c>
      <c r="Q653" s="63">
        <f>IFERROR(VLOOKUP($B653,'TB YTD'!$4:$1048576,MATCH('List of Ledgers '!Q$4,'TB YTD'!$4:$4,0),0),0)</f>
        <v>78824</v>
      </c>
      <c r="R653" s="63"/>
    </row>
    <row r="654" spans="1:18" hidden="1" x14ac:dyDescent="0.25">
      <c r="A654" s="165">
        <f>A653+1</f>
        <v>636</v>
      </c>
      <c r="B654" s="2" t="s">
        <v>1231</v>
      </c>
      <c r="C654" s="2" t="s">
        <v>510</v>
      </c>
      <c r="D654" s="17"/>
      <c r="E654" s="17"/>
      <c r="I654" s="37">
        <f>IFERROR(VLOOKUP(B654,'TB '!$A:$G,7,),0)</f>
        <v>9166.5499999999993</v>
      </c>
      <c r="J654" s="37">
        <f>IFERROR(VLOOKUP($B654,'TB '!$4:$1048576,MATCH('List of Ledgers '!J$4,'TB '!$4:$4,0),0),0)</f>
        <v>0</v>
      </c>
      <c r="K654" s="37">
        <f>IFERROR(VLOOKUP($B654,'TB '!$4:$1048576,MATCH('List of Ledgers '!K$4,'TB '!$4:$4,0),0),0)</f>
        <v>0.18</v>
      </c>
      <c r="L654" s="37">
        <f>IFERROR(VLOOKUP(B654,'TB '!$A:$J,10,),0)</f>
        <v>9166.3700000000008</v>
      </c>
      <c r="M654" s="71"/>
      <c r="N654" s="63">
        <f>IFERROR(VLOOKUP($B654,'TB YTD'!$4:$1048576,MATCH('List of Ledgers '!N$4,'TB YTD'!$4:$4,0),0),0)</f>
        <v>0</v>
      </c>
      <c r="O654" s="63">
        <f>IFERROR(VLOOKUP($B654,'TB YTD'!$4:$1048576,MATCH('List of Ledgers '!O$4,'TB YTD'!$4:$4,0),0),0)</f>
        <v>10000</v>
      </c>
      <c r="P654" s="63">
        <f>IFERROR(VLOOKUP($B654,'TB YTD'!$4:$1048576,MATCH('List of Ledgers '!P$4,'TB YTD'!$4:$4,0),0),0)</f>
        <v>833.63</v>
      </c>
      <c r="Q654" s="63">
        <f>IFERROR(VLOOKUP($B654,'TB YTD'!$4:$1048576,MATCH('List of Ledgers '!Q$4,'TB YTD'!$4:$4,0),0),0)</f>
        <v>9166.3700000000008</v>
      </c>
      <c r="R654" s="63"/>
    </row>
    <row r="655" spans="1:18" hidden="1" x14ac:dyDescent="0.25">
      <c r="A655" s="106">
        <v>636</v>
      </c>
      <c r="B655" s="151" t="s">
        <v>862</v>
      </c>
      <c r="C655" s="151" t="s">
        <v>82</v>
      </c>
      <c r="D655" s="12" t="s">
        <v>128</v>
      </c>
      <c r="E655" s="12" t="s">
        <v>134</v>
      </c>
      <c r="G655" s="17" t="s">
        <v>4</v>
      </c>
      <c r="I655" s="37">
        <f>IFERROR(VLOOKUP(B655,'TB '!$A:$G,7,),0)</f>
        <v>0</v>
      </c>
      <c r="J655" s="37">
        <f>IFERROR(VLOOKUP($B655,'TB '!$4:$1048576,MATCH('List of Ledgers '!J$4,'TB '!$4:$4,0),0),0)</f>
        <v>0</v>
      </c>
      <c r="K655" s="37">
        <f>IFERROR(VLOOKUP($B655,'TB '!$4:$1048576,MATCH('List of Ledgers '!K$4,'TB '!$4:$4,0),0),0)</f>
        <v>0</v>
      </c>
      <c r="L655" s="37">
        <f>IFERROR(VLOOKUP(B655,'TB '!$A:$J,10,),0)</f>
        <v>0</v>
      </c>
      <c r="M655" s="71"/>
      <c r="N655" s="63">
        <f>IFERROR(VLOOKUP($B655,'TB YTD'!$4:$1048576,MATCH('List of Ledgers '!N$4,'TB YTD'!$4:$4,0),0),0)</f>
        <v>0</v>
      </c>
      <c r="O655" s="63">
        <f>IFERROR(VLOOKUP($B655,'TB YTD'!$4:$1048576,MATCH('List of Ledgers '!O$4,'TB YTD'!$4:$4,0),0),0)</f>
        <v>147986.76</v>
      </c>
      <c r="P655" s="63">
        <f>IFERROR(VLOOKUP($B655,'TB YTD'!$4:$1048576,MATCH('List of Ledgers '!P$4,'TB YTD'!$4:$4,0),0),0)</f>
        <v>147986.76</v>
      </c>
      <c r="Q655" s="63">
        <f>IFERROR(VLOOKUP($B655,'TB YTD'!$4:$1048576,MATCH('List of Ledgers '!Q$4,'TB YTD'!$4:$4,0),0),0)</f>
        <v>0</v>
      </c>
    </row>
    <row r="656" spans="1:18" hidden="1" x14ac:dyDescent="0.25">
      <c r="A656" s="165">
        <f>A655+1</f>
        <v>637</v>
      </c>
      <c r="B656" s="2" t="s">
        <v>1232</v>
      </c>
      <c r="C656" s="2" t="s">
        <v>876</v>
      </c>
      <c r="D656" s="17" t="s">
        <v>151</v>
      </c>
      <c r="E656" s="17" t="s">
        <v>152</v>
      </c>
      <c r="F656" s="12" t="s">
        <v>43</v>
      </c>
      <c r="G656" s="17" t="s">
        <v>9</v>
      </c>
      <c r="I656" s="37">
        <f>IFERROR(VLOOKUP(B656,'TB '!$A:$G,7,),0)</f>
        <v>0</v>
      </c>
      <c r="J656" s="37">
        <f>IFERROR(VLOOKUP($B656,'TB '!$4:$1048576,MATCH('List of Ledgers '!J$4,'TB '!$4:$4,0),0),0)</f>
        <v>0</v>
      </c>
      <c r="K656" s="37">
        <f>IFERROR(VLOOKUP($B656,'TB '!$4:$1048576,MATCH('List of Ledgers '!K$4,'TB '!$4:$4,0),0),0)</f>
        <v>0</v>
      </c>
      <c r="L656" s="37">
        <f>IFERROR(VLOOKUP(B656,'TB '!$A:$J,10,),0)</f>
        <v>0</v>
      </c>
      <c r="M656" s="71"/>
      <c r="N656" s="63">
        <f>IFERROR(VLOOKUP($B656,'TB YTD'!$4:$1048576,MATCH('List of Ledgers '!N$4,'TB YTD'!$4:$4,0),0),0)</f>
        <v>0</v>
      </c>
      <c r="O656" s="63">
        <f>IFERROR(VLOOKUP($B656,'TB YTD'!$4:$1048576,MATCH('List of Ledgers '!O$4,'TB YTD'!$4:$4,0),0),0)</f>
        <v>24600</v>
      </c>
      <c r="P656" s="63">
        <f>IFERROR(VLOOKUP($B656,'TB YTD'!$4:$1048576,MATCH('List of Ledgers '!P$4,'TB YTD'!$4:$4,0),0),0)</f>
        <v>0</v>
      </c>
      <c r="Q656" s="63">
        <f>IFERROR(VLOOKUP($B656,'TB YTD'!$4:$1048576,MATCH('List of Ledgers '!Q$4,'TB YTD'!$4:$4,0),0),0)</f>
        <v>24600</v>
      </c>
      <c r="R656" s="63"/>
    </row>
    <row r="657" spans="1:18" hidden="1" x14ac:dyDescent="0.25">
      <c r="A657" s="106">
        <v>637</v>
      </c>
      <c r="B657" s="8" t="s">
        <v>863</v>
      </c>
      <c r="C657" s="8" t="s">
        <v>158</v>
      </c>
      <c r="D657" s="17" t="s">
        <v>128</v>
      </c>
      <c r="E657" s="17" t="s">
        <v>131</v>
      </c>
      <c r="G657" s="17" t="s">
        <v>4</v>
      </c>
      <c r="H657" s="62"/>
      <c r="I657" s="37">
        <f>IFERROR(VLOOKUP(B657,'TB '!$A:$G,7,),0)</f>
        <v>0</v>
      </c>
      <c r="J657" s="37">
        <f>IFERROR(VLOOKUP($B657,'TB '!$4:$1048576,MATCH('List of Ledgers '!J$4,'TB '!$4:$4,0),0),0)</f>
        <v>0</v>
      </c>
      <c r="K657" s="37">
        <f>IFERROR(VLOOKUP($B657,'TB '!$4:$1048576,MATCH('List of Ledgers '!K$4,'TB '!$4:$4,0),0),0)</f>
        <v>0</v>
      </c>
      <c r="L657" s="37">
        <f>IFERROR(VLOOKUP(B657,'TB '!$A:$J,10,),0)</f>
        <v>0</v>
      </c>
      <c r="M657" s="71"/>
      <c r="N657" s="63">
        <f>IFERROR(VLOOKUP($B657,'TB YTD'!$4:$1048576,MATCH('List of Ledgers '!N$4,'TB YTD'!$4:$4,0),0),0)</f>
        <v>0</v>
      </c>
      <c r="O657" s="63">
        <f>IFERROR(VLOOKUP($B657,'TB YTD'!$4:$1048576,MATCH('List of Ledgers '!O$4,'TB YTD'!$4:$4,0),0),0)</f>
        <v>111628</v>
      </c>
      <c r="P657" s="63">
        <f>IFERROR(VLOOKUP($B657,'TB YTD'!$4:$1048576,MATCH('List of Ledgers '!P$4,'TB YTD'!$4:$4,0),0),0)</f>
        <v>111628</v>
      </c>
      <c r="Q657" s="63">
        <f>IFERROR(VLOOKUP($B657,'TB YTD'!$4:$1048576,MATCH('List of Ledgers '!Q$4,'TB YTD'!$4:$4,0),0),0)</f>
        <v>0</v>
      </c>
      <c r="R657" s="63"/>
    </row>
    <row r="658" spans="1:18" hidden="1" x14ac:dyDescent="0.25">
      <c r="A658" s="165">
        <f>A657+1</f>
        <v>638</v>
      </c>
      <c r="B658" s="2" t="s">
        <v>1113</v>
      </c>
      <c r="C658" s="2" t="s">
        <v>160</v>
      </c>
      <c r="D658" s="17"/>
      <c r="E658" s="17"/>
      <c r="I658" s="37">
        <f>IFERROR(VLOOKUP(B658,'TB '!$A:$G,7,),0)</f>
        <v>31932.2</v>
      </c>
      <c r="J658" s="37">
        <f>IFERROR(VLOOKUP($B658,'TB '!$4:$1048576,MATCH('List of Ledgers '!J$4,'TB '!$4:$4,0),0),0)</f>
        <v>0</v>
      </c>
      <c r="K658" s="37">
        <f>IFERROR(VLOOKUP($B658,'TB '!$4:$1048576,MATCH('List of Ledgers '!K$4,'TB '!$4:$4,0),0),0)</f>
        <v>0</v>
      </c>
      <c r="L658" s="37">
        <f>IFERROR(VLOOKUP(B658,'TB '!$A:$J,10,),0)</f>
        <v>31932.2</v>
      </c>
      <c r="M658" s="71"/>
      <c r="N658" s="63">
        <f>IFERROR(VLOOKUP($B658,'TB YTD'!$4:$1048576,MATCH('List of Ledgers '!N$4,'TB YTD'!$4:$4,0),0),0)</f>
        <v>0</v>
      </c>
      <c r="O658" s="63">
        <f>IFERROR(VLOOKUP($B658,'TB YTD'!$4:$1048576,MATCH('List of Ledgers '!O$4,'TB YTD'!$4:$4,0),0),0)</f>
        <v>31932.2</v>
      </c>
      <c r="P658" s="63">
        <f>IFERROR(VLOOKUP($B658,'TB YTD'!$4:$1048576,MATCH('List of Ledgers '!P$4,'TB YTD'!$4:$4,0),0),0)</f>
        <v>0</v>
      </c>
      <c r="Q658" s="63">
        <f>IFERROR(VLOOKUP($B658,'TB YTD'!$4:$1048576,MATCH('List of Ledgers '!Q$4,'TB YTD'!$4:$4,0),0),0)</f>
        <v>31932.2</v>
      </c>
      <c r="R658" s="63"/>
    </row>
    <row r="659" spans="1:18" hidden="1" x14ac:dyDescent="0.25">
      <c r="A659" s="106">
        <v>638</v>
      </c>
      <c r="B659" s="8" t="s">
        <v>864</v>
      </c>
      <c r="C659" s="8" t="s">
        <v>207</v>
      </c>
      <c r="D659" s="17" t="s">
        <v>128</v>
      </c>
      <c r="E659" s="17" t="s">
        <v>131</v>
      </c>
      <c r="G659" s="17" t="s">
        <v>3</v>
      </c>
      <c r="H659" s="62"/>
      <c r="I659" s="37">
        <f>IFERROR(VLOOKUP(B659,'TB '!$A:$G,7,),0)</f>
        <v>0</v>
      </c>
      <c r="J659" s="37">
        <f>IFERROR(VLOOKUP($B659,'TB '!$4:$1048576,MATCH('List of Ledgers '!J$4,'TB '!$4:$4,0),0),0)</f>
        <v>0</v>
      </c>
      <c r="K659" s="37">
        <f>IFERROR(VLOOKUP($B659,'TB '!$4:$1048576,MATCH('List of Ledgers '!K$4,'TB '!$4:$4,0),0),0)</f>
        <v>0</v>
      </c>
      <c r="L659" s="37">
        <f>IFERROR(VLOOKUP(B659,'TB '!$A:$J,10,),0)</f>
        <v>0</v>
      </c>
      <c r="M659" s="71"/>
      <c r="N659" s="63">
        <f>IFERROR(VLOOKUP($B659,'TB YTD'!$4:$1048576,MATCH('List of Ledgers '!N$4,'TB YTD'!$4:$4,0),0),0)</f>
        <v>0</v>
      </c>
      <c r="O659" s="63">
        <f>IFERROR(VLOOKUP($B659,'TB YTD'!$4:$1048576,MATCH('List of Ledgers '!O$4,'TB YTD'!$4:$4,0),0),0)</f>
        <v>0</v>
      </c>
      <c r="P659" s="63">
        <f>IFERROR(VLOOKUP($B659,'TB YTD'!$4:$1048576,MATCH('List of Ledgers '!P$4,'TB YTD'!$4:$4,0),0),0)</f>
        <v>0</v>
      </c>
      <c r="Q659" s="63">
        <f>IFERROR(VLOOKUP($B659,'TB YTD'!$4:$1048576,MATCH('List of Ledgers '!Q$4,'TB YTD'!$4:$4,0),0),0)</f>
        <v>0</v>
      </c>
      <c r="R659" s="63"/>
    </row>
    <row r="660" spans="1:18" hidden="1" x14ac:dyDescent="0.25">
      <c r="A660" s="165">
        <f>A659+1</f>
        <v>639</v>
      </c>
      <c r="B660" s="2" t="s">
        <v>1233</v>
      </c>
      <c r="C660" s="2" t="s">
        <v>876</v>
      </c>
      <c r="D660" s="17" t="s">
        <v>151</v>
      </c>
      <c r="E660" s="17" t="s">
        <v>1291</v>
      </c>
      <c r="F660" s="12" t="s">
        <v>1290</v>
      </c>
      <c r="G660" s="17" t="s">
        <v>9</v>
      </c>
      <c r="I660" s="37">
        <f>IFERROR(VLOOKUP(B660,'TB '!$A:$G,7,),0)</f>
        <v>0</v>
      </c>
      <c r="J660" s="37">
        <f>IFERROR(VLOOKUP($B660,'TB '!$4:$1048576,MATCH('List of Ledgers '!J$4,'TB '!$4:$4,0),0),0)</f>
        <v>15332</v>
      </c>
      <c r="K660" s="37">
        <f>IFERROR(VLOOKUP($B660,'TB '!$4:$1048576,MATCH('List of Ledgers '!K$4,'TB '!$4:$4,0),0),0)</f>
        <v>0</v>
      </c>
      <c r="L660" s="37">
        <f>IFERROR(VLOOKUP(B660,'TB '!$A:$J,10,),0)</f>
        <v>15332</v>
      </c>
      <c r="M660" s="71"/>
      <c r="N660" s="63">
        <f>IFERROR(VLOOKUP($B660,'TB YTD'!$4:$1048576,MATCH('List of Ledgers '!N$4,'TB YTD'!$4:$4,0),0),0)</f>
        <v>0</v>
      </c>
      <c r="O660" s="63">
        <f>IFERROR(VLOOKUP($B660,'TB YTD'!$4:$1048576,MATCH('List of Ledgers '!O$4,'TB YTD'!$4:$4,0),0),0)</f>
        <v>27000.6</v>
      </c>
      <c r="P660" s="63">
        <f>IFERROR(VLOOKUP($B660,'TB YTD'!$4:$1048576,MATCH('List of Ledgers '!P$4,'TB YTD'!$4:$4,0),0),0)</f>
        <v>0</v>
      </c>
      <c r="Q660" s="63">
        <f>IFERROR(VLOOKUP($B660,'TB YTD'!$4:$1048576,MATCH('List of Ledgers '!Q$4,'TB YTD'!$4:$4,0),0),0)</f>
        <v>27000.6</v>
      </c>
      <c r="R660" s="63"/>
    </row>
    <row r="661" spans="1:18" hidden="1" x14ac:dyDescent="0.25">
      <c r="A661" s="106">
        <v>639</v>
      </c>
      <c r="B661" s="8" t="s">
        <v>865</v>
      </c>
      <c r="C661" s="8" t="s">
        <v>180</v>
      </c>
      <c r="D661" s="17" t="s">
        <v>128</v>
      </c>
      <c r="E661" s="17" t="s">
        <v>131</v>
      </c>
      <c r="G661" s="17" t="s">
        <v>2</v>
      </c>
      <c r="H661" s="62"/>
      <c r="I661" s="37">
        <f>IFERROR(VLOOKUP(B661,'TB '!$A:$G,7,),0)</f>
        <v>0</v>
      </c>
      <c r="J661" s="37">
        <f>IFERROR(VLOOKUP($B661,'TB '!$4:$1048576,MATCH('List of Ledgers '!J$4,'TB '!$4:$4,0),0),0)</f>
        <v>0</v>
      </c>
      <c r="K661" s="37">
        <f>IFERROR(VLOOKUP($B661,'TB '!$4:$1048576,MATCH('List of Ledgers '!K$4,'TB '!$4:$4,0),0),0)</f>
        <v>0</v>
      </c>
      <c r="L661" s="37">
        <f>IFERROR(VLOOKUP(B661,'TB '!$A:$J,10,),0)</f>
        <v>0</v>
      </c>
      <c r="M661" s="71"/>
      <c r="N661" s="63">
        <f>IFERROR(VLOOKUP($B661,'TB YTD'!$4:$1048576,MATCH('List of Ledgers '!N$4,'TB YTD'!$4:$4,0),0),0)</f>
        <v>0</v>
      </c>
      <c r="O661" s="63">
        <f>IFERROR(VLOOKUP($B661,'TB YTD'!$4:$1048576,MATCH('List of Ledgers '!O$4,'TB YTD'!$4:$4,0),0),0)</f>
        <v>0</v>
      </c>
      <c r="P661" s="63">
        <f>IFERROR(VLOOKUP($B661,'TB YTD'!$4:$1048576,MATCH('List of Ledgers '!P$4,'TB YTD'!$4:$4,0),0),0)</f>
        <v>0</v>
      </c>
      <c r="Q661" s="63">
        <f>IFERROR(VLOOKUP($B661,'TB YTD'!$4:$1048576,MATCH('List of Ledgers '!Q$4,'TB YTD'!$4:$4,0),0),0)</f>
        <v>0</v>
      </c>
      <c r="R661" s="63"/>
    </row>
    <row r="662" spans="1:18" x14ac:dyDescent="0.25">
      <c r="A662" s="165">
        <f>A661+1</f>
        <v>640</v>
      </c>
      <c r="B662" s="2" t="s">
        <v>1273</v>
      </c>
      <c r="C662" s="2" t="s">
        <v>876</v>
      </c>
      <c r="D662" s="17" t="s">
        <v>151</v>
      </c>
      <c r="E662" s="17" t="s">
        <v>152</v>
      </c>
      <c r="F662" s="12" t="s">
        <v>71</v>
      </c>
      <c r="G662" s="17" t="s">
        <v>9</v>
      </c>
      <c r="I662" s="37">
        <f>IFERROR(VLOOKUP(B662,'TB '!$A:$G,7,),0)</f>
        <v>0</v>
      </c>
      <c r="J662" s="37">
        <f>IFERROR(VLOOKUP($B662,'TB '!$4:$1048576,MATCH('List of Ledgers '!J$4,'TB '!$4:$4,0),0),0)</f>
        <v>0</v>
      </c>
      <c r="K662" s="37">
        <f>IFERROR(VLOOKUP($B662,'TB '!$4:$1048576,MATCH('List of Ledgers '!K$4,'TB '!$4:$4,0),0),0)</f>
        <v>0</v>
      </c>
      <c r="L662" s="37">
        <f>IFERROR(VLOOKUP(B662,'TB '!$A:$J,10,),0)</f>
        <v>0</v>
      </c>
      <c r="M662" s="71"/>
      <c r="N662" s="63">
        <f>IFERROR(VLOOKUP($B662,'TB YTD'!$4:$1048576,MATCH('List of Ledgers '!N$4,'TB YTD'!$4:$4,0),0),0)</f>
        <v>0</v>
      </c>
      <c r="O662" s="63">
        <f>IFERROR(VLOOKUP($B662,'TB YTD'!$4:$1048576,MATCH('List of Ledgers '!O$4,'TB YTD'!$4:$4,0),0),0)</f>
        <v>10297</v>
      </c>
      <c r="P662" s="63">
        <f>IFERROR(VLOOKUP($B662,'TB YTD'!$4:$1048576,MATCH('List of Ledgers '!P$4,'TB YTD'!$4:$4,0),0),0)</f>
        <v>0</v>
      </c>
      <c r="Q662" s="63">
        <f>IFERROR(VLOOKUP($B662,'TB YTD'!$4:$1048576,MATCH('List of Ledgers '!Q$4,'TB YTD'!$4:$4,0),0),0)</f>
        <v>10297</v>
      </c>
      <c r="R662" s="63"/>
    </row>
    <row r="663" spans="1:18" hidden="1" x14ac:dyDescent="0.25">
      <c r="A663" s="106">
        <v>640</v>
      </c>
      <c r="B663" s="8" t="s">
        <v>866</v>
      </c>
      <c r="C663" s="8" t="s">
        <v>867</v>
      </c>
      <c r="D663" s="17" t="s">
        <v>128</v>
      </c>
      <c r="E663" s="17" t="s">
        <v>134</v>
      </c>
      <c r="G663" s="17" t="s">
        <v>2</v>
      </c>
      <c r="H663" s="62"/>
      <c r="I663" s="37">
        <f>IFERROR(VLOOKUP(B663,'TB '!$A:$G,7,),0)</f>
        <v>0</v>
      </c>
      <c r="J663" s="37">
        <f>IFERROR(VLOOKUP($B663,'TB '!$4:$1048576,MATCH('List of Ledgers '!J$4,'TB '!$4:$4,0),0),0)</f>
        <v>0</v>
      </c>
      <c r="K663" s="37">
        <f>IFERROR(VLOOKUP($B663,'TB '!$4:$1048576,MATCH('List of Ledgers '!K$4,'TB '!$4:$4,0),0),0)</f>
        <v>0</v>
      </c>
      <c r="L663" s="37">
        <f>IFERROR(VLOOKUP(B663,'TB '!$A:$J,10,),0)</f>
        <v>0</v>
      </c>
      <c r="M663" s="71"/>
      <c r="N663" s="63">
        <f>IFERROR(VLOOKUP($B663,'TB YTD'!$4:$1048576,MATCH('List of Ledgers '!N$4,'TB YTD'!$4:$4,0),0),0)</f>
        <v>0</v>
      </c>
      <c r="O663" s="63">
        <f>IFERROR(VLOOKUP($B663,'TB YTD'!$4:$1048576,MATCH('List of Ledgers '!O$4,'TB YTD'!$4:$4,0),0),0)</f>
        <v>0</v>
      </c>
      <c r="P663" s="63">
        <f>IFERROR(VLOOKUP($B663,'TB YTD'!$4:$1048576,MATCH('List of Ledgers '!P$4,'TB YTD'!$4:$4,0),0),0)</f>
        <v>0</v>
      </c>
      <c r="Q663" s="63">
        <f>IFERROR(VLOOKUP($B663,'TB YTD'!$4:$1048576,MATCH('List of Ledgers '!Q$4,'TB YTD'!$4:$4,0),0),0)</f>
        <v>0</v>
      </c>
      <c r="R663" s="63"/>
    </row>
    <row r="664" spans="1:18" x14ac:dyDescent="0.25">
      <c r="A664" s="165">
        <f>A663+1</f>
        <v>641</v>
      </c>
      <c r="B664" s="2" t="s">
        <v>1234</v>
      </c>
      <c r="C664" s="2" t="s">
        <v>876</v>
      </c>
      <c r="D664" s="17" t="s">
        <v>151</v>
      </c>
      <c r="E664" s="17" t="s">
        <v>1291</v>
      </c>
      <c r="F664" s="12" t="s">
        <v>71</v>
      </c>
      <c r="G664" s="17" t="s">
        <v>9</v>
      </c>
      <c r="I664" s="37">
        <f>IFERROR(VLOOKUP(B664,'TB '!$A:$G,7,),0)</f>
        <v>0</v>
      </c>
      <c r="J664" s="37">
        <f>IFERROR(VLOOKUP($B664,'TB '!$4:$1048576,MATCH('List of Ledgers '!J$4,'TB '!$4:$4,0),0),0)</f>
        <v>3500</v>
      </c>
      <c r="K664" s="37">
        <f>IFERROR(VLOOKUP($B664,'TB '!$4:$1048576,MATCH('List of Ledgers '!K$4,'TB '!$4:$4,0),0),0)</f>
        <v>0</v>
      </c>
      <c r="L664" s="37">
        <f>IFERROR(VLOOKUP(B664,'TB '!$A:$J,10,),0)</f>
        <v>3500</v>
      </c>
      <c r="M664" s="71"/>
      <c r="N664" s="63">
        <f>IFERROR(VLOOKUP($B664,'TB YTD'!$4:$1048576,MATCH('List of Ledgers '!N$4,'TB YTD'!$4:$4,0),0),0)</f>
        <v>0</v>
      </c>
      <c r="O664" s="63">
        <f>IFERROR(VLOOKUP($B664,'TB YTD'!$4:$1048576,MATCH('List of Ledgers '!O$4,'TB YTD'!$4:$4,0),0),0)</f>
        <v>24650</v>
      </c>
      <c r="P664" s="63">
        <f>IFERROR(VLOOKUP($B664,'TB YTD'!$4:$1048576,MATCH('List of Ledgers '!P$4,'TB YTD'!$4:$4,0),0),0)</f>
        <v>0</v>
      </c>
      <c r="Q664" s="63">
        <f>IFERROR(VLOOKUP($B664,'TB YTD'!$4:$1048576,MATCH('List of Ledgers '!Q$4,'TB YTD'!$4:$4,0),0),0)</f>
        <v>24650</v>
      </c>
      <c r="R664" s="63"/>
    </row>
    <row r="665" spans="1:18" hidden="1" x14ac:dyDescent="0.25">
      <c r="A665" s="106">
        <v>641</v>
      </c>
      <c r="B665" s="8" t="s">
        <v>868</v>
      </c>
      <c r="C665" s="8" t="s">
        <v>140</v>
      </c>
      <c r="D665" s="17" t="s">
        <v>128</v>
      </c>
      <c r="E665" s="17" t="s">
        <v>131</v>
      </c>
      <c r="G665" s="17" t="s">
        <v>7</v>
      </c>
      <c r="H665" s="62"/>
      <c r="I665" s="37">
        <f>IFERROR(VLOOKUP(B665,'TB '!$A:$G,7,),0)</f>
        <v>0</v>
      </c>
      <c r="J665" s="37">
        <f>IFERROR(VLOOKUP($B665,'TB '!$4:$1048576,MATCH('List of Ledgers '!J$4,'TB '!$4:$4,0),0),0)</f>
        <v>0</v>
      </c>
      <c r="K665" s="37">
        <f>IFERROR(VLOOKUP($B665,'TB '!$4:$1048576,MATCH('List of Ledgers '!K$4,'TB '!$4:$4,0),0),0)</f>
        <v>0</v>
      </c>
      <c r="L665" s="37">
        <f>IFERROR(VLOOKUP(B665,'TB '!$A:$J,10,),0)</f>
        <v>0</v>
      </c>
      <c r="M665" s="71"/>
      <c r="N665" s="63">
        <f>IFERROR(VLOOKUP($B665,'TB YTD'!$4:$1048576,MATCH('List of Ledgers '!N$4,'TB YTD'!$4:$4,0),0),0)</f>
        <v>0</v>
      </c>
      <c r="O665" s="63">
        <f>IFERROR(VLOOKUP($B665,'TB YTD'!$4:$1048576,MATCH('List of Ledgers '!O$4,'TB YTD'!$4:$4,0),0),0)</f>
        <v>0</v>
      </c>
      <c r="P665" s="63">
        <f>IFERROR(VLOOKUP($B665,'TB YTD'!$4:$1048576,MATCH('List of Ledgers '!P$4,'TB YTD'!$4:$4,0),0),0)</f>
        <v>0</v>
      </c>
      <c r="Q665" s="63">
        <f>IFERROR(VLOOKUP($B665,'TB YTD'!$4:$1048576,MATCH('List of Ledgers '!Q$4,'TB YTD'!$4:$4,0),0),0)</f>
        <v>0</v>
      </c>
      <c r="R665" s="63"/>
    </row>
    <row r="666" spans="1:18" hidden="1" x14ac:dyDescent="0.25">
      <c r="A666" s="165">
        <f>A665+1</f>
        <v>642</v>
      </c>
      <c r="B666" s="2" t="s">
        <v>1235</v>
      </c>
      <c r="C666" s="2" t="s">
        <v>876</v>
      </c>
      <c r="D666" s="17" t="s">
        <v>151</v>
      </c>
      <c r="E666" s="17" t="s">
        <v>152</v>
      </c>
      <c r="F666" s="12" t="s">
        <v>49</v>
      </c>
      <c r="G666" s="17" t="s">
        <v>9</v>
      </c>
      <c r="I666" s="37">
        <f>IFERROR(VLOOKUP(B666,'TB '!$A:$G,7,),0)</f>
        <v>0</v>
      </c>
      <c r="J666" s="37">
        <f>IFERROR(VLOOKUP($B666,'TB '!$4:$1048576,MATCH('List of Ledgers '!J$4,'TB '!$4:$4,0),0),0)</f>
        <v>1160</v>
      </c>
      <c r="K666" s="37">
        <f>IFERROR(VLOOKUP($B666,'TB '!$4:$1048576,MATCH('List of Ledgers '!K$4,'TB '!$4:$4,0),0),0)</f>
        <v>0</v>
      </c>
      <c r="L666" s="37">
        <f>IFERROR(VLOOKUP(B666,'TB '!$A:$J,10,),0)</f>
        <v>1160</v>
      </c>
      <c r="M666" s="71"/>
      <c r="N666" s="63">
        <f>IFERROR(VLOOKUP($B666,'TB YTD'!$4:$1048576,MATCH('List of Ledgers '!N$4,'TB YTD'!$4:$4,0),0),0)</f>
        <v>0</v>
      </c>
      <c r="O666" s="63">
        <f>IFERROR(VLOOKUP($B666,'TB YTD'!$4:$1048576,MATCH('List of Ledgers '!O$4,'TB YTD'!$4:$4,0),0),0)</f>
        <v>2210</v>
      </c>
      <c r="P666" s="63">
        <f>IFERROR(VLOOKUP($B666,'TB YTD'!$4:$1048576,MATCH('List of Ledgers '!P$4,'TB YTD'!$4:$4,0),0),0)</f>
        <v>0</v>
      </c>
      <c r="Q666" s="63">
        <f>IFERROR(VLOOKUP($B666,'TB YTD'!$4:$1048576,MATCH('List of Ledgers '!Q$4,'TB YTD'!$4:$4,0),0),0)</f>
        <v>2210</v>
      </c>
      <c r="R666" s="63"/>
    </row>
    <row r="667" spans="1:18" hidden="1" x14ac:dyDescent="0.25">
      <c r="A667" s="106">
        <v>642</v>
      </c>
      <c r="B667" s="8" t="s">
        <v>869</v>
      </c>
      <c r="C667" s="8" t="s">
        <v>314</v>
      </c>
      <c r="D667" s="17"/>
      <c r="E667" s="17"/>
      <c r="G667" s="17"/>
      <c r="H667" s="62"/>
      <c r="I667" s="37">
        <f>IFERROR(VLOOKUP(B667,'TB '!$A:$G,7,),0)</f>
        <v>13800</v>
      </c>
      <c r="J667" s="37">
        <f>IFERROR(VLOOKUP($B667,'TB '!$4:$1048576,MATCH('List of Ledgers '!J$4,'TB '!$4:$4,0),0),0)</f>
        <v>0</v>
      </c>
      <c r="K667" s="37">
        <f>IFERROR(VLOOKUP($B667,'TB '!$4:$1048576,MATCH('List of Ledgers '!K$4,'TB '!$4:$4,0),0),0)</f>
        <v>0</v>
      </c>
      <c r="L667" s="37">
        <f>IFERROR(VLOOKUP(B667,'TB '!$A:$J,10,),0)</f>
        <v>13800</v>
      </c>
      <c r="M667" s="71"/>
      <c r="N667" s="63">
        <f>IFERROR(VLOOKUP($B667,'TB YTD'!$4:$1048576,MATCH('List of Ledgers '!N$4,'TB YTD'!$4:$4,0),0),0)</f>
        <v>13800</v>
      </c>
      <c r="O667" s="63">
        <f>IFERROR(VLOOKUP($B667,'TB YTD'!$4:$1048576,MATCH('List of Ledgers '!O$4,'TB YTD'!$4:$4,0),0),0)</f>
        <v>0</v>
      </c>
      <c r="P667" s="63">
        <f>IFERROR(VLOOKUP($B667,'TB YTD'!$4:$1048576,MATCH('List of Ledgers '!P$4,'TB YTD'!$4:$4,0),0),0)</f>
        <v>0</v>
      </c>
      <c r="Q667" s="63">
        <f>IFERROR(VLOOKUP($B667,'TB YTD'!$4:$1048576,MATCH('List of Ledgers '!Q$4,'TB YTD'!$4:$4,0),0),0)</f>
        <v>13800</v>
      </c>
      <c r="R667" s="63"/>
    </row>
    <row r="668" spans="1:18" hidden="1" x14ac:dyDescent="0.25">
      <c r="A668" s="165">
        <f>A667+1</f>
        <v>643</v>
      </c>
      <c r="B668" s="2" t="s">
        <v>1236</v>
      </c>
      <c r="C668" s="2" t="s">
        <v>1079</v>
      </c>
      <c r="D668" s="17" t="s">
        <v>128</v>
      </c>
      <c r="E668" s="17" t="s">
        <v>134</v>
      </c>
      <c r="G668" s="12" t="s">
        <v>9</v>
      </c>
      <c r="I668" s="37">
        <f>IFERROR(VLOOKUP(B668,'TB '!$A:$G,7,),0)</f>
        <v>5781725.4299999997</v>
      </c>
      <c r="J668" s="37">
        <f>IFERROR(VLOOKUP($B668,'TB '!$4:$1048576,MATCH('List of Ledgers '!J$4,'TB '!$4:$4,0),0),0)</f>
        <v>11053138</v>
      </c>
      <c r="K668" s="37">
        <f>IFERROR(VLOOKUP($B668,'TB '!$4:$1048576,MATCH('List of Ledgers '!K$4,'TB '!$4:$4,0),0),0)</f>
        <v>10672477.939999999</v>
      </c>
      <c r="L668" s="37">
        <f>IFERROR(VLOOKUP(B668,'TB '!$A:$J,10,),0)</f>
        <v>6162385.4900000002</v>
      </c>
      <c r="M668" s="71"/>
      <c r="N668" s="63">
        <f>IFERROR(VLOOKUP($B668,'TB YTD'!$4:$1048576,MATCH('List of Ledgers '!N$4,'TB YTD'!$4:$4,0),0),0)</f>
        <v>0</v>
      </c>
      <c r="O668" s="63">
        <f>IFERROR(VLOOKUP($B668,'TB YTD'!$4:$1048576,MATCH('List of Ledgers '!O$4,'TB YTD'!$4:$4,0),0),0)</f>
        <v>20793538.84</v>
      </c>
      <c r="P668" s="63">
        <f>IFERROR(VLOOKUP($B668,'TB YTD'!$4:$1048576,MATCH('List of Ledgers '!P$4,'TB YTD'!$4:$4,0),0),0)</f>
        <v>14631153.35</v>
      </c>
      <c r="Q668" s="63">
        <f>IFERROR(VLOOKUP($B668,'TB YTD'!$4:$1048576,MATCH('List of Ledgers '!Q$4,'TB YTD'!$4:$4,0),0),0)</f>
        <v>6162385.4900000002</v>
      </c>
      <c r="R668" s="63"/>
    </row>
    <row r="669" spans="1:18" hidden="1" x14ac:dyDescent="0.25">
      <c r="A669" s="106">
        <v>643</v>
      </c>
      <c r="B669" s="8" t="s">
        <v>870</v>
      </c>
      <c r="C669" s="8" t="s">
        <v>158</v>
      </c>
      <c r="D669" s="17" t="s">
        <v>128</v>
      </c>
      <c r="E669" s="17" t="s">
        <v>131</v>
      </c>
      <c r="G669" s="17" t="s">
        <v>4</v>
      </c>
      <c r="H669" s="62"/>
      <c r="I669" s="37">
        <f>IFERROR(VLOOKUP(B669,'TB '!$A:$G,7,),0)</f>
        <v>0</v>
      </c>
      <c r="J669" s="37">
        <f>IFERROR(VLOOKUP($B669,'TB '!$4:$1048576,MATCH('List of Ledgers '!J$4,'TB '!$4:$4,0),0),0)</f>
        <v>0</v>
      </c>
      <c r="K669" s="37">
        <f>IFERROR(VLOOKUP($B669,'TB '!$4:$1048576,MATCH('List of Ledgers '!K$4,'TB '!$4:$4,0),0),0)</f>
        <v>0</v>
      </c>
      <c r="L669" s="37">
        <f>IFERROR(VLOOKUP(B669,'TB '!$A:$J,10,),0)</f>
        <v>0</v>
      </c>
      <c r="M669" s="71"/>
      <c r="N669" s="63">
        <f>IFERROR(VLOOKUP($B669,'TB YTD'!$4:$1048576,MATCH('List of Ledgers '!N$4,'TB YTD'!$4:$4,0),0),0)</f>
        <v>0</v>
      </c>
      <c r="O669" s="63">
        <f>IFERROR(VLOOKUP($B669,'TB YTD'!$4:$1048576,MATCH('List of Ledgers '!O$4,'TB YTD'!$4:$4,0),0),0)</f>
        <v>45500</v>
      </c>
      <c r="P669" s="63">
        <f>IFERROR(VLOOKUP($B669,'TB YTD'!$4:$1048576,MATCH('List of Ledgers '!P$4,'TB YTD'!$4:$4,0),0),0)</f>
        <v>45500</v>
      </c>
      <c r="Q669" s="63">
        <f>IFERROR(VLOOKUP($B669,'TB YTD'!$4:$1048576,MATCH('List of Ledgers '!Q$4,'TB YTD'!$4:$4,0),0),0)</f>
        <v>0</v>
      </c>
      <c r="R669" s="63"/>
    </row>
    <row r="670" spans="1:18" hidden="1" x14ac:dyDescent="0.25">
      <c r="A670" s="165">
        <f>A669+1</f>
        <v>644</v>
      </c>
      <c r="B670" s="2" t="s">
        <v>1237</v>
      </c>
      <c r="C670" s="2" t="s">
        <v>876</v>
      </c>
      <c r="D670" s="17" t="s">
        <v>151</v>
      </c>
      <c r="E670" s="17" t="s">
        <v>1291</v>
      </c>
      <c r="F670" s="12" t="s">
        <v>1290</v>
      </c>
      <c r="G670" s="17" t="s">
        <v>9</v>
      </c>
      <c r="I670" s="37">
        <f>IFERROR(VLOOKUP(B670,'TB '!$A:$G,7,),0)</f>
        <v>0</v>
      </c>
      <c r="J670" s="37">
        <f>IFERROR(VLOOKUP($B670,'TB '!$4:$1048576,MATCH('List of Ledgers '!J$4,'TB '!$4:$4,0),0),0)</f>
        <v>2800</v>
      </c>
      <c r="K670" s="37">
        <f>IFERROR(VLOOKUP($B670,'TB '!$4:$1048576,MATCH('List of Ledgers '!K$4,'TB '!$4:$4,0),0),0)</f>
        <v>0</v>
      </c>
      <c r="L670" s="37">
        <f>IFERROR(VLOOKUP(B670,'TB '!$A:$J,10,),0)</f>
        <v>2800</v>
      </c>
      <c r="M670" s="71"/>
      <c r="N670" s="63">
        <f>IFERROR(VLOOKUP($B670,'TB YTD'!$4:$1048576,MATCH('List of Ledgers '!N$4,'TB YTD'!$4:$4,0),0),0)</f>
        <v>0</v>
      </c>
      <c r="O670" s="63">
        <f>IFERROR(VLOOKUP($B670,'TB YTD'!$4:$1048576,MATCH('List of Ledgers '!O$4,'TB YTD'!$4:$4,0),0),0)</f>
        <v>22400</v>
      </c>
      <c r="P670" s="63">
        <f>IFERROR(VLOOKUP($B670,'TB YTD'!$4:$1048576,MATCH('List of Ledgers '!P$4,'TB YTD'!$4:$4,0),0),0)</f>
        <v>0</v>
      </c>
      <c r="Q670" s="63">
        <f>IFERROR(VLOOKUP($B670,'TB YTD'!$4:$1048576,MATCH('List of Ledgers '!Q$4,'TB YTD'!$4:$4,0),0),0)</f>
        <v>22400</v>
      </c>
      <c r="R670" s="63"/>
    </row>
    <row r="671" spans="1:18" hidden="1" x14ac:dyDescent="0.25">
      <c r="A671" s="106">
        <v>644</v>
      </c>
      <c r="B671" s="8" t="s">
        <v>871</v>
      </c>
      <c r="C671" s="8" t="s">
        <v>872</v>
      </c>
      <c r="D671" s="17" t="s">
        <v>151</v>
      </c>
      <c r="E671" s="17" t="s">
        <v>152</v>
      </c>
      <c r="F671" s="12" t="s">
        <v>63</v>
      </c>
      <c r="G671" s="17" t="s">
        <v>7</v>
      </c>
      <c r="H671" s="62"/>
      <c r="I671" s="37">
        <f>IFERROR(VLOOKUP(B671,'TB '!$A:$G,7,),0)</f>
        <v>0</v>
      </c>
      <c r="J671" s="37">
        <f>IFERROR(VLOOKUP($B671,'TB '!$4:$1048576,MATCH('List of Ledgers '!J$4,'TB '!$4:$4,0),0),0)</f>
        <v>0</v>
      </c>
      <c r="K671" s="37">
        <f>IFERROR(VLOOKUP($B671,'TB '!$4:$1048576,MATCH('List of Ledgers '!K$4,'TB '!$4:$4,0),0),0)</f>
        <v>0</v>
      </c>
      <c r="L671" s="37">
        <f>IFERROR(VLOOKUP(B671,'TB '!$A:$J,10,),0)</f>
        <v>0</v>
      </c>
      <c r="M671" s="71"/>
      <c r="N671" s="63">
        <f>IFERROR(VLOOKUP($B671,'TB YTD'!$4:$1048576,MATCH('List of Ledgers '!N$4,'TB YTD'!$4:$4,0),0),0)</f>
        <v>0</v>
      </c>
      <c r="O671" s="63">
        <f>IFERROR(VLOOKUP($B671,'TB YTD'!$4:$1048576,MATCH('List of Ledgers '!O$4,'TB YTD'!$4:$4,0),0),0)</f>
        <v>0</v>
      </c>
      <c r="P671" s="63">
        <f>IFERROR(VLOOKUP($B671,'TB YTD'!$4:$1048576,MATCH('List of Ledgers '!P$4,'TB YTD'!$4:$4,0),0),0)</f>
        <v>0</v>
      </c>
      <c r="Q671" s="63">
        <f>IFERROR(VLOOKUP($B671,'TB YTD'!$4:$1048576,MATCH('List of Ledgers '!Q$4,'TB YTD'!$4:$4,0),0),0)</f>
        <v>0</v>
      </c>
      <c r="R671" s="63"/>
    </row>
    <row r="672" spans="1:18" hidden="1" x14ac:dyDescent="0.25">
      <c r="A672" s="165">
        <f>A671+1</f>
        <v>645</v>
      </c>
      <c r="B672" s="2" t="s">
        <v>1238</v>
      </c>
      <c r="C672" s="2" t="s">
        <v>876</v>
      </c>
      <c r="D672" s="17" t="s">
        <v>151</v>
      </c>
      <c r="E672" s="17" t="s">
        <v>152</v>
      </c>
      <c r="F672" s="12" t="s">
        <v>17</v>
      </c>
      <c r="G672" s="17" t="s">
        <v>9</v>
      </c>
      <c r="I672" s="37">
        <f>IFERROR(VLOOKUP(B672,'TB '!$A:$G,7,),0)</f>
        <v>0</v>
      </c>
      <c r="J672" s="37">
        <f>IFERROR(VLOOKUP($B672,'TB '!$4:$1048576,MATCH('List of Ledgers '!J$4,'TB '!$4:$4,0),0),0)</f>
        <v>0</v>
      </c>
      <c r="K672" s="37">
        <f>IFERROR(VLOOKUP($B672,'TB '!$4:$1048576,MATCH('List of Ledgers '!K$4,'TB '!$4:$4,0),0),0)</f>
        <v>0</v>
      </c>
      <c r="L672" s="37">
        <f>IFERROR(VLOOKUP(B672,'TB '!$A:$J,10,),0)</f>
        <v>0</v>
      </c>
      <c r="M672" s="71"/>
      <c r="N672" s="63">
        <f>IFERROR(VLOOKUP($B672,'TB YTD'!$4:$1048576,MATCH('List of Ledgers '!N$4,'TB YTD'!$4:$4,0),0),0)</f>
        <v>0</v>
      </c>
      <c r="O672" s="63">
        <f>IFERROR(VLOOKUP($B672,'TB YTD'!$4:$1048576,MATCH('List of Ledgers '!O$4,'TB YTD'!$4:$4,0),0),0)</f>
        <v>130800</v>
      </c>
      <c r="P672" s="63">
        <f>IFERROR(VLOOKUP($B672,'TB YTD'!$4:$1048576,MATCH('List of Ledgers '!P$4,'TB YTD'!$4:$4,0),0),0)</f>
        <v>0</v>
      </c>
      <c r="Q672" s="63">
        <f>IFERROR(VLOOKUP($B672,'TB YTD'!$4:$1048576,MATCH('List of Ledgers '!Q$4,'TB YTD'!$4:$4,0),0),0)</f>
        <v>130800</v>
      </c>
      <c r="R672" s="63"/>
    </row>
    <row r="673" spans="1:18" hidden="1" x14ac:dyDescent="0.25">
      <c r="A673" s="106">
        <v>645</v>
      </c>
      <c r="B673" s="8" t="s">
        <v>873</v>
      </c>
      <c r="C673" s="8" t="s">
        <v>234</v>
      </c>
      <c r="D673" s="17" t="s">
        <v>151</v>
      </c>
      <c r="E673" s="17" t="s">
        <v>152</v>
      </c>
      <c r="F673" s="12" t="s">
        <v>63</v>
      </c>
      <c r="G673" s="17" t="s">
        <v>2</v>
      </c>
      <c r="H673" s="62"/>
      <c r="I673" s="37">
        <f>IFERROR(VLOOKUP(B673,'TB '!$A:$G,7,),0)</f>
        <v>0</v>
      </c>
      <c r="J673" s="37">
        <f>IFERROR(VLOOKUP($B673,'TB '!$4:$1048576,MATCH('List of Ledgers '!J$4,'TB '!$4:$4,0),0),0)</f>
        <v>0</v>
      </c>
      <c r="K673" s="37">
        <f>IFERROR(VLOOKUP($B673,'TB '!$4:$1048576,MATCH('List of Ledgers '!K$4,'TB '!$4:$4,0),0),0)</f>
        <v>0</v>
      </c>
      <c r="L673" s="37">
        <f>IFERROR(VLOOKUP(B673,'TB '!$A:$J,10,),0)</f>
        <v>0</v>
      </c>
      <c r="M673" s="71"/>
      <c r="N673" s="63">
        <f>IFERROR(VLOOKUP($B673,'TB YTD'!$4:$1048576,MATCH('List of Ledgers '!N$4,'TB YTD'!$4:$4,0),0),0)</f>
        <v>0</v>
      </c>
      <c r="O673" s="63">
        <f>IFERROR(VLOOKUP($B673,'TB YTD'!$4:$1048576,MATCH('List of Ledgers '!O$4,'TB YTD'!$4:$4,0),0),0)</f>
        <v>0</v>
      </c>
      <c r="P673" s="63">
        <f>IFERROR(VLOOKUP($B673,'TB YTD'!$4:$1048576,MATCH('List of Ledgers '!P$4,'TB YTD'!$4:$4,0),0),0)</f>
        <v>0</v>
      </c>
      <c r="Q673" s="63">
        <f>IFERROR(VLOOKUP($B673,'TB YTD'!$4:$1048576,MATCH('List of Ledgers '!Q$4,'TB YTD'!$4:$4,0),0),0)</f>
        <v>0</v>
      </c>
      <c r="R673" s="63"/>
    </row>
    <row r="674" spans="1:18" hidden="1" x14ac:dyDescent="0.25">
      <c r="A674" s="165">
        <f>A673+1</f>
        <v>646</v>
      </c>
      <c r="B674" s="2" t="s">
        <v>1239</v>
      </c>
      <c r="C674" s="2" t="s">
        <v>437</v>
      </c>
      <c r="D674" s="17"/>
      <c r="E674" s="17"/>
      <c r="I674" s="37">
        <f>IFERROR(VLOOKUP(B674,'TB '!$A:$G,7,),0)</f>
        <v>4289384.88</v>
      </c>
      <c r="J674" s="37">
        <f>IFERROR(VLOOKUP($B674,'TB '!$4:$1048576,MATCH('List of Ledgers '!J$4,'TB '!$4:$4,0),0),0)</f>
        <v>0</v>
      </c>
      <c r="K674" s="37">
        <f>IFERROR(VLOOKUP($B674,'TB '!$4:$1048576,MATCH('List of Ledgers '!K$4,'TB '!$4:$4,0),0),0)</f>
        <v>0</v>
      </c>
      <c r="L674" s="37">
        <f>IFERROR(VLOOKUP(B674,'TB '!$A:$J,10,),0)</f>
        <v>4289384.88</v>
      </c>
      <c r="M674" s="71"/>
      <c r="N674" s="63">
        <f>IFERROR(VLOOKUP($B674,'TB YTD'!$4:$1048576,MATCH('List of Ledgers '!N$4,'TB YTD'!$4:$4,0),0),0)</f>
        <v>0</v>
      </c>
      <c r="O674" s="63">
        <f>IFERROR(VLOOKUP($B674,'TB YTD'!$4:$1048576,MATCH('List of Ledgers '!O$4,'TB YTD'!$4:$4,0),0),0)</f>
        <v>5000000</v>
      </c>
      <c r="P674" s="63">
        <f>IFERROR(VLOOKUP($B674,'TB YTD'!$4:$1048576,MATCH('List of Ledgers '!P$4,'TB YTD'!$4:$4,0),0),0)</f>
        <v>710615.12</v>
      </c>
      <c r="Q674" s="63">
        <f>IFERROR(VLOOKUP($B674,'TB YTD'!$4:$1048576,MATCH('List of Ledgers '!Q$4,'TB YTD'!$4:$4,0),0),0)</f>
        <v>4289384.88</v>
      </c>
      <c r="R674" s="63"/>
    </row>
    <row r="675" spans="1:18" hidden="1" x14ac:dyDescent="0.25">
      <c r="A675" s="106">
        <v>646</v>
      </c>
      <c r="B675" s="8" t="s">
        <v>874</v>
      </c>
      <c r="C675" s="8" t="s">
        <v>240</v>
      </c>
      <c r="D675" s="17" t="s">
        <v>151</v>
      </c>
      <c r="E675" s="17" t="s">
        <v>152</v>
      </c>
      <c r="F675" s="12" t="s">
        <v>63</v>
      </c>
      <c r="G675" s="17" t="s">
        <v>3</v>
      </c>
      <c r="H675" s="62"/>
      <c r="I675" s="37">
        <f>IFERROR(VLOOKUP(B675,'TB '!$A:$G,7,),0)</f>
        <v>0</v>
      </c>
      <c r="J675" s="37">
        <f>IFERROR(VLOOKUP($B675,'TB '!$4:$1048576,MATCH('List of Ledgers '!J$4,'TB '!$4:$4,0),0),0)</f>
        <v>0</v>
      </c>
      <c r="K675" s="37">
        <f>IFERROR(VLOOKUP($B675,'TB '!$4:$1048576,MATCH('List of Ledgers '!K$4,'TB '!$4:$4,0),0),0)</f>
        <v>0</v>
      </c>
      <c r="L675" s="37">
        <f>IFERROR(VLOOKUP(B675,'TB '!$A:$J,10,),0)</f>
        <v>0</v>
      </c>
      <c r="M675" s="71"/>
      <c r="N675" s="63">
        <f>IFERROR(VLOOKUP($B675,'TB YTD'!$4:$1048576,MATCH('List of Ledgers '!N$4,'TB YTD'!$4:$4,0),0),0)</f>
        <v>0</v>
      </c>
      <c r="O675" s="63">
        <f>IFERROR(VLOOKUP($B675,'TB YTD'!$4:$1048576,MATCH('List of Ledgers '!O$4,'TB YTD'!$4:$4,0),0),0)</f>
        <v>900</v>
      </c>
      <c r="P675" s="63">
        <f>IFERROR(VLOOKUP($B675,'TB YTD'!$4:$1048576,MATCH('List of Ledgers '!P$4,'TB YTD'!$4:$4,0),0),0)</f>
        <v>0</v>
      </c>
      <c r="Q675" s="63">
        <f>IFERROR(VLOOKUP($B675,'TB YTD'!$4:$1048576,MATCH('List of Ledgers '!Q$4,'TB YTD'!$4:$4,0),0),0)</f>
        <v>900</v>
      </c>
      <c r="R675" s="63"/>
    </row>
    <row r="676" spans="1:18" hidden="1" x14ac:dyDescent="0.25">
      <c r="A676" s="165">
        <f>A675+1</f>
        <v>647</v>
      </c>
      <c r="B676" s="2" t="s">
        <v>1240</v>
      </c>
      <c r="C676" s="2" t="s">
        <v>437</v>
      </c>
      <c r="D676" s="17"/>
      <c r="E676" s="17"/>
      <c r="I676" s="37">
        <f>IFERROR(VLOOKUP(B676,'TB '!$A:$G,7,),0)</f>
        <v>-4716</v>
      </c>
      <c r="J676" s="37">
        <f>IFERROR(VLOOKUP($B676,'TB '!$4:$1048576,MATCH('List of Ledgers '!J$4,'TB '!$4:$4,0),0),0)</f>
        <v>0</v>
      </c>
      <c r="K676" s="37">
        <f>IFERROR(VLOOKUP($B676,'TB '!$4:$1048576,MATCH('List of Ledgers '!K$4,'TB '!$4:$4,0),0),0)</f>
        <v>0</v>
      </c>
      <c r="L676" s="37">
        <f>IFERROR(VLOOKUP(B676,'TB '!$A:$J,10,),0)</f>
        <v>-4716</v>
      </c>
      <c r="M676" s="71"/>
      <c r="N676" s="63">
        <f>IFERROR(VLOOKUP($B676,'TB YTD'!$4:$1048576,MATCH('List of Ledgers '!N$4,'TB YTD'!$4:$4,0),0),0)</f>
        <v>0</v>
      </c>
      <c r="O676" s="63">
        <f>IFERROR(VLOOKUP($B676,'TB YTD'!$4:$1048576,MATCH('List of Ledgers '!O$4,'TB YTD'!$4:$4,0),0),0)</f>
        <v>5000000</v>
      </c>
      <c r="P676" s="63">
        <f>IFERROR(VLOOKUP($B676,'TB YTD'!$4:$1048576,MATCH('List of Ledgers '!P$4,'TB YTD'!$4:$4,0),0),0)</f>
        <v>5004716</v>
      </c>
      <c r="Q676" s="63">
        <f>IFERROR(VLOOKUP($B676,'TB YTD'!$4:$1048576,MATCH('List of Ledgers '!Q$4,'TB YTD'!$4:$4,0),0),0)</f>
        <v>-4716</v>
      </c>
      <c r="R676" s="63"/>
    </row>
    <row r="677" spans="1:18" hidden="1" x14ac:dyDescent="0.25">
      <c r="A677" s="106">
        <v>647</v>
      </c>
      <c r="B677" s="8" t="s">
        <v>875</v>
      </c>
      <c r="C677" s="8" t="s">
        <v>236</v>
      </c>
      <c r="D677" s="17" t="s">
        <v>151</v>
      </c>
      <c r="E677" s="17" t="s">
        <v>152</v>
      </c>
      <c r="F677" s="12" t="s">
        <v>63</v>
      </c>
      <c r="G677" s="17" t="s">
        <v>7</v>
      </c>
      <c r="H677" s="62"/>
      <c r="I677" s="37">
        <f>IFERROR(VLOOKUP(B677,'TB '!$A:$G,7,),0)</f>
        <v>0</v>
      </c>
      <c r="J677" s="37">
        <f>IFERROR(VLOOKUP($B677,'TB '!$4:$1048576,MATCH('List of Ledgers '!J$4,'TB '!$4:$4,0),0),0)</f>
        <v>0</v>
      </c>
      <c r="K677" s="37">
        <f>IFERROR(VLOOKUP($B677,'TB '!$4:$1048576,MATCH('List of Ledgers '!K$4,'TB '!$4:$4,0),0),0)</f>
        <v>0</v>
      </c>
      <c r="L677" s="37">
        <f>IFERROR(VLOOKUP(B677,'TB '!$A:$J,10,),0)</f>
        <v>0</v>
      </c>
      <c r="M677" s="71"/>
      <c r="N677" s="63">
        <f>IFERROR(VLOOKUP($B677,'TB YTD'!$4:$1048576,MATCH('List of Ledgers '!N$4,'TB YTD'!$4:$4,0),0),0)</f>
        <v>0</v>
      </c>
      <c r="O677" s="63">
        <f>IFERROR(VLOOKUP($B677,'TB YTD'!$4:$1048576,MATCH('List of Ledgers '!O$4,'TB YTD'!$4:$4,0),0),0)</f>
        <v>4688</v>
      </c>
      <c r="P677" s="63">
        <f>IFERROR(VLOOKUP($B677,'TB YTD'!$4:$1048576,MATCH('List of Ledgers '!P$4,'TB YTD'!$4:$4,0),0),0)</f>
        <v>0</v>
      </c>
      <c r="Q677" s="63">
        <f>IFERROR(VLOOKUP($B677,'TB YTD'!$4:$1048576,MATCH('List of Ledgers '!Q$4,'TB YTD'!$4:$4,0),0),0)</f>
        <v>4688</v>
      </c>
      <c r="R677" s="63"/>
    </row>
    <row r="678" spans="1:18" hidden="1" x14ac:dyDescent="0.25">
      <c r="A678" s="165">
        <f>A677+1</f>
        <v>648</v>
      </c>
      <c r="B678" s="2" t="s">
        <v>1241</v>
      </c>
      <c r="C678" s="2" t="s">
        <v>437</v>
      </c>
      <c r="D678" s="17"/>
      <c r="E678" s="17"/>
      <c r="I678" s="37">
        <f>IFERROR(VLOOKUP(B678,'TB '!$A:$G,7,),0)</f>
        <v>-4716</v>
      </c>
      <c r="J678" s="37">
        <f>IFERROR(VLOOKUP($B678,'TB '!$4:$1048576,MATCH('List of Ledgers '!J$4,'TB '!$4:$4,0),0),0)</f>
        <v>0</v>
      </c>
      <c r="K678" s="37">
        <f>IFERROR(VLOOKUP($B678,'TB '!$4:$1048576,MATCH('List of Ledgers '!K$4,'TB '!$4:$4,0),0),0)</f>
        <v>0</v>
      </c>
      <c r="L678" s="37">
        <f>IFERROR(VLOOKUP(B678,'TB '!$A:$J,10,),0)</f>
        <v>-4716</v>
      </c>
      <c r="M678" s="71"/>
      <c r="N678" s="63">
        <f>IFERROR(VLOOKUP($B678,'TB YTD'!$4:$1048576,MATCH('List of Ledgers '!N$4,'TB YTD'!$4:$4,0),0),0)</f>
        <v>0</v>
      </c>
      <c r="O678" s="63">
        <f>IFERROR(VLOOKUP($B678,'TB YTD'!$4:$1048576,MATCH('List of Ledgers '!O$4,'TB YTD'!$4:$4,0),0),0)</f>
        <v>5000000</v>
      </c>
      <c r="P678" s="63">
        <f>IFERROR(VLOOKUP($B678,'TB YTD'!$4:$1048576,MATCH('List of Ledgers '!P$4,'TB YTD'!$4:$4,0),0),0)</f>
        <v>5004716</v>
      </c>
      <c r="Q678" s="63">
        <f>IFERROR(VLOOKUP($B678,'TB YTD'!$4:$1048576,MATCH('List of Ledgers '!Q$4,'TB YTD'!$4:$4,0),0),0)</f>
        <v>-4716</v>
      </c>
      <c r="R678" s="63"/>
    </row>
    <row r="679" spans="1:18" hidden="1" x14ac:dyDescent="0.25">
      <c r="A679" s="106">
        <v>648</v>
      </c>
      <c r="B679" s="2" t="s">
        <v>876</v>
      </c>
      <c r="C679" s="2" t="s">
        <v>876</v>
      </c>
      <c r="G679" s="17"/>
      <c r="I679" s="37">
        <f>IFERROR(VLOOKUP(B679,'TB '!$A:$G,7,),0)</f>
        <v>0</v>
      </c>
      <c r="J679" s="37">
        <f>IFERROR(VLOOKUP($B679,'TB '!$4:$1048576,MATCH('List of Ledgers '!J$4,'TB '!$4:$4,0),0),0)</f>
        <v>0</v>
      </c>
      <c r="K679" s="37">
        <f>IFERROR(VLOOKUP($B679,'TB '!$4:$1048576,MATCH('List of Ledgers '!K$4,'TB '!$4:$4,0),0),0)</f>
        <v>0</v>
      </c>
      <c r="L679" s="37">
        <f>IFERROR(VLOOKUP(B679,'TB '!$A:$J,10,),0)</f>
        <v>0</v>
      </c>
      <c r="M679" s="71"/>
      <c r="N679" s="63">
        <f>IFERROR(VLOOKUP($B679,'TB YTD'!$4:$1048576,MATCH('List of Ledgers '!N$4,'TB YTD'!$4:$4,0),0),0)</f>
        <v>0</v>
      </c>
      <c r="O679" s="63">
        <f>IFERROR(VLOOKUP($B679,'TB YTD'!$4:$1048576,MATCH('List of Ledgers '!O$4,'TB YTD'!$4:$4,0),0),0)</f>
        <v>0</v>
      </c>
      <c r="P679" s="63">
        <f>IFERROR(VLOOKUP($B679,'TB YTD'!$4:$1048576,MATCH('List of Ledgers '!P$4,'TB YTD'!$4:$4,0),0),0)</f>
        <v>0</v>
      </c>
      <c r="Q679" s="63">
        <f>IFERROR(VLOOKUP($B679,'TB YTD'!$4:$1048576,MATCH('List of Ledgers '!Q$4,'TB YTD'!$4:$4,0),0),0)</f>
        <v>0</v>
      </c>
    </row>
    <row r="680" spans="1:18" hidden="1" x14ac:dyDescent="0.25">
      <c r="A680" s="165">
        <f>A679+1</f>
        <v>649</v>
      </c>
      <c r="B680" s="2" t="s">
        <v>1242</v>
      </c>
      <c r="C680" s="2" t="s">
        <v>437</v>
      </c>
      <c r="D680" s="17"/>
      <c r="E680" s="17"/>
      <c r="I680" s="37">
        <f>IFERROR(VLOOKUP(B680,'TB '!$A:$G,7,),0)</f>
        <v>-4298</v>
      </c>
      <c r="J680" s="37">
        <f>IFERROR(VLOOKUP($B680,'TB '!$4:$1048576,MATCH('List of Ledgers '!J$4,'TB '!$4:$4,0),0),0)</f>
        <v>0</v>
      </c>
      <c r="K680" s="37">
        <f>IFERROR(VLOOKUP($B680,'TB '!$4:$1048576,MATCH('List of Ledgers '!K$4,'TB '!$4:$4,0),0),0)</f>
        <v>0</v>
      </c>
      <c r="L680" s="37">
        <f>IFERROR(VLOOKUP(B680,'TB '!$A:$J,10,),0)</f>
        <v>-4298</v>
      </c>
      <c r="M680" s="71"/>
      <c r="N680" s="63">
        <f>IFERROR(VLOOKUP($B680,'TB YTD'!$4:$1048576,MATCH('List of Ledgers '!N$4,'TB YTD'!$4:$4,0),0),0)</f>
        <v>0</v>
      </c>
      <c r="O680" s="63">
        <f>IFERROR(VLOOKUP($B680,'TB YTD'!$4:$1048576,MATCH('List of Ledgers '!O$4,'TB YTD'!$4:$4,0),0),0)</f>
        <v>5000000</v>
      </c>
      <c r="P680" s="63">
        <f>IFERROR(VLOOKUP($B680,'TB YTD'!$4:$1048576,MATCH('List of Ledgers '!P$4,'TB YTD'!$4:$4,0),0),0)</f>
        <v>5004298</v>
      </c>
      <c r="Q680" s="63">
        <f>IFERROR(VLOOKUP($B680,'TB YTD'!$4:$1048576,MATCH('List of Ledgers '!Q$4,'TB YTD'!$4:$4,0),0),0)</f>
        <v>-4298</v>
      </c>
      <c r="R680" s="63"/>
    </row>
    <row r="681" spans="1:18" hidden="1" x14ac:dyDescent="0.25">
      <c r="A681" s="106">
        <v>649</v>
      </c>
      <c r="B681" s="8" t="s">
        <v>877</v>
      </c>
      <c r="C681" s="8" t="s">
        <v>158</v>
      </c>
      <c r="D681" s="17" t="s">
        <v>128</v>
      </c>
      <c r="E681" s="17" t="s">
        <v>131</v>
      </c>
      <c r="G681" s="17" t="s">
        <v>4</v>
      </c>
      <c r="H681" s="62"/>
      <c r="I681" s="37">
        <f>IFERROR(VLOOKUP(B681,'TB '!$A:$G,7,),0)</f>
        <v>0</v>
      </c>
      <c r="J681" s="37">
        <f>IFERROR(VLOOKUP($B681,'TB '!$4:$1048576,MATCH('List of Ledgers '!J$4,'TB '!$4:$4,0),0),0)</f>
        <v>0</v>
      </c>
      <c r="K681" s="37">
        <f>IFERROR(VLOOKUP($B681,'TB '!$4:$1048576,MATCH('List of Ledgers '!K$4,'TB '!$4:$4,0),0),0)</f>
        <v>0</v>
      </c>
      <c r="L681" s="37">
        <f>IFERROR(VLOOKUP(B681,'TB '!$A:$J,10,),0)</f>
        <v>0</v>
      </c>
      <c r="M681" s="71"/>
      <c r="N681" s="63">
        <f>IFERROR(VLOOKUP($B681,'TB YTD'!$4:$1048576,MATCH('List of Ledgers '!N$4,'TB YTD'!$4:$4,0),0),0)</f>
        <v>0</v>
      </c>
      <c r="O681" s="63">
        <f>IFERROR(VLOOKUP($B681,'TB YTD'!$4:$1048576,MATCH('List of Ledgers '!O$4,'TB YTD'!$4:$4,0),0),0)</f>
        <v>0</v>
      </c>
      <c r="P681" s="63">
        <f>IFERROR(VLOOKUP($B681,'TB YTD'!$4:$1048576,MATCH('List of Ledgers '!P$4,'TB YTD'!$4:$4,0),0),0)</f>
        <v>0</v>
      </c>
      <c r="Q681" s="63">
        <f>IFERROR(VLOOKUP($B681,'TB YTD'!$4:$1048576,MATCH('List of Ledgers '!Q$4,'TB YTD'!$4:$4,0),0),0)</f>
        <v>0</v>
      </c>
      <c r="R681" s="63"/>
    </row>
    <row r="682" spans="1:18" hidden="1" x14ac:dyDescent="0.25">
      <c r="A682" s="165">
        <f>A681+1</f>
        <v>650</v>
      </c>
      <c r="B682" s="2" t="s">
        <v>1243</v>
      </c>
      <c r="C682" s="2" t="s">
        <v>437</v>
      </c>
      <c r="D682" s="17"/>
      <c r="E682" s="17"/>
      <c r="I682" s="37">
        <f>IFERROR(VLOOKUP(B682,'TB '!$A:$G,7,),0)</f>
        <v>-3401</v>
      </c>
      <c r="J682" s="37">
        <f>IFERROR(VLOOKUP($B682,'TB '!$4:$1048576,MATCH('List of Ledgers '!J$4,'TB '!$4:$4,0),0),0)</f>
        <v>0</v>
      </c>
      <c r="K682" s="37">
        <f>IFERROR(VLOOKUP($B682,'TB '!$4:$1048576,MATCH('List of Ledgers '!K$4,'TB '!$4:$4,0),0),0)</f>
        <v>0</v>
      </c>
      <c r="L682" s="37">
        <f>IFERROR(VLOOKUP(B682,'TB '!$A:$J,10,),0)</f>
        <v>-3401</v>
      </c>
      <c r="M682" s="71"/>
      <c r="N682" s="63">
        <f>IFERROR(VLOOKUP($B682,'TB YTD'!$4:$1048576,MATCH('List of Ledgers '!N$4,'TB YTD'!$4:$4,0),0),0)</f>
        <v>0</v>
      </c>
      <c r="O682" s="63">
        <f>IFERROR(VLOOKUP($B682,'TB YTD'!$4:$1048576,MATCH('List of Ledgers '!O$4,'TB YTD'!$4:$4,0),0),0)</f>
        <v>5000000</v>
      </c>
      <c r="P682" s="63">
        <f>IFERROR(VLOOKUP($B682,'TB YTD'!$4:$1048576,MATCH('List of Ledgers '!P$4,'TB YTD'!$4:$4,0),0),0)</f>
        <v>5003401</v>
      </c>
      <c r="Q682" s="63">
        <f>IFERROR(VLOOKUP($B682,'TB YTD'!$4:$1048576,MATCH('List of Ledgers '!Q$4,'TB YTD'!$4:$4,0),0),0)</f>
        <v>-3401</v>
      </c>
      <c r="R682" s="63"/>
    </row>
    <row r="683" spans="1:18" hidden="1" x14ac:dyDescent="0.25">
      <c r="A683" s="106">
        <v>650</v>
      </c>
      <c r="B683" s="8" t="s">
        <v>878</v>
      </c>
      <c r="C683" s="8" t="s">
        <v>158</v>
      </c>
      <c r="D683" s="17" t="s">
        <v>128</v>
      </c>
      <c r="E683" s="17" t="s">
        <v>131</v>
      </c>
      <c r="G683" s="17" t="s">
        <v>4</v>
      </c>
      <c r="H683" s="62"/>
      <c r="I683" s="37">
        <f>IFERROR(VLOOKUP(B683,'TB '!$A:$G,7,),0)</f>
        <v>0</v>
      </c>
      <c r="J683" s="37">
        <f>IFERROR(VLOOKUP($B683,'TB '!$4:$1048576,MATCH('List of Ledgers '!J$4,'TB '!$4:$4,0),0),0)</f>
        <v>211575.85</v>
      </c>
      <c r="K683" s="37">
        <f>IFERROR(VLOOKUP($B683,'TB '!$4:$1048576,MATCH('List of Ledgers '!K$4,'TB '!$4:$4,0),0),0)</f>
        <v>211575.85</v>
      </c>
      <c r="L683" s="37">
        <f>IFERROR(VLOOKUP(B683,'TB '!$A:$J,10,),0)</f>
        <v>0</v>
      </c>
      <c r="M683" s="71"/>
      <c r="N683" s="63">
        <f>IFERROR(VLOOKUP($B683,'TB YTD'!$4:$1048576,MATCH('List of Ledgers '!N$4,'TB YTD'!$4:$4,0),0),0)</f>
        <v>0</v>
      </c>
      <c r="O683" s="63">
        <f>IFERROR(VLOOKUP($B683,'TB YTD'!$4:$1048576,MATCH('List of Ledgers '!O$4,'TB YTD'!$4:$4,0),0),0)</f>
        <v>1812500.73</v>
      </c>
      <c r="P683" s="63">
        <f>IFERROR(VLOOKUP($B683,'TB YTD'!$4:$1048576,MATCH('List of Ledgers '!P$4,'TB YTD'!$4:$4,0),0),0)</f>
        <v>1812500.73</v>
      </c>
      <c r="Q683" s="63">
        <f>IFERROR(VLOOKUP($B683,'TB YTD'!$4:$1048576,MATCH('List of Ledgers '!Q$4,'TB YTD'!$4:$4,0),0),0)</f>
        <v>0</v>
      </c>
      <c r="R683" s="63"/>
    </row>
    <row r="684" spans="1:18" hidden="1" x14ac:dyDescent="0.25">
      <c r="A684" s="165">
        <f>A683+1</f>
        <v>651</v>
      </c>
      <c r="B684" s="2" t="s">
        <v>1114</v>
      </c>
      <c r="C684" s="2" t="s">
        <v>437</v>
      </c>
      <c r="D684" s="17"/>
      <c r="E684" s="17"/>
      <c r="I684" s="37">
        <f>IFERROR(VLOOKUP(B684,'TB '!$A:$G,7,),0)</f>
        <v>275304.76</v>
      </c>
      <c r="J684" s="37">
        <f>IFERROR(VLOOKUP($B684,'TB '!$4:$1048576,MATCH('List of Ledgers '!J$4,'TB '!$4:$4,0),0),0)</f>
        <v>0</v>
      </c>
      <c r="K684" s="37">
        <f>IFERROR(VLOOKUP($B684,'TB '!$4:$1048576,MATCH('List of Ledgers '!K$4,'TB '!$4:$4,0),0),0)</f>
        <v>197992.8</v>
      </c>
      <c r="L684" s="37">
        <f>IFERROR(VLOOKUP(B684,'TB '!$A:$J,10,),0)</f>
        <v>77311.960000000006</v>
      </c>
      <c r="M684" s="71"/>
      <c r="N684" s="63">
        <f>IFERROR(VLOOKUP($B684,'TB YTD'!$4:$1048576,MATCH('List of Ledgers '!N$4,'TB YTD'!$4:$4,0),0),0)</f>
        <v>0</v>
      </c>
      <c r="O684" s="63">
        <f>IFERROR(VLOOKUP($B684,'TB YTD'!$4:$1048576,MATCH('List of Ledgers '!O$4,'TB YTD'!$4:$4,0),0),0)</f>
        <v>1000000</v>
      </c>
      <c r="P684" s="63">
        <f>IFERROR(VLOOKUP($B684,'TB YTD'!$4:$1048576,MATCH('List of Ledgers '!P$4,'TB YTD'!$4:$4,0),0),0)</f>
        <v>922688.04</v>
      </c>
      <c r="Q684" s="63">
        <f>IFERROR(VLOOKUP($B684,'TB YTD'!$4:$1048576,MATCH('List of Ledgers '!Q$4,'TB YTD'!$4:$4,0),0),0)</f>
        <v>77311.960000000006</v>
      </c>
      <c r="R684" s="63"/>
    </row>
    <row r="685" spans="1:18" hidden="1" x14ac:dyDescent="0.25">
      <c r="A685" s="106">
        <v>651</v>
      </c>
      <c r="B685" s="151" t="s">
        <v>879</v>
      </c>
      <c r="C685" s="151" t="s">
        <v>158</v>
      </c>
      <c r="D685" s="12" t="s">
        <v>128</v>
      </c>
      <c r="E685" s="12" t="s">
        <v>131</v>
      </c>
      <c r="G685" s="17" t="s">
        <v>4</v>
      </c>
      <c r="I685" s="37">
        <f>IFERROR(VLOOKUP(B685,'TB '!$A:$G,7,),0)</f>
        <v>0</v>
      </c>
      <c r="J685" s="37">
        <f>IFERROR(VLOOKUP($B685,'TB '!$4:$1048576,MATCH('List of Ledgers '!J$4,'TB '!$4:$4,0),0),0)</f>
        <v>0</v>
      </c>
      <c r="K685" s="37">
        <f>IFERROR(VLOOKUP($B685,'TB '!$4:$1048576,MATCH('List of Ledgers '!K$4,'TB '!$4:$4,0),0),0)</f>
        <v>0</v>
      </c>
      <c r="L685" s="37">
        <f>IFERROR(VLOOKUP(B685,'TB '!$A:$J,10,),0)</f>
        <v>0</v>
      </c>
      <c r="M685" s="71"/>
      <c r="N685" s="63">
        <f>IFERROR(VLOOKUP($B685,'TB YTD'!$4:$1048576,MATCH('List of Ledgers '!N$4,'TB YTD'!$4:$4,0),0),0)</f>
        <v>0</v>
      </c>
      <c r="O685" s="63">
        <f>IFERROR(VLOOKUP($B685,'TB YTD'!$4:$1048576,MATCH('List of Ledgers '!O$4,'TB YTD'!$4:$4,0),0),0)</f>
        <v>1780000</v>
      </c>
      <c r="P685" s="63">
        <f>IFERROR(VLOOKUP($B685,'TB YTD'!$4:$1048576,MATCH('List of Ledgers '!P$4,'TB YTD'!$4:$4,0),0),0)</f>
        <v>1780000</v>
      </c>
      <c r="Q685" s="63">
        <f>IFERROR(VLOOKUP($B685,'TB YTD'!$4:$1048576,MATCH('List of Ledgers '!Q$4,'TB YTD'!$4:$4,0),0),0)</f>
        <v>0</v>
      </c>
    </row>
    <row r="686" spans="1:18" hidden="1" x14ac:dyDescent="0.25">
      <c r="A686" s="165">
        <f>A685+1</f>
        <v>652</v>
      </c>
      <c r="B686" s="2" t="s">
        <v>1115</v>
      </c>
      <c r="C686" s="2" t="s">
        <v>437</v>
      </c>
      <c r="D686" s="17"/>
      <c r="E686" s="17"/>
      <c r="I686" s="37">
        <f>IFERROR(VLOOKUP(B686,'TB '!$A:$G,7,),0)</f>
        <v>-5955</v>
      </c>
      <c r="J686" s="37">
        <f>IFERROR(VLOOKUP($B686,'TB '!$4:$1048576,MATCH('List of Ledgers '!J$4,'TB '!$4:$4,0),0),0)</f>
        <v>0</v>
      </c>
      <c r="K686" s="37">
        <f>IFERROR(VLOOKUP($B686,'TB '!$4:$1048576,MATCH('List of Ledgers '!K$4,'TB '!$4:$4,0),0),0)</f>
        <v>0</v>
      </c>
      <c r="L686" s="37">
        <f>IFERROR(VLOOKUP(B686,'TB '!$A:$J,10,),0)</f>
        <v>-5955</v>
      </c>
      <c r="M686" s="71"/>
      <c r="N686" s="63">
        <f>IFERROR(VLOOKUP($B686,'TB YTD'!$4:$1048576,MATCH('List of Ledgers '!N$4,'TB YTD'!$4:$4,0),0),0)</f>
        <v>0</v>
      </c>
      <c r="O686" s="63">
        <f>IFERROR(VLOOKUP($B686,'TB YTD'!$4:$1048576,MATCH('List of Ledgers '!O$4,'TB YTD'!$4:$4,0),0),0)</f>
        <v>1000000</v>
      </c>
      <c r="P686" s="63">
        <f>IFERROR(VLOOKUP($B686,'TB YTD'!$4:$1048576,MATCH('List of Ledgers '!P$4,'TB YTD'!$4:$4,0),0),0)</f>
        <v>1005955</v>
      </c>
      <c r="Q686" s="63">
        <f>IFERROR(VLOOKUP($B686,'TB YTD'!$4:$1048576,MATCH('List of Ledgers '!Q$4,'TB YTD'!$4:$4,0),0),0)</f>
        <v>-5955</v>
      </c>
      <c r="R686" s="63"/>
    </row>
    <row r="687" spans="1:18" hidden="1" x14ac:dyDescent="0.25">
      <c r="A687" s="106">
        <v>652</v>
      </c>
      <c r="B687" s="8" t="s">
        <v>880</v>
      </c>
      <c r="C687" s="8" t="s">
        <v>606</v>
      </c>
      <c r="D687" s="17" t="s">
        <v>128</v>
      </c>
      <c r="E687" s="17" t="s">
        <v>134</v>
      </c>
      <c r="G687" s="17" t="s">
        <v>2</v>
      </c>
      <c r="H687" s="62"/>
      <c r="I687" s="37">
        <f>IFERROR(VLOOKUP(B687,'TB '!$A:$G,7,),0)</f>
        <v>-1387</v>
      </c>
      <c r="J687" s="37">
        <f>IFERROR(VLOOKUP($B687,'TB '!$4:$1048576,MATCH('List of Ledgers '!J$4,'TB '!$4:$4,0),0),0)</f>
        <v>0</v>
      </c>
      <c r="K687" s="37">
        <f>IFERROR(VLOOKUP($B687,'TB '!$4:$1048576,MATCH('List of Ledgers '!K$4,'TB '!$4:$4,0),0),0)</f>
        <v>0</v>
      </c>
      <c r="L687" s="37">
        <f>IFERROR(VLOOKUP(B687,'TB '!$A:$J,10,),0)</f>
        <v>-1387</v>
      </c>
      <c r="M687" s="71"/>
      <c r="N687" s="63">
        <f>IFERROR(VLOOKUP($B687,'TB YTD'!$4:$1048576,MATCH('List of Ledgers '!N$4,'TB YTD'!$4:$4,0),0),0)</f>
        <v>-1387</v>
      </c>
      <c r="O687" s="63">
        <f>IFERROR(VLOOKUP($B687,'TB YTD'!$4:$1048576,MATCH('List of Ledgers '!O$4,'TB YTD'!$4:$4,0),0),0)</f>
        <v>0</v>
      </c>
      <c r="P687" s="63">
        <f>IFERROR(VLOOKUP($B687,'TB YTD'!$4:$1048576,MATCH('List of Ledgers '!P$4,'TB YTD'!$4:$4,0),0),0)</f>
        <v>0</v>
      </c>
      <c r="Q687" s="63">
        <f>IFERROR(VLOOKUP($B687,'TB YTD'!$4:$1048576,MATCH('List of Ledgers '!Q$4,'TB YTD'!$4:$4,0),0),0)</f>
        <v>-1387</v>
      </c>
      <c r="R687" s="63"/>
    </row>
    <row r="688" spans="1:18" hidden="1" x14ac:dyDescent="0.25">
      <c r="A688" s="165">
        <f>A687+1</f>
        <v>653</v>
      </c>
      <c r="B688" s="2" t="s">
        <v>1116</v>
      </c>
      <c r="C688" s="2" t="s">
        <v>437</v>
      </c>
      <c r="D688" s="17"/>
      <c r="E688" s="17"/>
      <c r="I688" s="37">
        <f>IFERROR(VLOOKUP(B688,'TB '!$A:$G,7,),0)</f>
        <v>-5954</v>
      </c>
      <c r="J688" s="37">
        <f>IFERROR(VLOOKUP($B688,'TB '!$4:$1048576,MATCH('List of Ledgers '!J$4,'TB '!$4:$4,0),0),0)</f>
        <v>0</v>
      </c>
      <c r="K688" s="37">
        <f>IFERROR(VLOOKUP($B688,'TB '!$4:$1048576,MATCH('List of Ledgers '!K$4,'TB '!$4:$4,0),0),0)</f>
        <v>0</v>
      </c>
      <c r="L688" s="37">
        <f>IFERROR(VLOOKUP(B688,'TB '!$A:$J,10,),0)</f>
        <v>-5954</v>
      </c>
      <c r="M688" s="71"/>
      <c r="N688" s="63">
        <f>IFERROR(VLOOKUP($B688,'TB YTD'!$4:$1048576,MATCH('List of Ledgers '!N$4,'TB YTD'!$4:$4,0),0),0)</f>
        <v>0</v>
      </c>
      <c r="O688" s="63">
        <f>IFERROR(VLOOKUP($B688,'TB YTD'!$4:$1048576,MATCH('List of Ledgers '!O$4,'TB YTD'!$4:$4,0),0),0)</f>
        <v>1000000</v>
      </c>
      <c r="P688" s="63">
        <f>IFERROR(VLOOKUP($B688,'TB YTD'!$4:$1048576,MATCH('List of Ledgers '!P$4,'TB YTD'!$4:$4,0),0),0)</f>
        <v>1005954</v>
      </c>
      <c r="Q688" s="63">
        <f>IFERROR(VLOOKUP($B688,'TB YTD'!$4:$1048576,MATCH('List of Ledgers '!Q$4,'TB YTD'!$4:$4,0),0),0)</f>
        <v>-5954</v>
      </c>
      <c r="R688" s="63"/>
    </row>
    <row r="689" spans="1:18" hidden="1" x14ac:dyDescent="0.25">
      <c r="A689" s="106">
        <v>653</v>
      </c>
      <c r="B689" s="8" t="s">
        <v>881</v>
      </c>
      <c r="C689" s="8" t="s">
        <v>183</v>
      </c>
      <c r="D689" s="17" t="s">
        <v>128</v>
      </c>
      <c r="E689" s="17" t="s">
        <v>134</v>
      </c>
      <c r="G689" s="17" t="s">
        <v>2</v>
      </c>
      <c r="H689" s="62"/>
      <c r="I689" s="37">
        <f>IFERROR(VLOOKUP(B689,'TB '!$A:$G,7,),0)</f>
        <v>0</v>
      </c>
      <c r="J689" s="37">
        <f>IFERROR(VLOOKUP($B689,'TB '!$4:$1048576,MATCH('List of Ledgers '!J$4,'TB '!$4:$4,0),0),0)</f>
        <v>0</v>
      </c>
      <c r="K689" s="37">
        <f>IFERROR(VLOOKUP($B689,'TB '!$4:$1048576,MATCH('List of Ledgers '!K$4,'TB '!$4:$4,0),0),0)</f>
        <v>0</v>
      </c>
      <c r="L689" s="37">
        <f>IFERROR(VLOOKUP(B689,'TB '!$A:$J,10,),0)</f>
        <v>0</v>
      </c>
      <c r="M689" s="71"/>
      <c r="N689" s="63">
        <f>IFERROR(VLOOKUP($B689,'TB YTD'!$4:$1048576,MATCH('List of Ledgers '!N$4,'TB YTD'!$4:$4,0),0),0)</f>
        <v>0</v>
      </c>
      <c r="O689" s="63">
        <f>IFERROR(VLOOKUP($B689,'TB YTD'!$4:$1048576,MATCH('List of Ledgers '!O$4,'TB YTD'!$4:$4,0),0),0)</f>
        <v>0</v>
      </c>
      <c r="P689" s="63">
        <f>IFERROR(VLOOKUP($B689,'TB YTD'!$4:$1048576,MATCH('List of Ledgers '!P$4,'TB YTD'!$4:$4,0),0),0)</f>
        <v>0</v>
      </c>
      <c r="Q689" s="63">
        <f>IFERROR(VLOOKUP($B689,'TB YTD'!$4:$1048576,MATCH('List of Ledgers '!Q$4,'TB YTD'!$4:$4,0),0),0)</f>
        <v>0</v>
      </c>
      <c r="R689" s="63"/>
    </row>
    <row r="690" spans="1:18" hidden="1" x14ac:dyDescent="0.25">
      <c r="A690" s="165">
        <f>A689+1</f>
        <v>654</v>
      </c>
      <c r="B690" s="2" t="s">
        <v>1117</v>
      </c>
      <c r="C690" s="2" t="s">
        <v>437</v>
      </c>
      <c r="D690" s="17"/>
      <c r="E690" s="17"/>
      <c r="I690" s="37">
        <f>IFERROR(VLOOKUP(B690,'TB '!$A:$G,7,),0)</f>
        <v>-5955</v>
      </c>
      <c r="J690" s="37">
        <f>IFERROR(VLOOKUP($B690,'TB '!$4:$1048576,MATCH('List of Ledgers '!J$4,'TB '!$4:$4,0),0),0)</f>
        <v>0</v>
      </c>
      <c r="K690" s="37">
        <f>IFERROR(VLOOKUP($B690,'TB '!$4:$1048576,MATCH('List of Ledgers '!K$4,'TB '!$4:$4,0),0),0)</f>
        <v>0</v>
      </c>
      <c r="L690" s="37">
        <f>IFERROR(VLOOKUP(B690,'TB '!$A:$J,10,),0)</f>
        <v>-5955</v>
      </c>
      <c r="M690" s="71"/>
      <c r="N690" s="63">
        <f>IFERROR(VLOOKUP($B690,'TB YTD'!$4:$1048576,MATCH('List of Ledgers '!N$4,'TB YTD'!$4:$4,0),0),0)</f>
        <v>0</v>
      </c>
      <c r="O690" s="63">
        <f>IFERROR(VLOOKUP($B690,'TB YTD'!$4:$1048576,MATCH('List of Ledgers '!O$4,'TB YTD'!$4:$4,0),0),0)</f>
        <v>1000000</v>
      </c>
      <c r="P690" s="63">
        <f>IFERROR(VLOOKUP($B690,'TB YTD'!$4:$1048576,MATCH('List of Ledgers '!P$4,'TB YTD'!$4:$4,0),0),0)</f>
        <v>1005955</v>
      </c>
      <c r="Q690" s="63">
        <f>IFERROR(VLOOKUP($B690,'TB YTD'!$4:$1048576,MATCH('List of Ledgers '!Q$4,'TB YTD'!$4:$4,0),0),0)</f>
        <v>-5955</v>
      </c>
      <c r="R690" s="63"/>
    </row>
    <row r="691" spans="1:18" hidden="1" x14ac:dyDescent="0.25">
      <c r="A691" s="106">
        <v>654</v>
      </c>
      <c r="B691" s="8" t="s">
        <v>882</v>
      </c>
      <c r="C691" s="8" t="s">
        <v>124</v>
      </c>
      <c r="H691" s="62"/>
      <c r="I691" s="37">
        <f>IFERROR(VLOOKUP(B691,'TB '!$A:$G,7,),0)</f>
        <v>830</v>
      </c>
      <c r="J691" s="37">
        <f>IFERROR(VLOOKUP($B691,'TB '!$4:$1048576,MATCH('List of Ledgers '!J$4,'TB '!$4:$4,0),0),0)</f>
        <v>0</v>
      </c>
      <c r="K691" s="37">
        <f>IFERROR(VLOOKUP($B691,'TB '!$4:$1048576,MATCH('List of Ledgers '!K$4,'TB '!$4:$4,0),0),0)</f>
        <v>0</v>
      </c>
      <c r="L691" s="37">
        <f>IFERROR(VLOOKUP(B691,'TB '!$A:$J,10,),0)</f>
        <v>830</v>
      </c>
      <c r="M691" s="71"/>
      <c r="N691" s="63">
        <f>IFERROR(VLOOKUP($B691,'TB YTD'!$4:$1048576,MATCH('List of Ledgers '!N$4,'TB YTD'!$4:$4,0),0),0)</f>
        <v>830</v>
      </c>
      <c r="O691" s="63">
        <f>IFERROR(VLOOKUP($B691,'TB YTD'!$4:$1048576,MATCH('List of Ledgers '!O$4,'TB YTD'!$4:$4,0),0),0)</f>
        <v>0</v>
      </c>
      <c r="P691" s="63">
        <f>IFERROR(VLOOKUP($B691,'TB YTD'!$4:$1048576,MATCH('List of Ledgers '!P$4,'TB YTD'!$4:$4,0),0),0)</f>
        <v>0</v>
      </c>
      <c r="Q691" s="63">
        <f>IFERROR(VLOOKUP($B691,'TB YTD'!$4:$1048576,MATCH('List of Ledgers '!Q$4,'TB YTD'!$4:$4,0),0),0)</f>
        <v>830</v>
      </c>
      <c r="R691" s="63"/>
    </row>
    <row r="692" spans="1:18" hidden="1" x14ac:dyDescent="0.25">
      <c r="A692" s="165">
        <f>A691+1</f>
        <v>655</v>
      </c>
      <c r="B692" s="2" t="s">
        <v>1118</v>
      </c>
      <c r="C692" s="2" t="s">
        <v>437</v>
      </c>
      <c r="D692" s="17"/>
      <c r="E692" s="17"/>
      <c r="I692" s="37">
        <f>IFERROR(VLOOKUP(B692,'TB '!$A:$G,7,),0)</f>
        <v>-5899</v>
      </c>
      <c r="J692" s="37">
        <f>IFERROR(VLOOKUP($B692,'TB '!$4:$1048576,MATCH('List of Ledgers '!J$4,'TB '!$4:$4,0),0),0)</f>
        <v>0</v>
      </c>
      <c r="K692" s="37">
        <f>IFERROR(VLOOKUP($B692,'TB '!$4:$1048576,MATCH('List of Ledgers '!K$4,'TB '!$4:$4,0),0),0)</f>
        <v>0</v>
      </c>
      <c r="L692" s="37">
        <f>IFERROR(VLOOKUP(B692,'TB '!$A:$J,10,),0)</f>
        <v>-5899</v>
      </c>
      <c r="M692" s="71"/>
      <c r="N692" s="63">
        <f>IFERROR(VLOOKUP($B692,'TB YTD'!$4:$1048576,MATCH('List of Ledgers '!N$4,'TB YTD'!$4:$4,0),0),0)</f>
        <v>0</v>
      </c>
      <c r="O692" s="63">
        <f>IFERROR(VLOOKUP($B692,'TB YTD'!$4:$1048576,MATCH('List of Ledgers '!O$4,'TB YTD'!$4:$4,0),0),0)</f>
        <v>1000000</v>
      </c>
      <c r="P692" s="63">
        <f>IFERROR(VLOOKUP($B692,'TB YTD'!$4:$1048576,MATCH('List of Ledgers '!P$4,'TB YTD'!$4:$4,0),0),0)</f>
        <v>1005899</v>
      </c>
      <c r="Q692" s="63">
        <f>IFERROR(VLOOKUP($B692,'TB YTD'!$4:$1048576,MATCH('List of Ledgers '!Q$4,'TB YTD'!$4:$4,0),0),0)</f>
        <v>-5899</v>
      </c>
      <c r="R692" s="63"/>
    </row>
    <row r="693" spans="1:18" hidden="1" x14ac:dyDescent="0.25">
      <c r="A693" s="106">
        <v>655</v>
      </c>
      <c r="B693" s="8" t="s">
        <v>883</v>
      </c>
      <c r="C693" s="8" t="s">
        <v>322</v>
      </c>
      <c r="D693" s="17" t="s">
        <v>151</v>
      </c>
      <c r="E693" s="17" t="s">
        <v>152</v>
      </c>
      <c r="F693" s="12" t="s">
        <v>65</v>
      </c>
      <c r="G693" s="17" t="s">
        <v>7</v>
      </c>
      <c r="H693" s="62"/>
      <c r="I693" s="37">
        <f>IFERROR(VLOOKUP(B693,'TB '!$A:$G,7,),0)</f>
        <v>0</v>
      </c>
      <c r="J693" s="37">
        <f>IFERROR(VLOOKUP($B693,'TB '!$4:$1048576,MATCH('List of Ledgers '!J$4,'TB '!$4:$4,0),0),0)</f>
        <v>9850</v>
      </c>
      <c r="K693" s="37">
        <f>IFERROR(VLOOKUP($B693,'TB '!$4:$1048576,MATCH('List of Ledgers '!K$4,'TB '!$4:$4,0),0),0)</f>
        <v>0</v>
      </c>
      <c r="L693" s="37">
        <f>IFERROR(VLOOKUP(B693,'TB '!$A:$J,10,),0)</f>
        <v>9850</v>
      </c>
      <c r="M693" s="71"/>
      <c r="N693" s="63">
        <f>IFERROR(VLOOKUP($B693,'TB YTD'!$4:$1048576,MATCH('List of Ledgers '!N$4,'TB YTD'!$4:$4,0),0),0)</f>
        <v>0</v>
      </c>
      <c r="O693" s="63">
        <f>IFERROR(VLOOKUP($B693,'TB YTD'!$4:$1048576,MATCH('List of Ledgers '!O$4,'TB YTD'!$4:$4,0),0),0)</f>
        <v>33490.370000000003</v>
      </c>
      <c r="P693" s="63">
        <f>IFERROR(VLOOKUP($B693,'TB YTD'!$4:$1048576,MATCH('List of Ledgers '!P$4,'TB YTD'!$4:$4,0),0),0)</f>
        <v>0</v>
      </c>
      <c r="Q693" s="63">
        <f>IFERROR(VLOOKUP($B693,'TB YTD'!$4:$1048576,MATCH('List of Ledgers '!Q$4,'TB YTD'!$4:$4,0),0),0)</f>
        <v>33490.370000000003</v>
      </c>
      <c r="R693" s="63"/>
    </row>
    <row r="694" spans="1:18" hidden="1" x14ac:dyDescent="0.25">
      <c r="A694" s="165">
        <f>A693+1</f>
        <v>656</v>
      </c>
      <c r="B694" s="2" t="s">
        <v>1119</v>
      </c>
      <c r="C694" s="2" t="s">
        <v>437</v>
      </c>
      <c r="D694" s="17"/>
      <c r="E694" s="17"/>
      <c r="I694" s="37">
        <f>IFERROR(VLOOKUP(B694,'TB '!$A:$G,7,),0)</f>
        <v>-3557</v>
      </c>
      <c r="J694" s="37">
        <f>IFERROR(VLOOKUP($B694,'TB '!$4:$1048576,MATCH('List of Ledgers '!J$4,'TB '!$4:$4,0),0),0)</f>
        <v>0</v>
      </c>
      <c r="K694" s="37">
        <f>IFERROR(VLOOKUP($B694,'TB '!$4:$1048576,MATCH('List of Ledgers '!K$4,'TB '!$4:$4,0),0),0)</f>
        <v>0</v>
      </c>
      <c r="L694" s="37">
        <f>IFERROR(VLOOKUP(B694,'TB '!$A:$J,10,),0)</f>
        <v>-3557</v>
      </c>
      <c r="M694" s="71"/>
      <c r="N694" s="63">
        <f>IFERROR(VLOOKUP($B694,'TB YTD'!$4:$1048576,MATCH('List of Ledgers '!N$4,'TB YTD'!$4:$4,0),0),0)</f>
        <v>0</v>
      </c>
      <c r="O694" s="63">
        <f>IFERROR(VLOOKUP($B694,'TB YTD'!$4:$1048576,MATCH('List of Ledgers '!O$4,'TB YTD'!$4:$4,0),0),0)</f>
        <v>1000000</v>
      </c>
      <c r="P694" s="63">
        <f>IFERROR(VLOOKUP($B694,'TB YTD'!$4:$1048576,MATCH('List of Ledgers '!P$4,'TB YTD'!$4:$4,0),0),0)</f>
        <v>1003557</v>
      </c>
      <c r="Q694" s="63">
        <f>IFERROR(VLOOKUP($B694,'TB YTD'!$4:$1048576,MATCH('List of Ledgers '!Q$4,'TB YTD'!$4:$4,0),0),0)</f>
        <v>-3557</v>
      </c>
      <c r="R694" s="63"/>
    </row>
    <row r="695" spans="1:18" hidden="1" x14ac:dyDescent="0.25">
      <c r="A695" s="106">
        <v>656</v>
      </c>
      <c r="B695" s="8" t="s">
        <v>884</v>
      </c>
      <c r="C695" s="8" t="s">
        <v>275</v>
      </c>
      <c r="D695" s="17" t="s">
        <v>151</v>
      </c>
      <c r="E695" s="17" t="s">
        <v>152</v>
      </c>
      <c r="F695" s="12" t="s">
        <v>65</v>
      </c>
      <c r="G695" s="17" t="s">
        <v>7</v>
      </c>
      <c r="H695" s="62"/>
      <c r="I695" s="37">
        <f>IFERROR(VLOOKUP(B695,'TB '!$A:$G,7,),0)</f>
        <v>0</v>
      </c>
      <c r="J695" s="37">
        <f>IFERROR(VLOOKUP($B695,'TB '!$4:$1048576,MATCH('List of Ledgers '!J$4,'TB '!$4:$4,0),0),0)</f>
        <v>5192</v>
      </c>
      <c r="K695" s="37">
        <f>IFERROR(VLOOKUP($B695,'TB '!$4:$1048576,MATCH('List of Ledgers '!K$4,'TB '!$4:$4,0),0),0)</f>
        <v>0</v>
      </c>
      <c r="L695" s="37">
        <f>IFERROR(VLOOKUP(B695,'TB '!$A:$J,10,),0)</f>
        <v>5192</v>
      </c>
      <c r="M695" s="71"/>
      <c r="N695" s="63">
        <f>IFERROR(VLOOKUP($B695,'TB YTD'!$4:$1048576,MATCH('List of Ledgers '!N$4,'TB YTD'!$4:$4,0),0),0)</f>
        <v>0</v>
      </c>
      <c r="O695" s="63">
        <f>IFERROR(VLOOKUP($B695,'TB YTD'!$4:$1048576,MATCH('List of Ledgers '!O$4,'TB YTD'!$4:$4,0),0),0)</f>
        <v>71332</v>
      </c>
      <c r="P695" s="63">
        <f>IFERROR(VLOOKUP($B695,'TB YTD'!$4:$1048576,MATCH('List of Ledgers '!P$4,'TB YTD'!$4:$4,0),0),0)</f>
        <v>0</v>
      </c>
      <c r="Q695" s="63">
        <f>IFERROR(VLOOKUP($B695,'TB YTD'!$4:$1048576,MATCH('List of Ledgers '!Q$4,'TB YTD'!$4:$4,0),0),0)</f>
        <v>71332</v>
      </c>
      <c r="R695" s="63"/>
    </row>
    <row r="696" spans="1:18" hidden="1" x14ac:dyDescent="0.25">
      <c r="A696" s="165">
        <f>A695+1</f>
        <v>657</v>
      </c>
      <c r="B696" s="2" t="s">
        <v>1120</v>
      </c>
      <c r="C696" s="2" t="s">
        <v>437</v>
      </c>
      <c r="D696" s="17"/>
      <c r="E696" s="17"/>
      <c r="I696" s="37">
        <f>IFERROR(VLOOKUP(B696,'TB '!$A:$G,7,),0)</f>
        <v>-2226</v>
      </c>
      <c r="J696" s="37">
        <f>IFERROR(VLOOKUP($B696,'TB '!$4:$1048576,MATCH('List of Ledgers '!J$4,'TB '!$4:$4,0),0),0)</f>
        <v>0</v>
      </c>
      <c r="K696" s="37">
        <f>IFERROR(VLOOKUP($B696,'TB '!$4:$1048576,MATCH('List of Ledgers '!K$4,'TB '!$4:$4,0),0),0)</f>
        <v>0</v>
      </c>
      <c r="L696" s="37">
        <f>IFERROR(VLOOKUP(B696,'TB '!$A:$J,10,),0)</f>
        <v>-2226</v>
      </c>
      <c r="M696" s="71"/>
      <c r="N696" s="63">
        <f>IFERROR(VLOOKUP($B696,'TB YTD'!$4:$1048576,MATCH('List of Ledgers '!N$4,'TB YTD'!$4:$4,0),0),0)</f>
        <v>0</v>
      </c>
      <c r="O696" s="63">
        <f>IFERROR(VLOOKUP($B696,'TB YTD'!$4:$1048576,MATCH('List of Ledgers '!O$4,'TB YTD'!$4:$4,0),0),0)</f>
        <v>1000000</v>
      </c>
      <c r="P696" s="63">
        <f>IFERROR(VLOOKUP($B696,'TB YTD'!$4:$1048576,MATCH('List of Ledgers '!P$4,'TB YTD'!$4:$4,0),0),0)</f>
        <v>1002226</v>
      </c>
      <c r="Q696" s="63">
        <f>IFERROR(VLOOKUP($B696,'TB YTD'!$4:$1048576,MATCH('List of Ledgers '!Q$4,'TB YTD'!$4:$4,0),0),0)</f>
        <v>-2226</v>
      </c>
      <c r="R696" s="63"/>
    </row>
    <row r="697" spans="1:18" hidden="1" x14ac:dyDescent="0.25">
      <c r="A697" s="106">
        <v>657</v>
      </c>
      <c r="B697" s="8" t="s">
        <v>885</v>
      </c>
      <c r="C697" s="8" t="s">
        <v>886</v>
      </c>
      <c r="D697" s="17" t="s">
        <v>128</v>
      </c>
      <c r="E697" s="17" t="s">
        <v>134</v>
      </c>
      <c r="G697" s="17" t="s">
        <v>2</v>
      </c>
      <c r="H697" s="62"/>
      <c r="I697" s="37">
        <f>IFERROR(VLOOKUP(B697,'TB '!$A:$G,7,),0)</f>
        <v>0</v>
      </c>
      <c r="J697" s="37">
        <f>IFERROR(VLOOKUP($B697,'TB '!$4:$1048576,MATCH('List of Ledgers '!J$4,'TB '!$4:$4,0),0),0)</f>
        <v>0</v>
      </c>
      <c r="K697" s="37">
        <f>IFERROR(VLOOKUP($B697,'TB '!$4:$1048576,MATCH('List of Ledgers '!K$4,'TB '!$4:$4,0),0),0)</f>
        <v>0</v>
      </c>
      <c r="L697" s="37">
        <f>IFERROR(VLOOKUP(B697,'TB '!$A:$J,10,),0)</f>
        <v>0</v>
      </c>
      <c r="M697" s="71"/>
      <c r="N697" s="63">
        <f>IFERROR(VLOOKUP($B697,'TB YTD'!$4:$1048576,MATCH('List of Ledgers '!N$4,'TB YTD'!$4:$4,0),0),0)</f>
        <v>0</v>
      </c>
      <c r="O697" s="63">
        <f>IFERROR(VLOOKUP($B697,'TB YTD'!$4:$1048576,MATCH('List of Ledgers '!O$4,'TB YTD'!$4:$4,0),0),0)</f>
        <v>0</v>
      </c>
      <c r="P697" s="63">
        <f>IFERROR(VLOOKUP($B697,'TB YTD'!$4:$1048576,MATCH('List of Ledgers '!P$4,'TB YTD'!$4:$4,0),0),0)</f>
        <v>0</v>
      </c>
      <c r="Q697" s="63">
        <f>IFERROR(VLOOKUP($B697,'TB YTD'!$4:$1048576,MATCH('List of Ledgers '!Q$4,'TB YTD'!$4:$4,0),0),0)</f>
        <v>0</v>
      </c>
      <c r="R697" s="63"/>
    </row>
    <row r="698" spans="1:18" hidden="1" x14ac:dyDescent="0.25">
      <c r="A698" s="165">
        <f>A697+1</f>
        <v>658</v>
      </c>
      <c r="B698" s="2" t="s">
        <v>1121</v>
      </c>
      <c r="C698" s="2" t="s">
        <v>437</v>
      </c>
      <c r="D698" s="17"/>
      <c r="E698" s="17"/>
      <c r="I698" s="37">
        <f>IFERROR(VLOOKUP(B698,'TB '!$A:$G,7,),0)</f>
        <v>-2108</v>
      </c>
      <c r="J698" s="37">
        <f>IFERROR(VLOOKUP($B698,'TB '!$4:$1048576,MATCH('List of Ledgers '!J$4,'TB '!$4:$4,0),0),0)</f>
        <v>0</v>
      </c>
      <c r="K698" s="37">
        <f>IFERROR(VLOOKUP($B698,'TB '!$4:$1048576,MATCH('List of Ledgers '!K$4,'TB '!$4:$4,0),0),0)</f>
        <v>0</v>
      </c>
      <c r="L698" s="37">
        <f>IFERROR(VLOOKUP(B698,'TB '!$A:$J,10,),0)</f>
        <v>-2108</v>
      </c>
      <c r="M698" s="71"/>
      <c r="N698" s="63">
        <f>IFERROR(VLOOKUP($B698,'TB YTD'!$4:$1048576,MATCH('List of Ledgers '!N$4,'TB YTD'!$4:$4,0),0),0)</f>
        <v>0</v>
      </c>
      <c r="O698" s="63">
        <f>IFERROR(VLOOKUP($B698,'TB YTD'!$4:$1048576,MATCH('List of Ledgers '!O$4,'TB YTD'!$4:$4,0),0),0)</f>
        <v>1000000</v>
      </c>
      <c r="P698" s="63">
        <f>IFERROR(VLOOKUP($B698,'TB YTD'!$4:$1048576,MATCH('List of Ledgers '!P$4,'TB YTD'!$4:$4,0),0),0)</f>
        <v>1002108</v>
      </c>
      <c r="Q698" s="63">
        <f>IFERROR(VLOOKUP($B698,'TB YTD'!$4:$1048576,MATCH('List of Ledgers '!Q$4,'TB YTD'!$4:$4,0),0),0)</f>
        <v>-2108</v>
      </c>
      <c r="R698" s="63"/>
    </row>
    <row r="699" spans="1:18" hidden="1" x14ac:dyDescent="0.25">
      <c r="A699" s="106">
        <v>658</v>
      </c>
      <c r="B699" s="8" t="s">
        <v>887</v>
      </c>
      <c r="C699" s="8" t="s">
        <v>510</v>
      </c>
      <c r="H699" s="62"/>
      <c r="I699" s="37">
        <f>IFERROR(VLOOKUP(B699,'TB '!$A:$G,7,),0)</f>
        <v>0</v>
      </c>
      <c r="J699" s="37">
        <f>IFERROR(VLOOKUP($B699,'TB '!$4:$1048576,MATCH('List of Ledgers '!J$4,'TB '!$4:$4,0),0),0)</f>
        <v>0</v>
      </c>
      <c r="K699" s="37">
        <f>IFERROR(VLOOKUP($B699,'TB '!$4:$1048576,MATCH('List of Ledgers '!K$4,'TB '!$4:$4,0),0),0)</f>
        <v>0</v>
      </c>
      <c r="L699" s="37">
        <f>IFERROR(VLOOKUP(B699,'TB '!$A:$J,10,),0)</f>
        <v>0</v>
      </c>
      <c r="M699" s="71"/>
      <c r="N699" s="63">
        <f>IFERROR(VLOOKUP($B699,'TB YTD'!$4:$1048576,MATCH('List of Ledgers '!N$4,'TB YTD'!$4:$4,0),0),0)</f>
        <v>9500.0400000000009</v>
      </c>
      <c r="O699" s="63">
        <f>IFERROR(VLOOKUP($B699,'TB YTD'!$4:$1048576,MATCH('List of Ledgers '!O$4,'TB YTD'!$4:$4,0),0),0)</f>
        <v>0</v>
      </c>
      <c r="P699" s="63">
        <f>IFERROR(VLOOKUP($B699,'TB YTD'!$4:$1048576,MATCH('List of Ledgers '!P$4,'TB YTD'!$4:$4,0),0),0)</f>
        <v>9500.0400000000009</v>
      </c>
      <c r="Q699" s="63">
        <f>IFERROR(VLOOKUP($B699,'TB YTD'!$4:$1048576,MATCH('List of Ledgers '!Q$4,'TB YTD'!$4:$4,0),0),0)</f>
        <v>0</v>
      </c>
      <c r="R699" s="63"/>
    </row>
    <row r="700" spans="1:18" hidden="1" x14ac:dyDescent="0.25">
      <c r="A700" s="165">
        <f>A699+1</f>
        <v>659</v>
      </c>
      <c r="B700" s="2" t="s">
        <v>1122</v>
      </c>
      <c r="C700" s="2" t="s">
        <v>437</v>
      </c>
      <c r="D700" s="17"/>
      <c r="E700" s="17"/>
      <c r="I700" s="37">
        <f>IFERROR(VLOOKUP(B700,'TB '!$A:$G,7,),0)</f>
        <v>-2113</v>
      </c>
      <c r="J700" s="37">
        <f>IFERROR(VLOOKUP($B700,'TB '!$4:$1048576,MATCH('List of Ledgers '!J$4,'TB '!$4:$4,0),0),0)</f>
        <v>0</v>
      </c>
      <c r="K700" s="37">
        <f>IFERROR(VLOOKUP($B700,'TB '!$4:$1048576,MATCH('List of Ledgers '!K$4,'TB '!$4:$4,0),0),0)</f>
        <v>0</v>
      </c>
      <c r="L700" s="37">
        <f>IFERROR(VLOOKUP(B700,'TB '!$A:$J,10,),0)</f>
        <v>-2113</v>
      </c>
      <c r="M700" s="71"/>
      <c r="N700" s="63">
        <f>IFERROR(VLOOKUP($B700,'TB YTD'!$4:$1048576,MATCH('List of Ledgers '!N$4,'TB YTD'!$4:$4,0),0),0)</f>
        <v>0</v>
      </c>
      <c r="O700" s="63">
        <f>IFERROR(VLOOKUP($B700,'TB YTD'!$4:$1048576,MATCH('List of Ledgers '!O$4,'TB YTD'!$4:$4,0),0),0)</f>
        <v>1000000</v>
      </c>
      <c r="P700" s="63">
        <f>IFERROR(VLOOKUP($B700,'TB YTD'!$4:$1048576,MATCH('List of Ledgers '!P$4,'TB YTD'!$4:$4,0),0),0)</f>
        <v>1002113</v>
      </c>
      <c r="Q700" s="63">
        <f>IFERROR(VLOOKUP($B700,'TB YTD'!$4:$1048576,MATCH('List of Ledgers '!Q$4,'TB YTD'!$4:$4,0),0),0)</f>
        <v>-2113</v>
      </c>
      <c r="R700" s="63"/>
    </row>
    <row r="701" spans="1:18" hidden="1" x14ac:dyDescent="0.25">
      <c r="A701" s="106">
        <v>659</v>
      </c>
      <c r="B701" s="8" t="s">
        <v>888</v>
      </c>
      <c r="C701" s="8" t="s">
        <v>150</v>
      </c>
      <c r="D701" s="17" t="s">
        <v>151</v>
      </c>
      <c r="E701" s="17" t="s">
        <v>152</v>
      </c>
      <c r="F701" s="12" t="s">
        <v>56</v>
      </c>
      <c r="G701" s="17" t="s">
        <v>2</v>
      </c>
      <c r="H701" s="62"/>
      <c r="I701" s="37">
        <f>IFERROR(VLOOKUP(B701,'TB '!$A:$G,7,),0)</f>
        <v>0</v>
      </c>
      <c r="J701" s="37">
        <f>IFERROR(VLOOKUP($B701,'TB '!$4:$1048576,MATCH('List of Ledgers '!J$4,'TB '!$4:$4,0),0),0)</f>
        <v>0</v>
      </c>
      <c r="K701" s="37">
        <f>IFERROR(VLOOKUP($B701,'TB '!$4:$1048576,MATCH('List of Ledgers '!K$4,'TB '!$4:$4,0),0),0)</f>
        <v>0</v>
      </c>
      <c r="L701" s="37">
        <f>IFERROR(VLOOKUP(B701,'TB '!$A:$J,10,),0)</f>
        <v>0</v>
      </c>
      <c r="M701" s="71"/>
      <c r="N701" s="63">
        <f>IFERROR(VLOOKUP($B701,'TB YTD'!$4:$1048576,MATCH('List of Ledgers '!N$4,'TB YTD'!$4:$4,0),0),0)</f>
        <v>0</v>
      </c>
      <c r="O701" s="63">
        <f>IFERROR(VLOOKUP($B701,'TB YTD'!$4:$1048576,MATCH('List of Ledgers '!O$4,'TB YTD'!$4:$4,0),0),0)</f>
        <v>0</v>
      </c>
      <c r="P701" s="63">
        <f>IFERROR(VLOOKUP($B701,'TB YTD'!$4:$1048576,MATCH('List of Ledgers '!P$4,'TB YTD'!$4:$4,0),0),0)</f>
        <v>0</v>
      </c>
      <c r="Q701" s="63">
        <f>IFERROR(VLOOKUP($B701,'TB YTD'!$4:$1048576,MATCH('List of Ledgers '!Q$4,'TB YTD'!$4:$4,0),0),0)</f>
        <v>0</v>
      </c>
      <c r="R701" s="63"/>
    </row>
    <row r="702" spans="1:18" hidden="1" x14ac:dyDescent="0.25">
      <c r="A702" s="165">
        <f>A701+1</f>
        <v>660</v>
      </c>
      <c r="B702" s="2" t="s">
        <v>1123</v>
      </c>
      <c r="C702" s="2" t="s">
        <v>437</v>
      </c>
      <c r="D702" s="17"/>
      <c r="E702" s="17"/>
      <c r="I702" s="37">
        <f>IFERROR(VLOOKUP(B702,'TB '!$A:$G,7,),0)</f>
        <v>-2139</v>
      </c>
      <c r="J702" s="37">
        <f>IFERROR(VLOOKUP($B702,'TB '!$4:$1048576,MATCH('List of Ledgers '!J$4,'TB '!$4:$4,0),0),0)</f>
        <v>0</v>
      </c>
      <c r="K702" s="37">
        <f>IFERROR(VLOOKUP($B702,'TB '!$4:$1048576,MATCH('List of Ledgers '!K$4,'TB '!$4:$4,0),0),0)</f>
        <v>0</v>
      </c>
      <c r="L702" s="37">
        <f>IFERROR(VLOOKUP(B702,'TB '!$A:$J,10,),0)</f>
        <v>-2139</v>
      </c>
      <c r="M702" s="71"/>
      <c r="N702" s="63">
        <f>IFERROR(VLOOKUP($B702,'TB YTD'!$4:$1048576,MATCH('List of Ledgers '!N$4,'TB YTD'!$4:$4,0),0),0)</f>
        <v>0</v>
      </c>
      <c r="O702" s="63">
        <f>IFERROR(VLOOKUP($B702,'TB YTD'!$4:$1048576,MATCH('List of Ledgers '!O$4,'TB YTD'!$4:$4,0),0),0)</f>
        <v>1000000</v>
      </c>
      <c r="P702" s="63">
        <f>IFERROR(VLOOKUP($B702,'TB YTD'!$4:$1048576,MATCH('List of Ledgers '!P$4,'TB YTD'!$4:$4,0),0),0)</f>
        <v>1002139</v>
      </c>
      <c r="Q702" s="63">
        <f>IFERROR(VLOOKUP($B702,'TB YTD'!$4:$1048576,MATCH('List of Ledgers '!Q$4,'TB YTD'!$4:$4,0),0),0)</f>
        <v>-2139</v>
      </c>
      <c r="R702" s="63"/>
    </row>
    <row r="703" spans="1:18" hidden="1" x14ac:dyDescent="0.25">
      <c r="A703" s="106">
        <v>660</v>
      </c>
      <c r="B703" s="8" t="s">
        <v>889</v>
      </c>
      <c r="C703" s="8" t="s">
        <v>322</v>
      </c>
      <c r="D703" s="17" t="s">
        <v>151</v>
      </c>
      <c r="E703" s="17" t="s">
        <v>152</v>
      </c>
      <c r="F703" s="12" t="s">
        <v>56</v>
      </c>
      <c r="G703" s="17" t="s">
        <v>7</v>
      </c>
      <c r="H703" s="62"/>
      <c r="I703" s="37">
        <f>IFERROR(VLOOKUP(B703,'TB '!$A:$G,7,),0)</f>
        <v>0</v>
      </c>
      <c r="J703" s="37">
        <f>IFERROR(VLOOKUP($B703,'TB '!$4:$1048576,MATCH('List of Ledgers '!J$4,'TB '!$4:$4,0),0),0)</f>
        <v>0</v>
      </c>
      <c r="K703" s="37">
        <f>IFERROR(VLOOKUP($B703,'TB '!$4:$1048576,MATCH('List of Ledgers '!K$4,'TB '!$4:$4,0),0),0)</f>
        <v>0</v>
      </c>
      <c r="L703" s="37">
        <f>IFERROR(VLOOKUP(B703,'TB '!$A:$J,10,),0)</f>
        <v>0</v>
      </c>
      <c r="M703" s="71"/>
      <c r="N703" s="63">
        <f>IFERROR(VLOOKUP($B703,'TB YTD'!$4:$1048576,MATCH('List of Ledgers '!N$4,'TB YTD'!$4:$4,0),0),0)</f>
        <v>0</v>
      </c>
      <c r="O703" s="63">
        <f>IFERROR(VLOOKUP($B703,'TB YTD'!$4:$1048576,MATCH('List of Ledgers '!O$4,'TB YTD'!$4:$4,0),0),0)</f>
        <v>90295.38</v>
      </c>
      <c r="P703" s="63">
        <f>IFERROR(VLOOKUP($B703,'TB YTD'!$4:$1048576,MATCH('List of Ledgers '!P$4,'TB YTD'!$4:$4,0),0),0)</f>
        <v>0</v>
      </c>
      <c r="Q703" s="63">
        <f>IFERROR(VLOOKUP($B703,'TB YTD'!$4:$1048576,MATCH('List of Ledgers '!Q$4,'TB YTD'!$4:$4,0),0),0)</f>
        <v>90295.38</v>
      </c>
      <c r="R703" s="63"/>
    </row>
    <row r="704" spans="1:18" hidden="1" x14ac:dyDescent="0.25">
      <c r="A704" s="165">
        <f>A703+1</f>
        <v>661</v>
      </c>
      <c r="B704" s="2" t="s">
        <v>1124</v>
      </c>
      <c r="C704" s="2" t="s">
        <v>437</v>
      </c>
      <c r="D704" s="17"/>
      <c r="E704" s="17"/>
      <c r="I704" s="37">
        <f>IFERROR(VLOOKUP(B704,'TB '!$A:$G,7,),0)</f>
        <v>-1814</v>
      </c>
      <c r="J704" s="37">
        <f>IFERROR(VLOOKUP($B704,'TB '!$4:$1048576,MATCH('List of Ledgers '!J$4,'TB '!$4:$4,0),0),0)</f>
        <v>0</v>
      </c>
      <c r="K704" s="37">
        <f>IFERROR(VLOOKUP($B704,'TB '!$4:$1048576,MATCH('List of Ledgers '!K$4,'TB '!$4:$4,0),0),0)</f>
        <v>0</v>
      </c>
      <c r="L704" s="37">
        <f>IFERROR(VLOOKUP(B704,'TB '!$A:$J,10,),0)</f>
        <v>-1814</v>
      </c>
      <c r="M704" s="71"/>
      <c r="N704" s="63">
        <f>IFERROR(VLOOKUP($B704,'TB YTD'!$4:$1048576,MATCH('List of Ledgers '!N$4,'TB YTD'!$4:$4,0),0),0)</f>
        <v>0</v>
      </c>
      <c r="O704" s="63">
        <f>IFERROR(VLOOKUP($B704,'TB YTD'!$4:$1048576,MATCH('List of Ledgers '!O$4,'TB YTD'!$4:$4,0),0),0)</f>
        <v>1000000</v>
      </c>
      <c r="P704" s="63">
        <f>IFERROR(VLOOKUP($B704,'TB YTD'!$4:$1048576,MATCH('List of Ledgers '!P$4,'TB YTD'!$4:$4,0),0),0)</f>
        <v>1001814</v>
      </c>
      <c r="Q704" s="63">
        <f>IFERROR(VLOOKUP($B704,'TB YTD'!$4:$1048576,MATCH('List of Ledgers '!Q$4,'TB YTD'!$4:$4,0),0),0)</f>
        <v>-1814</v>
      </c>
      <c r="R704" s="63"/>
    </row>
    <row r="705" spans="1:18" hidden="1" x14ac:dyDescent="0.25">
      <c r="A705" s="106">
        <v>661</v>
      </c>
      <c r="B705" s="8" t="s">
        <v>890</v>
      </c>
      <c r="C705" s="8" t="s">
        <v>275</v>
      </c>
      <c r="D705" s="17" t="s">
        <v>151</v>
      </c>
      <c r="E705" s="17" t="s">
        <v>152</v>
      </c>
      <c r="F705" s="12" t="s">
        <v>56</v>
      </c>
      <c r="G705" s="17" t="s">
        <v>7</v>
      </c>
      <c r="H705" s="62"/>
      <c r="I705" s="37">
        <f>IFERROR(VLOOKUP(B705,'TB '!$A:$G,7,),0)</f>
        <v>0</v>
      </c>
      <c r="J705" s="37">
        <f>IFERROR(VLOOKUP($B705,'TB '!$4:$1048576,MATCH('List of Ledgers '!J$4,'TB '!$4:$4,0),0),0)</f>
        <v>4452</v>
      </c>
      <c r="K705" s="37">
        <f>IFERROR(VLOOKUP($B705,'TB '!$4:$1048576,MATCH('List of Ledgers '!K$4,'TB '!$4:$4,0),0),0)</f>
        <v>0</v>
      </c>
      <c r="L705" s="37">
        <f>IFERROR(VLOOKUP(B705,'TB '!$A:$J,10,),0)</f>
        <v>4452</v>
      </c>
      <c r="M705" s="71"/>
      <c r="N705" s="63">
        <f>IFERROR(VLOOKUP($B705,'TB YTD'!$4:$1048576,MATCH('List of Ledgers '!N$4,'TB YTD'!$4:$4,0),0),0)</f>
        <v>0</v>
      </c>
      <c r="O705" s="63">
        <f>IFERROR(VLOOKUP($B705,'TB YTD'!$4:$1048576,MATCH('List of Ledgers '!O$4,'TB YTD'!$4:$4,0),0),0)</f>
        <v>75146.289999999994</v>
      </c>
      <c r="P705" s="63">
        <f>IFERROR(VLOOKUP($B705,'TB YTD'!$4:$1048576,MATCH('List of Ledgers '!P$4,'TB YTD'!$4:$4,0),0),0)</f>
        <v>0</v>
      </c>
      <c r="Q705" s="63">
        <f>IFERROR(VLOOKUP($B705,'TB YTD'!$4:$1048576,MATCH('List of Ledgers '!Q$4,'TB YTD'!$4:$4,0),0),0)</f>
        <v>75146.289999999994</v>
      </c>
      <c r="R705" s="63"/>
    </row>
    <row r="706" spans="1:18" hidden="1" x14ac:dyDescent="0.25">
      <c r="A706" s="165">
        <f>A705+1</f>
        <v>662</v>
      </c>
      <c r="B706" s="2" t="s">
        <v>1125</v>
      </c>
      <c r="C706" s="2" t="s">
        <v>437</v>
      </c>
      <c r="D706" s="17"/>
      <c r="E706" s="17"/>
      <c r="I706" s="37">
        <f>IFERROR(VLOOKUP(B706,'TB '!$A:$G,7,),0)</f>
        <v>-1687</v>
      </c>
      <c r="J706" s="37">
        <f>IFERROR(VLOOKUP($B706,'TB '!$4:$1048576,MATCH('List of Ledgers '!J$4,'TB '!$4:$4,0),0),0)</f>
        <v>0</v>
      </c>
      <c r="K706" s="37">
        <f>IFERROR(VLOOKUP($B706,'TB '!$4:$1048576,MATCH('List of Ledgers '!K$4,'TB '!$4:$4,0),0),0)</f>
        <v>0</v>
      </c>
      <c r="L706" s="37">
        <f>IFERROR(VLOOKUP(B706,'TB '!$A:$J,10,),0)</f>
        <v>-1687</v>
      </c>
      <c r="M706" s="71"/>
      <c r="N706" s="63">
        <f>IFERROR(VLOOKUP($B706,'TB YTD'!$4:$1048576,MATCH('List of Ledgers '!N$4,'TB YTD'!$4:$4,0),0),0)</f>
        <v>0</v>
      </c>
      <c r="O706" s="63">
        <f>IFERROR(VLOOKUP($B706,'TB YTD'!$4:$1048576,MATCH('List of Ledgers '!O$4,'TB YTD'!$4:$4,0),0),0)</f>
        <v>1000000</v>
      </c>
      <c r="P706" s="63">
        <f>IFERROR(VLOOKUP($B706,'TB YTD'!$4:$1048576,MATCH('List of Ledgers '!P$4,'TB YTD'!$4:$4,0),0),0)</f>
        <v>1001687</v>
      </c>
      <c r="Q706" s="63">
        <f>IFERROR(VLOOKUP($B706,'TB YTD'!$4:$1048576,MATCH('List of Ledgers '!Q$4,'TB YTD'!$4:$4,0),0),0)</f>
        <v>-1687</v>
      </c>
      <c r="R706" s="63"/>
    </row>
    <row r="707" spans="1:18" hidden="1" x14ac:dyDescent="0.25">
      <c r="A707" s="106">
        <v>662</v>
      </c>
      <c r="B707" s="8" t="s">
        <v>891</v>
      </c>
      <c r="C707" s="8" t="s">
        <v>133</v>
      </c>
      <c r="D707" s="17" t="s">
        <v>128</v>
      </c>
      <c r="E707" s="17" t="s">
        <v>134</v>
      </c>
      <c r="G707" s="17" t="s">
        <v>2</v>
      </c>
      <c r="H707" s="62"/>
      <c r="I707" s="37">
        <f>IFERROR(VLOOKUP(B707,'TB '!$A:$G,7,),0)</f>
        <v>0</v>
      </c>
      <c r="J707" s="37">
        <f>IFERROR(VLOOKUP($B707,'TB '!$4:$1048576,MATCH('List of Ledgers '!J$4,'TB '!$4:$4,0),0),0)</f>
        <v>0</v>
      </c>
      <c r="K707" s="37">
        <f>IFERROR(VLOOKUP($B707,'TB '!$4:$1048576,MATCH('List of Ledgers '!K$4,'TB '!$4:$4,0),0),0)</f>
        <v>0</v>
      </c>
      <c r="L707" s="37">
        <f>IFERROR(VLOOKUP(B707,'TB '!$A:$J,10,),0)</f>
        <v>0</v>
      </c>
      <c r="M707" s="71"/>
      <c r="N707" s="63">
        <f>IFERROR(VLOOKUP($B707,'TB YTD'!$4:$1048576,MATCH('List of Ledgers '!N$4,'TB YTD'!$4:$4,0),0),0)</f>
        <v>0</v>
      </c>
      <c r="O707" s="63">
        <f>IFERROR(VLOOKUP($B707,'TB YTD'!$4:$1048576,MATCH('List of Ledgers '!O$4,'TB YTD'!$4:$4,0),0),0)</f>
        <v>0</v>
      </c>
      <c r="P707" s="63">
        <f>IFERROR(VLOOKUP($B707,'TB YTD'!$4:$1048576,MATCH('List of Ledgers '!P$4,'TB YTD'!$4:$4,0),0),0)</f>
        <v>0</v>
      </c>
      <c r="Q707" s="63">
        <f>IFERROR(VLOOKUP($B707,'TB YTD'!$4:$1048576,MATCH('List of Ledgers '!Q$4,'TB YTD'!$4:$4,0),0),0)</f>
        <v>0</v>
      </c>
      <c r="R707" s="63"/>
    </row>
    <row r="708" spans="1:18" hidden="1" x14ac:dyDescent="0.25">
      <c r="A708" s="165">
        <f>A707+1</f>
        <v>663</v>
      </c>
      <c r="B708" s="2" t="s">
        <v>1126</v>
      </c>
      <c r="C708" s="2" t="s">
        <v>437</v>
      </c>
      <c r="D708" s="17"/>
      <c r="E708" s="17"/>
      <c r="I708" s="37">
        <f>IFERROR(VLOOKUP(B708,'TB '!$A:$G,7,),0)</f>
        <v>-1388</v>
      </c>
      <c r="J708" s="37">
        <f>IFERROR(VLOOKUP($B708,'TB '!$4:$1048576,MATCH('List of Ledgers '!J$4,'TB '!$4:$4,0),0),0)</f>
        <v>0</v>
      </c>
      <c r="K708" s="37">
        <f>IFERROR(VLOOKUP($B708,'TB '!$4:$1048576,MATCH('List of Ledgers '!K$4,'TB '!$4:$4,0),0),0)</f>
        <v>0</v>
      </c>
      <c r="L708" s="37">
        <f>IFERROR(VLOOKUP(B708,'TB '!$A:$J,10,),0)</f>
        <v>-1388</v>
      </c>
      <c r="M708" s="71"/>
      <c r="N708" s="63">
        <f>IFERROR(VLOOKUP($B708,'TB YTD'!$4:$1048576,MATCH('List of Ledgers '!N$4,'TB YTD'!$4:$4,0),0),0)</f>
        <v>0</v>
      </c>
      <c r="O708" s="63">
        <f>IFERROR(VLOOKUP($B708,'TB YTD'!$4:$1048576,MATCH('List of Ledgers '!O$4,'TB YTD'!$4:$4,0),0),0)</f>
        <v>1000000</v>
      </c>
      <c r="P708" s="63">
        <f>IFERROR(VLOOKUP($B708,'TB YTD'!$4:$1048576,MATCH('List of Ledgers '!P$4,'TB YTD'!$4:$4,0),0),0)</f>
        <v>1001388</v>
      </c>
      <c r="Q708" s="63">
        <f>IFERROR(VLOOKUP($B708,'TB YTD'!$4:$1048576,MATCH('List of Ledgers '!Q$4,'TB YTD'!$4:$4,0),0),0)</f>
        <v>-1388</v>
      </c>
      <c r="R708" s="63"/>
    </row>
    <row r="709" spans="1:18" hidden="1" x14ac:dyDescent="0.25">
      <c r="A709" s="106">
        <v>663</v>
      </c>
      <c r="B709" s="8" t="s">
        <v>892</v>
      </c>
      <c r="C709" s="8" t="s">
        <v>540</v>
      </c>
      <c r="D709" s="106"/>
      <c r="E709" s="17"/>
      <c r="G709" s="17"/>
      <c r="H709" s="62"/>
      <c r="I709" s="37">
        <f>IFERROR(VLOOKUP(B709,'TB '!$A:$G,7,),0)</f>
        <v>0</v>
      </c>
      <c r="J709" s="37">
        <f>IFERROR(VLOOKUP($B709,'TB '!$4:$1048576,MATCH('List of Ledgers '!J$4,'TB '!$4:$4,0),0),0)</f>
        <v>0</v>
      </c>
      <c r="K709" s="37">
        <f>IFERROR(VLOOKUP($B709,'TB '!$4:$1048576,MATCH('List of Ledgers '!K$4,'TB '!$4:$4,0),0),0)</f>
        <v>5000</v>
      </c>
      <c r="L709" s="37">
        <f>IFERROR(VLOOKUP(B709,'TB '!$A:$J,10,),0)</f>
        <v>-5000</v>
      </c>
      <c r="M709" s="71"/>
      <c r="N709" s="63">
        <f>IFERROR(VLOOKUP($B709,'TB YTD'!$4:$1048576,MATCH('List of Ledgers '!N$4,'TB YTD'!$4:$4,0),0),0)</f>
        <v>0</v>
      </c>
      <c r="O709" s="63">
        <f>IFERROR(VLOOKUP($B709,'TB YTD'!$4:$1048576,MATCH('List of Ledgers '!O$4,'TB YTD'!$4:$4,0),0),0)</f>
        <v>0</v>
      </c>
      <c r="P709" s="63">
        <f>IFERROR(VLOOKUP($B709,'TB YTD'!$4:$1048576,MATCH('List of Ledgers '!P$4,'TB YTD'!$4:$4,0),0),0)</f>
        <v>5000</v>
      </c>
      <c r="Q709" s="63">
        <f>IFERROR(VLOOKUP($B709,'TB YTD'!$4:$1048576,MATCH('List of Ledgers '!Q$4,'TB YTD'!$4:$4,0),0),0)</f>
        <v>-5000</v>
      </c>
      <c r="R709" s="63"/>
    </row>
    <row r="710" spans="1:18" hidden="1" x14ac:dyDescent="0.25">
      <c r="A710" s="165">
        <f>A709+1</f>
        <v>664</v>
      </c>
      <c r="B710" s="2" t="s">
        <v>1127</v>
      </c>
      <c r="C710" s="2" t="s">
        <v>437</v>
      </c>
      <c r="D710" s="17"/>
      <c r="E710" s="17"/>
      <c r="I710" s="37">
        <f>IFERROR(VLOOKUP(B710,'TB '!$A:$G,7,),0)</f>
        <v>-1295</v>
      </c>
      <c r="J710" s="37">
        <f>IFERROR(VLOOKUP($B710,'TB '!$4:$1048576,MATCH('List of Ledgers '!J$4,'TB '!$4:$4,0),0),0)</f>
        <v>0</v>
      </c>
      <c r="K710" s="37">
        <f>IFERROR(VLOOKUP($B710,'TB '!$4:$1048576,MATCH('List of Ledgers '!K$4,'TB '!$4:$4,0),0),0)</f>
        <v>0</v>
      </c>
      <c r="L710" s="37">
        <f>IFERROR(VLOOKUP(B710,'TB '!$A:$J,10,),0)</f>
        <v>-1295</v>
      </c>
      <c r="M710" s="71"/>
      <c r="N710" s="63">
        <f>IFERROR(VLOOKUP($B710,'TB YTD'!$4:$1048576,MATCH('List of Ledgers '!N$4,'TB YTD'!$4:$4,0),0),0)</f>
        <v>0</v>
      </c>
      <c r="O710" s="63">
        <f>IFERROR(VLOOKUP($B710,'TB YTD'!$4:$1048576,MATCH('List of Ledgers '!O$4,'TB YTD'!$4:$4,0),0),0)</f>
        <v>1000000</v>
      </c>
      <c r="P710" s="63">
        <f>IFERROR(VLOOKUP($B710,'TB YTD'!$4:$1048576,MATCH('List of Ledgers '!P$4,'TB YTD'!$4:$4,0),0),0)</f>
        <v>1001295</v>
      </c>
      <c r="Q710" s="63">
        <f>IFERROR(VLOOKUP($B710,'TB YTD'!$4:$1048576,MATCH('List of Ledgers '!Q$4,'TB YTD'!$4:$4,0),0),0)</f>
        <v>-1295</v>
      </c>
      <c r="R710" s="63"/>
    </row>
    <row r="711" spans="1:18" hidden="1" x14ac:dyDescent="0.25">
      <c r="A711" s="106">
        <v>664</v>
      </c>
      <c r="B711" s="8" t="s">
        <v>893</v>
      </c>
      <c r="C711" s="8" t="s">
        <v>286</v>
      </c>
      <c r="D711" s="106"/>
      <c r="E711" s="17"/>
      <c r="G711" s="17"/>
      <c r="H711" s="62"/>
      <c r="I711" s="37">
        <f>IFERROR(VLOOKUP(B711,'TB '!$A:$G,7,),0)</f>
        <v>0</v>
      </c>
      <c r="J711" s="37">
        <f>IFERROR(VLOOKUP($B711,'TB '!$4:$1048576,MATCH('List of Ledgers '!J$4,'TB '!$4:$4,0),0),0)</f>
        <v>0</v>
      </c>
      <c r="K711" s="37">
        <f>IFERROR(VLOOKUP($B711,'TB '!$4:$1048576,MATCH('List of Ledgers '!K$4,'TB '!$4:$4,0),0),0)</f>
        <v>0</v>
      </c>
      <c r="L711" s="37">
        <f>IFERROR(VLOOKUP(B711,'TB '!$A:$J,10,),0)</f>
        <v>0</v>
      </c>
      <c r="M711" s="71"/>
      <c r="N711" s="63">
        <f>IFERROR(VLOOKUP($B711,'TB YTD'!$4:$1048576,MATCH('List of Ledgers '!N$4,'TB YTD'!$4:$4,0),0),0)</f>
        <v>75539.91</v>
      </c>
      <c r="O711" s="63">
        <f>IFERROR(VLOOKUP($B711,'TB YTD'!$4:$1048576,MATCH('List of Ledgers '!O$4,'TB YTD'!$4:$4,0),0),0)</f>
        <v>78.260000000000005</v>
      </c>
      <c r="P711" s="63">
        <f>IFERROR(VLOOKUP($B711,'TB YTD'!$4:$1048576,MATCH('List of Ledgers '!P$4,'TB YTD'!$4:$4,0),0),0)</f>
        <v>75618.17</v>
      </c>
      <c r="Q711" s="63">
        <f>IFERROR(VLOOKUP($B711,'TB YTD'!$4:$1048576,MATCH('List of Ledgers '!Q$4,'TB YTD'!$4:$4,0),0),0)</f>
        <v>0</v>
      </c>
      <c r="R711" s="63"/>
    </row>
    <row r="712" spans="1:18" hidden="1" x14ac:dyDescent="0.25">
      <c r="A712" s="165">
        <f>A711+1</f>
        <v>665</v>
      </c>
      <c r="B712" s="2" t="s">
        <v>1128</v>
      </c>
      <c r="C712" s="2" t="s">
        <v>437</v>
      </c>
      <c r="D712" s="17"/>
      <c r="E712" s="17"/>
      <c r="I712" s="37">
        <f>IFERROR(VLOOKUP(B712,'TB '!$A:$G,7,),0)</f>
        <v>-1197</v>
      </c>
      <c r="J712" s="37">
        <f>IFERROR(VLOOKUP($B712,'TB '!$4:$1048576,MATCH('List of Ledgers '!J$4,'TB '!$4:$4,0),0),0)</f>
        <v>0</v>
      </c>
      <c r="K712" s="37">
        <f>IFERROR(VLOOKUP($B712,'TB '!$4:$1048576,MATCH('List of Ledgers '!K$4,'TB '!$4:$4,0),0),0)</f>
        <v>0</v>
      </c>
      <c r="L712" s="37">
        <f>IFERROR(VLOOKUP(B712,'TB '!$A:$J,10,),0)</f>
        <v>-1197</v>
      </c>
      <c r="M712" s="71"/>
      <c r="N712" s="63">
        <f>IFERROR(VLOOKUP($B712,'TB YTD'!$4:$1048576,MATCH('List of Ledgers '!N$4,'TB YTD'!$4:$4,0),0),0)</f>
        <v>0</v>
      </c>
      <c r="O712" s="63">
        <f>IFERROR(VLOOKUP($B712,'TB YTD'!$4:$1048576,MATCH('List of Ledgers '!O$4,'TB YTD'!$4:$4,0),0),0)</f>
        <v>1000000</v>
      </c>
      <c r="P712" s="63">
        <f>IFERROR(VLOOKUP($B712,'TB YTD'!$4:$1048576,MATCH('List of Ledgers '!P$4,'TB YTD'!$4:$4,0),0),0)</f>
        <v>1001197</v>
      </c>
      <c r="Q712" s="63">
        <f>IFERROR(VLOOKUP($B712,'TB YTD'!$4:$1048576,MATCH('List of Ledgers '!Q$4,'TB YTD'!$4:$4,0),0),0)</f>
        <v>-1197</v>
      </c>
      <c r="R712" s="63"/>
    </row>
    <row r="713" spans="1:18" hidden="1" x14ac:dyDescent="0.25">
      <c r="A713" s="106">
        <v>665</v>
      </c>
      <c r="B713" s="8" t="s">
        <v>894</v>
      </c>
      <c r="C713" s="8" t="s">
        <v>193</v>
      </c>
      <c r="H713" s="62"/>
      <c r="I713" s="37">
        <f>IFERROR(VLOOKUP(B713,'TB '!$A:$G,7,),0)</f>
        <v>-15713.54</v>
      </c>
      <c r="J713" s="37">
        <f>IFERROR(VLOOKUP($B713,'TB '!$4:$1048576,MATCH('List of Ledgers '!J$4,'TB '!$4:$4,0),0),0)</f>
        <v>0</v>
      </c>
      <c r="K713" s="37">
        <f>IFERROR(VLOOKUP($B713,'TB '!$4:$1048576,MATCH('List of Ledgers '!K$4,'TB '!$4:$4,0),0),0)</f>
        <v>0</v>
      </c>
      <c r="L713" s="37">
        <f>IFERROR(VLOOKUP(B713,'TB '!$A:$J,10,),0)</f>
        <v>-15713.54</v>
      </c>
      <c r="M713" s="71"/>
      <c r="N713" s="63">
        <f>IFERROR(VLOOKUP($B713,'TB YTD'!$4:$1048576,MATCH('List of Ledgers '!N$4,'TB YTD'!$4:$4,0),0),0)</f>
        <v>553395</v>
      </c>
      <c r="O713" s="63">
        <f>IFERROR(VLOOKUP($B713,'TB YTD'!$4:$1048576,MATCH('List of Ledgers '!O$4,'TB YTD'!$4:$4,0),0),0)</f>
        <v>0</v>
      </c>
      <c r="P713" s="63">
        <f>IFERROR(VLOOKUP($B713,'TB YTD'!$4:$1048576,MATCH('List of Ledgers '!P$4,'TB YTD'!$4:$4,0),0),0)</f>
        <v>569108.54</v>
      </c>
      <c r="Q713" s="63">
        <f>IFERROR(VLOOKUP($B713,'TB YTD'!$4:$1048576,MATCH('List of Ledgers '!Q$4,'TB YTD'!$4:$4,0),0),0)</f>
        <v>-15713.54</v>
      </c>
      <c r="R713" s="63"/>
    </row>
    <row r="714" spans="1:18" hidden="1" x14ac:dyDescent="0.25">
      <c r="A714" s="106">
        <v>666</v>
      </c>
      <c r="B714" s="8" t="s">
        <v>895</v>
      </c>
      <c r="C714" s="8" t="s">
        <v>146</v>
      </c>
      <c r="D714" s="17"/>
      <c r="E714" s="17"/>
      <c r="G714" s="17"/>
      <c r="H714" s="62"/>
      <c r="I714" s="37">
        <f>IFERROR(VLOOKUP(B714,'TB '!$A:$G,7,),0)</f>
        <v>8567</v>
      </c>
      <c r="J714" s="37">
        <f>IFERROR(VLOOKUP($B714,'TB '!$4:$1048576,MATCH('List of Ledgers '!J$4,'TB '!$4:$4,0),0),0)</f>
        <v>0</v>
      </c>
      <c r="K714" s="37">
        <f>IFERROR(VLOOKUP($B714,'TB '!$4:$1048576,MATCH('List of Ledgers '!K$4,'TB '!$4:$4,0),0),0)</f>
        <v>0</v>
      </c>
      <c r="L714" s="37">
        <f>IFERROR(VLOOKUP(B714,'TB '!$A:$J,10,),0)</f>
        <v>8567</v>
      </c>
      <c r="M714" s="71"/>
      <c r="N714" s="63">
        <f>IFERROR(VLOOKUP($B714,'TB YTD'!$4:$1048576,MATCH('List of Ledgers '!N$4,'TB YTD'!$4:$4,0),0),0)</f>
        <v>8567</v>
      </c>
      <c r="O714" s="63">
        <f>IFERROR(VLOOKUP($B714,'TB YTD'!$4:$1048576,MATCH('List of Ledgers '!O$4,'TB YTD'!$4:$4,0),0),0)</f>
        <v>0</v>
      </c>
      <c r="P714" s="63">
        <f>IFERROR(VLOOKUP($B714,'TB YTD'!$4:$1048576,MATCH('List of Ledgers '!P$4,'TB YTD'!$4:$4,0),0),0)</f>
        <v>0</v>
      </c>
      <c r="Q714" s="63">
        <f>IFERROR(VLOOKUP($B714,'TB YTD'!$4:$1048576,MATCH('List of Ledgers '!Q$4,'TB YTD'!$4:$4,0),0),0)</f>
        <v>8567</v>
      </c>
      <c r="R714" s="63"/>
    </row>
    <row r="715" spans="1:18" hidden="1" x14ac:dyDescent="0.25">
      <c r="A715" s="106">
        <v>667</v>
      </c>
      <c r="B715" s="8" t="s">
        <v>896</v>
      </c>
      <c r="C715" s="8" t="s">
        <v>250</v>
      </c>
      <c r="D715" s="17" t="s">
        <v>128</v>
      </c>
      <c r="E715" s="17" t="s">
        <v>131</v>
      </c>
      <c r="G715" s="17" t="s">
        <v>7</v>
      </c>
      <c r="H715" s="62"/>
      <c r="I715" s="37">
        <f>IFERROR(VLOOKUP(B715,'TB '!$A:$G,7,),0)</f>
        <v>0</v>
      </c>
      <c r="J715" s="37">
        <f>IFERROR(VLOOKUP($B715,'TB '!$4:$1048576,MATCH('List of Ledgers '!J$4,'TB '!$4:$4,0),0),0)</f>
        <v>0</v>
      </c>
      <c r="K715" s="37">
        <f>IFERROR(VLOOKUP($B715,'TB '!$4:$1048576,MATCH('List of Ledgers '!K$4,'TB '!$4:$4,0),0),0)</f>
        <v>0</v>
      </c>
      <c r="L715" s="37">
        <f>IFERROR(VLOOKUP(B715,'TB '!$A:$J,10,),0)</f>
        <v>0</v>
      </c>
      <c r="M715" s="71"/>
      <c r="N715" s="63">
        <f>IFERROR(VLOOKUP($B715,'TB YTD'!$4:$1048576,MATCH('List of Ledgers '!N$4,'TB YTD'!$4:$4,0),0),0)</f>
        <v>0</v>
      </c>
      <c r="O715" s="63">
        <f>IFERROR(VLOOKUP($B715,'TB YTD'!$4:$1048576,MATCH('List of Ledgers '!O$4,'TB YTD'!$4:$4,0),0),0)</f>
        <v>0</v>
      </c>
      <c r="P715" s="63">
        <f>IFERROR(VLOOKUP($B715,'TB YTD'!$4:$1048576,MATCH('List of Ledgers '!P$4,'TB YTD'!$4:$4,0),0),0)</f>
        <v>0</v>
      </c>
      <c r="Q715" s="63">
        <f>IFERROR(VLOOKUP($B715,'TB YTD'!$4:$1048576,MATCH('List of Ledgers '!Q$4,'TB YTD'!$4:$4,0),0),0)</f>
        <v>0</v>
      </c>
      <c r="R715" s="63"/>
    </row>
    <row r="716" spans="1:18" hidden="1" x14ac:dyDescent="0.25">
      <c r="A716" s="106">
        <v>668</v>
      </c>
      <c r="B716" s="8" t="s">
        <v>897</v>
      </c>
      <c r="C716" s="8" t="s">
        <v>293</v>
      </c>
      <c r="D716" s="17"/>
      <c r="E716" s="17"/>
      <c r="G716" s="17"/>
      <c r="H716" s="62"/>
      <c r="I716" s="37">
        <f>IFERROR(VLOOKUP(B716,'TB '!$A:$G,7,),0)</f>
        <v>0</v>
      </c>
      <c r="J716" s="37">
        <f>IFERROR(VLOOKUP($B716,'TB '!$4:$1048576,MATCH('List of Ledgers '!J$4,'TB '!$4:$4,0),0),0)</f>
        <v>0</v>
      </c>
      <c r="K716" s="37">
        <f>IFERROR(VLOOKUP($B716,'TB '!$4:$1048576,MATCH('List of Ledgers '!K$4,'TB '!$4:$4,0),0),0)</f>
        <v>0</v>
      </c>
      <c r="L716" s="37">
        <f>IFERROR(VLOOKUP(B716,'TB '!$A:$J,10,),0)</f>
        <v>0</v>
      </c>
      <c r="M716" s="71"/>
      <c r="N716" s="63">
        <f>IFERROR(VLOOKUP($B716,'TB YTD'!$4:$1048576,MATCH('List of Ledgers '!N$4,'TB YTD'!$4:$4,0),0),0)</f>
        <v>0</v>
      </c>
      <c r="O716" s="63">
        <f>IFERROR(VLOOKUP($B716,'TB YTD'!$4:$1048576,MATCH('List of Ledgers '!O$4,'TB YTD'!$4:$4,0),0),0)</f>
        <v>0</v>
      </c>
      <c r="P716" s="63">
        <f>IFERROR(VLOOKUP($B716,'TB YTD'!$4:$1048576,MATCH('List of Ledgers '!P$4,'TB YTD'!$4:$4,0),0),0)</f>
        <v>0</v>
      </c>
      <c r="Q716" s="63">
        <f>IFERROR(VLOOKUP($B716,'TB YTD'!$4:$1048576,MATCH('List of Ledgers '!Q$4,'TB YTD'!$4:$4,0),0),0)</f>
        <v>0</v>
      </c>
      <c r="R716" s="63"/>
    </row>
    <row r="717" spans="1:18" hidden="1" x14ac:dyDescent="0.25">
      <c r="A717" s="106">
        <v>669</v>
      </c>
      <c r="B717" s="8" t="s">
        <v>898</v>
      </c>
      <c r="C717" s="8" t="s">
        <v>146</v>
      </c>
      <c r="H717" s="62"/>
      <c r="I717" s="37">
        <f>IFERROR(VLOOKUP(B717,'TB '!$A:$G,7,),0)</f>
        <v>11041.2</v>
      </c>
      <c r="J717" s="37">
        <f>IFERROR(VLOOKUP($B717,'TB '!$4:$1048576,MATCH('List of Ledgers '!J$4,'TB '!$4:$4,0),0),0)</f>
        <v>0</v>
      </c>
      <c r="K717" s="37">
        <f>IFERROR(VLOOKUP($B717,'TB '!$4:$1048576,MATCH('List of Ledgers '!K$4,'TB '!$4:$4,0),0),0)</f>
        <v>0</v>
      </c>
      <c r="L717" s="37">
        <f>IFERROR(VLOOKUP(B717,'TB '!$A:$J,10,),0)</f>
        <v>11041.2</v>
      </c>
      <c r="M717" s="71"/>
      <c r="N717" s="63">
        <f>IFERROR(VLOOKUP($B717,'TB YTD'!$4:$1048576,MATCH('List of Ledgers '!N$4,'TB YTD'!$4:$4,0),0),0)</f>
        <v>11041.2</v>
      </c>
      <c r="O717" s="63">
        <f>IFERROR(VLOOKUP($B717,'TB YTD'!$4:$1048576,MATCH('List of Ledgers '!O$4,'TB YTD'!$4:$4,0),0),0)</f>
        <v>0</v>
      </c>
      <c r="P717" s="63">
        <f>IFERROR(VLOOKUP($B717,'TB YTD'!$4:$1048576,MATCH('List of Ledgers '!P$4,'TB YTD'!$4:$4,0),0),0)</f>
        <v>0</v>
      </c>
      <c r="Q717" s="63">
        <f>IFERROR(VLOOKUP($B717,'TB YTD'!$4:$1048576,MATCH('List of Ledgers '!Q$4,'TB YTD'!$4:$4,0),0),0)</f>
        <v>11041.2</v>
      </c>
      <c r="R717" s="63"/>
    </row>
    <row r="718" spans="1:18" hidden="1" x14ac:dyDescent="0.25">
      <c r="A718" s="106">
        <v>670</v>
      </c>
      <c r="B718" s="8" t="s">
        <v>899</v>
      </c>
      <c r="C718" s="8" t="s">
        <v>900</v>
      </c>
      <c r="H718" s="62"/>
      <c r="I718" s="37">
        <f>IFERROR(VLOOKUP(B718,'TB '!$A:$G,7,),0)</f>
        <v>5744</v>
      </c>
      <c r="J718" s="37">
        <f>IFERROR(VLOOKUP($B718,'TB '!$4:$1048576,MATCH('List of Ledgers '!J$4,'TB '!$4:$4,0),0),0)</f>
        <v>0</v>
      </c>
      <c r="K718" s="37">
        <f>IFERROR(VLOOKUP($B718,'TB '!$4:$1048576,MATCH('List of Ledgers '!K$4,'TB '!$4:$4,0),0),0)</f>
        <v>0</v>
      </c>
      <c r="L718" s="37">
        <f>IFERROR(VLOOKUP(B718,'TB '!$A:$J,10,),0)</f>
        <v>5744</v>
      </c>
      <c r="M718" s="71"/>
      <c r="N718" s="63">
        <f>IFERROR(VLOOKUP($B718,'TB YTD'!$4:$1048576,MATCH('List of Ledgers '!N$4,'TB YTD'!$4:$4,0),0),0)</f>
        <v>5744</v>
      </c>
      <c r="O718" s="63">
        <f>IFERROR(VLOOKUP($B718,'TB YTD'!$4:$1048576,MATCH('List of Ledgers '!O$4,'TB YTD'!$4:$4,0),0),0)</f>
        <v>0</v>
      </c>
      <c r="P718" s="63">
        <f>IFERROR(VLOOKUP($B718,'TB YTD'!$4:$1048576,MATCH('List of Ledgers '!P$4,'TB YTD'!$4:$4,0),0),0)</f>
        <v>0</v>
      </c>
      <c r="Q718" s="63">
        <f>IFERROR(VLOOKUP($B718,'TB YTD'!$4:$1048576,MATCH('List of Ledgers '!Q$4,'TB YTD'!$4:$4,0),0),0)</f>
        <v>5744</v>
      </c>
      <c r="R718" s="63"/>
    </row>
    <row r="719" spans="1:18" hidden="1" x14ac:dyDescent="0.25">
      <c r="A719" s="106">
        <v>671</v>
      </c>
      <c r="B719" s="8" t="s">
        <v>901</v>
      </c>
      <c r="C719" s="8" t="s">
        <v>146</v>
      </c>
      <c r="D719" s="17"/>
      <c r="E719" s="17"/>
      <c r="G719" s="17"/>
      <c r="H719" s="62"/>
      <c r="I719" s="37">
        <f>IFERROR(VLOOKUP(B719,'TB '!$A:$G,7,),0)</f>
        <v>-916</v>
      </c>
      <c r="J719" s="37">
        <f>IFERROR(VLOOKUP($B719,'TB '!$4:$1048576,MATCH('List of Ledgers '!J$4,'TB '!$4:$4,0),0),0)</f>
        <v>0</v>
      </c>
      <c r="K719" s="37">
        <f>IFERROR(VLOOKUP($B719,'TB '!$4:$1048576,MATCH('List of Ledgers '!K$4,'TB '!$4:$4,0),0),0)</f>
        <v>0</v>
      </c>
      <c r="L719" s="37">
        <f>IFERROR(VLOOKUP(B719,'TB '!$A:$J,10,),0)</f>
        <v>-916</v>
      </c>
      <c r="M719" s="71"/>
      <c r="N719" s="63">
        <f>IFERROR(VLOOKUP($B719,'TB YTD'!$4:$1048576,MATCH('List of Ledgers '!N$4,'TB YTD'!$4:$4,0),0),0)</f>
        <v>-916</v>
      </c>
      <c r="O719" s="63">
        <f>IFERROR(VLOOKUP($B719,'TB YTD'!$4:$1048576,MATCH('List of Ledgers '!O$4,'TB YTD'!$4:$4,0),0),0)</f>
        <v>0</v>
      </c>
      <c r="P719" s="63">
        <f>IFERROR(VLOOKUP($B719,'TB YTD'!$4:$1048576,MATCH('List of Ledgers '!P$4,'TB YTD'!$4:$4,0),0),0)</f>
        <v>0</v>
      </c>
      <c r="Q719" s="63">
        <f>IFERROR(VLOOKUP($B719,'TB YTD'!$4:$1048576,MATCH('List of Ledgers '!Q$4,'TB YTD'!$4:$4,0),0),0)</f>
        <v>-916</v>
      </c>
      <c r="R719" s="63"/>
    </row>
    <row r="720" spans="1:18" hidden="1" x14ac:dyDescent="0.25">
      <c r="A720" s="106">
        <v>672</v>
      </c>
      <c r="B720" s="8" t="s">
        <v>902</v>
      </c>
      <c r="C720" s="8" t="s">
        <v>903</v>
      </c>
      <c r="D720" s="17"/>
      <c r="E720" s="17"/>
      <c r="G720" s="17"/>
      <c r="H720" s="62"/>
      <c r="I720" s="37">
        <f>IFERROR(VLOOKUP(B720,'TB '!$A:$G,7,),0)</f>
        <v>288246</v>
      </c>
      <c r="J720" s="37">
        <f>IFERROR(VLOOKUP($B720,'TB '!$4:$1048576,MATCH('List of Ledgers '!J$4,'TB '!$4:$4,0),0),0)</f>
        <v>0</v>
      </c>
      <c r="K720" s="37">
        <f>IFERROR(VLOOKUP($B720,'TB '!$4:$1048576,MATCH('List of Ledgers '!K$4,'TB '!$4:$4,0),0),0)</f>
        <v>0</v>
      </c>
      <c r="L720" s="37">
        <f>IFERROR(VLOOKUP(B720,'TB '!$A:$J,10,),0)</f>
        <v>288246</v>
      </c>
      <c r="M720" s="71"/>
      <c r="N720" s="63">
        <f>IFERROR(VLOOKUP($B720,'TB YTD'!$4:$1048576,MATCH('List of Ledgers '!N$4,'TB YTD'!$4:$4,0),0),0)</f>
        <v>288246</v>
      </c>
      <c r="O720" s="63">
        <f>IFERROR(VLOOKUP($B720,'TB YTD'!$4:$1048576,MATCH('List of Ledgers '!O$4,'TB YTD'!$4:$4,0),0),0)</f>
        <v>0</v>
      </c>
      <c r="P720" s="63">
        <f>IFERROR(VLOOKUP($B720,'TB YTD'!$4:$1048576,MATCH('List of Ledgers '!P$4,'TB YTD'!$4:$4,0),0),0)</f>
        <v>0</v>
      </c>
      <c r="Q720" s="63">
        <f>IFERROR(VLOOKUP($B720,'TB YTD'!$4:$1048576,MATCH('List of Ledgers '!Q$4,'TB YTD'!$4:$4,0),0),0)</f>
        <v>288246</v>
      </c>
      <c r="R720" s="63"/>
    </row>
    <row r="721" spans="1:18" hidden="1" x14ac:dyDescent="0.25">
      <c r="A721" s="106">
        <v>673</v>
      </c>
      <c r="B721" s="8" t="s">
        <v>904</v>
      </c>
      <c r="C721" s="8" t="s">
        <v>903</v>
      </c>
      <c r="D721" s="17"/>
      <c r="E721" s="17"/>
      <c r="G721" s="17"/>
      <c r="H721" s="62"/>
      <c r="I721" s="37">
        <f>IFERROR(VLOOKUP(B721,'TB '!$A:$G,7,),0)</f>
        <v>162000</v>
      </c>
      <c r="J721" s="37">
        <f>IFERROR(VLOOKUP($B721,'TB '!$4:$1048576,MATCH('List of Ledgers '!J$4,'TB '!$4:$4,0),0),0)</f>
        <v>0</v>
      </c>
      <c r="K721" s="37">
        <f>IFERROR(VLOOKUP($B721,'TB '!$4:$1048576,MATCH('List of Ledgers '!K$4,'TB '!$4:$4,0),0),0)</f>
        <v>0</v>
      </c>
      <c r="L721" s="37">
        <f>IFERROR(VLOOKUP(B721,'TB '!$A:$J,10,),0)</f>
        <v>162000</v>
      </c>
      <c r="M721" s="71"/>
      <c r="N721" s="63">
        <f>IFERROR(VLOOKUP($B721,'TB YTD'!$4:$1048576,MATCH('List of Ledgers '!N$4,'TB YTD'!$4:$4,0),0),0)</f>
        <v>162000</v>
      </c>
      <c r="O721" s="63">
        <f>IFERROR(VLOOKUP($B721,'TB YTD'!$4:$1048576,MATCH('List of Ledgers '!O$4,'TB YTD'!$4:$4,0),0),0)</f>
        <v>0</v>
      </c>
      <c r="P721" s="63">
        <f>IFERROR(VLOOKUP($B721,'TB YTD'!$4:$1048576,MATCH('List of Ledgers '!P$4,'TB YTD'!$4:$4,0),0),0)</f>
        <v>0</v>
      </c>
      <c r="Q721" s="63">
        <f>IFERROR(VLOOKUP($B721,'TB YTD'!$4:$1048576,MATCH('List of Ledgers '!Q$4,'TB YTD'!$4:$4,0),0),0)</f>
        <v>162000</v>
      </c>
      <c r="R721" s="63"/>
    </row>
    <row r="722" spans="1:18" hidden="1" x14ac:dyDescent="0.25">
      <c r="A722" s="106">
        <v>674</v>
      </c>
      <c r="B722" s="8" t="s">
        <v>905</v>
      </c>
      <c r="C722" s="8" t="s">
        <v>903</v>
      </c>
      <c r="D722" s="17"/>
      <c r="E722" s="17"/>
      <c r="G722" s="17"/>
      <c r="H722" s="62"/>
      <c r="I722" s="37">
        <f>IFERROR(VLOOKUP(B722,'TB '!$A:$G,7,),0)</f>
        <v>41707</v>
      </c>
      <c r="J722" s="37">
        <f>IFERROR(VLOOKUP($B722,'TB '!$4:$1048576,MATCH('List of Ledgers '!J$4,'TB '!$4:$4,0),0),0)</f>
        <v>0</v>
      </c>
      <c r="K722" s="37">
        <f>IFERROR(VLOOKUP($B722,'TB '!$4:$1048576,MATCH('List of Ledgers '!K$4,'TB '!$4:$4,0),0),0)</f>
        <v>0</v>
      </c>
      <c r="L722" s="37">
        <f>IFERROR(VLOOKUP(B722,'TB '!$A:$J,10,),0)</f>
        <v>41707</v>
      </c>
      <c r="M722" s="71"/>
      <c r="N722" s="63">
        <f>IFERROR(VLOOKUP($B722,'TB YTD'!$4:$1048576,MATCH('List of Ledgers '!N$4,'TB YTD'!$4:$4,0),0),0)</f>
        <v>41707</v>
      </c>
      <c r="O722" s="63">
        <f>IFERROR(VLOOKUP($B722,'TB YTD'!$4:$1048576,MATCH('List of Ledgers '!O$4,'TB YTD'!$4:$4,0),0),0)</f>
        <v>0</v>
      </c>
      <c r="P722" s="63">
        <f>IFERROR(VLOOKUP($B722,'TB YTD'!$4:$1048576,MATCH('List of Ledgers '!P$4,'TB YTD'!$4:$4,0),0),0)</f>
        <v>0</v>
      </c>
      <c r="Q722" s="63">
        <f>IFERROR(VLOOKUP($B722,'TB YTD'!$4:$1048576,MATCH('List of Ledgers '!Q$4,'TB YTD'!$4:$4,0),0),0)</f>
        <v>41707</v>
      </c>
      <c r="R722" s="63"/>
    </row>
    <row r="723" spans="1:18" hidden="1" x14ac:dyDescent="0.25">
      <c r="A723" s="106">
        <v>675</v>
      </c>
      <c r="B723" s="8" t="s">
        <v>906</v>
      </c>
      <c r="C723" s="8" t="s">
        <v>903</v>
      </c>
      <c r="D723" s="17"/>
      <c r="E723" s="17"/>
      <c r="G723" s="17"/>
      <c r="H723" s="62"/>
      <c r="I723" s="37">
        <f>IFERROR(VLOOKUP(B723,'TB '!$A:$G,7,),0)</f>
        <v>162000</v>
      </c>
      <c r="J723" s="37">
        <f>IFERROR(VLOOKUP($B723,'TB '!$4:$1048576,MATCH('List of Ledgers '!J$4,'TB '!$4:$4,0),0),0)</f>
        <v>0</v>
      </c>
      <c r="K723" s="37">
        <f>IFERROR(VLOOKUP($B723,'TB '!$4:$1048576,MATCH('List of Ledgers '!K$4,'TB '!$4:$4,0),0),0)</f>
        <v>0</v>
      </c>
      <c r="L723" s="37">
        <f>IFERROR(VLOOKUP(B723,'TB '!$A:$J,10,),0)</f>
        <v>162000</v>
      </c>
      <c r="M723" s="71"/>
      <c r="N723" s="63">
        <f>IFERROR(VLOOKUP($B723,'TB YTD'!$4:$1048576,MATCH('List of Ledgers '!N$4,'TB YTD'!$4:$4,0),0),0)</f>
        <v>162000</v>
      </c>
      <c r="O723" s="63">
        <f>IFERROR(VLOOKUP($B723,'TB YTD'!$4:$1048576,MATCH('List of Ledgers '!O$4,'TB YTD'!$4:$4,0),0),0)</f>
        <v>0</v>
      </c>
      <c r="P723" s="63">
        <f>IFERROR(VLOOKUP($B723,'TB YTD'!$4:$1048576,MATCH('List of Ledgers '!P$4,'TB YTD'!$4:$4,0),0),0)</f>
        <v>0</v>
      </c>
      <c r="Q723" s="63">
        <f>IFERROR(VLOOKUP($B723,'TB YTD'!$4:$1048576,MATCH('List of Ledgers '!Q$4,'TB YTD'!$4:$4,0),0),0)</f>
        <v>162000</v>
      </c>
      <c r="R723" s="63"/>
    </row>
    <row r="724" spans="1:18" hidden="1" x14ac:dyDescent="0.25">
      <c r="A724" s="106">
        <v>676</v>
      </c>
      <c r="B724" s="8" t="s">
        <v>907</v>
      </c>
      <c r="C724" s="8" t="s">
        <v>903</v>
      </c>
      <c r="D724" s="17"/>
      <c r="E724" s="17"/>
      <c r="G724" s="17"/>
      <c r="H724" s="62"/>
      <c r="I724" s="37">
        <f>IFERROR(VLOOKUP(B724,'TB '!$A:$G,7,),0)</f>
        <v>20000</v>
      </c>
      <c r="J724" s="37">
        <f>IFERROR(VLOOKUP($B724,'TB '!$4:$1048576,MATCH('List of Ledgers '!J$4,'TB '!$4:$4,0),0),0)</f>
        <v>0</v>
      </c>
      <c r="K724" s="37">
        <f>IFERROR(VLOOKUP($B724,'TB '!$4:$1048576,MATCH('List of Ledgers '!K$4,'TB '!$4:$4,0),0),0)</f>
        <v>0</v>
      </c>
      <c r="L724" s="37">
        <f>IFERROR(VLOOKUP(B724,'TB '!$A:$J,10,),0)</f>
        <v>20000</v>
      </c>
      <c r="M724" s="71"/>
      <c r="N724" s="63">
        <f>IFERROR(VLOOKUP($B724,'TB YTD'!$4:$1048576,MATCH('List of Ledgers '!N$4,'TB YTD'!$4:$4,0),0),0)</f>
        <v>20000</v>
      </c>
      <c r="O724" s="63">
        <f>IFERROR(VLOOKUP($B724,'TB YTD'!$4:$1048576,MATCH('List of Ledgers '!O$4,'TB YTD'!$4:$4,0),0),0)</f>
        <v>0</v>
      </c>
      <c r="P724" s="63">
        <f>IFERROR(VLOOKUP($B724,'TB YTD'!$4:$1048576,MATCH('List of Ledgers '!P$4,'TB YTD'!$4:$4,0),0),0)</f>
        <v>0</v>
      </c>
      <c r="Q724" s="63">
        <f>IFERROR(VLOOKUP($B724,'TB YTD'!$4:$1048576,MATCH('List of Ledgers '!Q$4,'TB YTD'!$4:$4,0),0),0)</f>
        <v>20000</v>
      </c>
      <c r="R724" s="63"/>
    </row>
    <row r="725" spans="1:18" hidden="1" x14ac:dyDescent="0.25">
      <c r="A725" s="106">
        <v>677</v>
      </c>
      <c r="B725" s="8" t="s">
        <v>908</v>
      </c>
      <c r="C725" s="8" t="s">
        <v>903</v>
      </c>
      <c r="D725" s="17"/>
      <c r="E725" s="17"/>
      <c r="H725" s="62"/>
      <c r="I725" s="37">
        <f>IFERROR(VLOOKUP(B725,'TB '!$A:$G,7,),0)</f>
        <v>400000</v>
      </c>
      <c r="J725" s="37">
        <f>IFERROR(VLOOKUP($B725,'TB '!$4:$1048576,MATCH('List of Ledgers '!J$4,'TB '!$4:$4,0),0),0)</f>
        <v>0</v>
      </c>
      <c r="K725" s="37">
        <f>IFERROR(VLOOKUP($B725,'TB '!$4:$1048576,MATCH('List of Ledgers '!K$4,'TB '!$4:$4,0),0),0)</f>
        <v>0</v>
      </c>
      <c r="L725" s="37">
        <f>IFERROR(VLOOKUP(B725,'TB '!$A:$J,10,),0)</f>
        <v>400000</v>
      </c>
      <c r="M725" s="71"/>
      <c r="N725" s="63">
        <f>IFERROR(VLOOKUP($B725,'TB YTD'!$4:$1048576,MATCH('List of Ledgers '!N$4,'TB YTD'!$4:$4,0),0),0)</f>
        <v>400000</v>
      </c>
      <c r="O725" s="63">
        <f>IFERROR(VLOOKUP($B725,'TB YTD'!$4:$1048576,MATCH('List of Ledgers '!O$4,'TB YTD'!$4:$4,0),0),0)</f>
        <v>0</v>
      </c>
      <c r="P725" s="63">
        <f>IFERROR(VLOOKUP($B725,'TB YTD'!$4:$1048576,MATCH('List of Ledgers '!P$4,'TB YTD'!$4:$4,0),0),0)</f>
        <v>0</v>
      </c>
      <c r="Q725" s="63">
        <f>IFERROR(VLOOKUP($B725,'TB YTD'!$4:$1048576,MATCH('List of Ledgers '!Q$4,'TB YTD'!$4:$4,0),0),0)</f>
        <v>400000</v>
      </c>
      <c r="R725" s="63"/>
    </row>
    <row r="726" spans="1:18" hidden="1" x14ac:dyDescent="0.25">
      <c r="A726" s="106">
        <v>678</v>
      </c>
      <c r="B726" s="8" t="s">
        <v>909</v>
      </c>
      <c r="C726" s="8" t="s">
        <v>910</v>
      </c>
      <c r="D726" s="17"/>
      <c r="E726" s="17"/>
      <c r="H726" s="62"/>
      <c r="I726" s="37">
        <f>IFERROR(VLOOKUP(B726,'TB '!$A:$G,7,),0)</f>
        <v>-2687</v>
      </c>
      <c r="J726" s="37">
        <f>IFERROR(VLOOKUP($B726,'TB '!$4:$1048576,MATCH('List of Ledgers '!J$4,'TB '!$4:$4,0),0),0)</f>
        <v>0</v>
      </c>
      <c r="K726" s="37">
        <f>IFERROR(VLOOKUP($B726,'TB '!$4:$1048576,MATCH('List of Ledgers '!K$4,'TB '!$4:$4,0),0),0)</f>
        <v>2900</v>
      </c>
      <c r="L726" s="37">
        <f>IFERROR(VLOOKUP(B726,'TB '!$A:$J,10,),0)</f>
        <v>-5587</v>
      </c>
      <c r="M726" s="71"/>
      <c r="N726" s="63">
        <f>IFERROR(VLOOKUP($B726,'TB YTD'!$4:$1048576,MATCH('List of Ledgers '!N$4,'TB YTD'!$4:$4,0),0),0)</f>
        <v>-747</v>
      </c>
      <c r="O726" s="63">
        <f>IFERROR(VLOOKUP($B726,'TB YTD'!$4:$1048576,MATCH('List of Ledgers '!O$4,'TB YTD'!$4:$4,0),0),0)</f>
        <v>19018</v>
      </c>
      <c r="P726" s="63">
        <f>IFERROR(VLOOKUP($B726,'TB YTD'!$4:$1048576,MATCH('List of Ledgers '!P$4,'TB YTD'!$4:$4,0),0),0)</f>
        <v>23858</v>
      </c>
      <c r="Q726" s="63">
        <f>IFERROR(VLOOKUP($B726,'TB YTD'!$4:$1048576,MATCH('List of Ledgers '!Q$4,'TB YTD'!$4:$4,0),0),0)</f>
        <v>-5587</v>
      </c>
      <c r="R726" s="63"/>
    </row>
    <row r="727" spans="1:18" hidden="1" x14ac:dyDescent="0.25">
      <c r="A727" s="106">
        <v>679</v>
      </c>
      <c r="B727" s="8" t="s">
        <v>911</v>
      </c>
      <c r="C727" s="8" t="s">
        <v>910</v>
      </c>
      <c r="D727" s="17"/>
      <c r="E727" s="17"/>
      <c r="G727" s="17"/>
      <c r="H727" s="62"/>
      <c r="I727" s="37">
        <f>IFERROR(VLOOKUP(B727,'TB '!$A:$G,7,),0)</f>
        <v>-1241</v>
      </c>
      <c r="J727" s="37">
        <f>IFERROR(VLOOKUP($B727,'TB '!$4:$1048576,MATCH('List of Ledgers '!J$4,'TB '!$4:$4,0),0),0)</f>
        <v>2140</v>
      </c>
      <c r="K727" s="37">
        <f>IFERROR(VLOOKUP($B727,'TB '!$4:$1048576,MATCH('List of Ledgers '!K$4,'TB '!$4:$4,0),0),0)</f>
        <v>0</v>
      </c>
      <c r="L727" s="37">
        <f>IFERROR(VLOOKUP(B727,'TB '!$A:$J,10,),0)</f>
        <v>899</v>
      </c>
      <c r="M727" s="71"/>
      <c r="N727" s="63">
        <f>IFERROR(VLOOKUP($B727,'TB YTD'!$4:$1048576,MATCH('List of Ledgers '!N$4,'TB YTD'!$4:$4,0),0),0)</f>
        <v>-74</v>
      </c>
      <c r="O727" s="63">
        <f>IFERROR(VLOOKUP($B727,'TB YTD'!$4:$1048576,MATCH('List of Ledgers '!O$4,'TB YTD'!$4:$4,0),0),0)</f>
        <v>2347</v>
      </c>
      <c r="P727" s="63">
        <f>IFERROR(VLOOKUP($B727,'TB YTD'!$4:$1048576,MATCH('List of Ledgers '!P$4,'TB YTD'!$4:$4,0),0),0)</f>
        <v>1374</v>
      </c>
      <c r="Q727" s="63">
        <f>IFERROR(VLOOKUP($B727,'TB YTD'!$4:$1048576,MATCH('List of Ledgers '!Q$4,'TB YTD'!$4:$4,0),0),0)</f>
        <v>899</v>
      </c>
      <c r="R727" s="63"/>
    </row>
    <row r="728" spans="1:18" hidden="1" x14ac:dyDescent="0.25">
      <c r="A728" s="106">
        <v>680</v>
      </c>
      <c r="B728" s="8" t="s">
        <v>912</v>
      </c>
      <c r="C728" s="8" t="s">
        <v>913</v>
      </c>
      <c r="H728" s="62"/>
      <c r="I728" s="37">
        <f>IFERROR(VLOOKUP(B728,'TB '!$A:$G,7,),0)</f>
        <v>40</v>
      </c>
      <c r="J728" s="37">
        <f>IFERROR(VLOOKUP($B728,'TB '!$4:$1048576,MATCH('List of Ledgers '!J$4,'TB '!$4:$4,0),0),0)</f>
        <v>0</v>
      </c>
      <c r="K728" s="37">
        <f>IFERROR(VLOOKUP($B728,'TB '!$4:$1048576,MATCH('List of Ledgers '!K$4,'TB '!$4:$4,0),0),0)</f>
        <v>0</v>
      </c>
      <c r="L728" s="37">
        <f>IFERROR(VLOOKUP(B728,'TB '!$A:$J,10,),0)</f>
        <v>40</v>
      </c>
      <c r="M728" s="71"/>
      <c r="N728" s="63">
        <f>IFERROR(VLOOKUP($B728,'TB YTD'!$4:$1048576,MATCH('List of Ledgers '!N$4,'TB YTD'!$4:$4,0),0),0)</f>
        <v>40</v>
      </c>
      <c r="O728" s="63">
        <f>IFERROR(VLOOKUP($B728,'TB YTD'!$4:$1048576,MATCH('List of Ledgers '!O$4,'TB YTD'!$4:$4,0),0),0)</f>
        <v>0</v>
      </c>
      <c r="P728" s="63">
        <f>IFERROR(VLOOKUP($B728,'TB YTD'!$4:$1048576,MATCH('List of Ledgers '!P$4,'TB YTD'!$4:$4,0),0),0)</f>
        <v>0</v>
      </c>
      <c r="Q728" s="63">
        <f>IFERROR(VLOOKUP($B728,'TB YTD'!$4:$1048576,MATCH('List of Ledgers '!Q$4,'TB YTD'!$4:$4,0),0),0)</f>
        <v>40</v>
      </c>
      <c r="R728" s="63"/>
    </row>
    <row r="729" spans="1:18" hidden="1" x14ac:dyDescent="0.25">
      <c r="A729" s="106">
        <v>681</v>
      </c>
      <c r="B729" s="8" t="s">
        <v>914</v>
      </c>
      <c r="C729" s="8" t="s">
        <v>146</v>
      </c>
      <c r="H729" s="62"/>
      <c r="I729" s="37">
        <f>IFERROR(VLOOKUP(B729,'TB '!$A:$G,7,),0)</f>
        <v>9046</v>
      </c>
      <c r="J729" s="37">
        <f>IFERROR(VLOOKUP($B729,'TB '!$4:$1048576,MATCH('List of Ledgers '!J$4,'TB '!$4:$4,0),0),0)</f>
        <v>0</v>
      </c>
      <c r="K729" s="37">
        <f>IFERROR(VLOOKUP($B729,'TB '!$4:$1048576,MATCH('List of Ledgers '!K$4,'TB '!$4:$4,0),0),0)</f>
        <v>0</v>
      </c>
      <c r="L729" s="37">
        <f>IFERROR(VLOOKUP(B729,'TB '!$A:$J,10,),0)</f>
        <v>9046</v>
      </c>
      <c r="M729" s="71"/>
      <c r="N729" s="63">
        <f>IFERROR(VLOOKUP($B729,'TB YTD'!$4:$1048576,MATCH('List of Ledgers '!N$4,'TB YTD'!$4:$4,0),0),0)</f>
        <v>9046</v>
      </c>
      <c r="O729" s="63">
        <f>IFERROR(VLOOKUP($B729,'TB YTD'!$4:$1048576,MATCH('List of Ledgers '!O$4,'TB YTD'!$4:$4,0),0),0)</f>
        <v>0</v>
      </c>
      <c r="P729" s="63">
        <f>IFERROR(VLOOKUP($B729,'TB YTD'!$4:$1048576,MATCH('List of Ledgers '!P$4,'TB YTD'!$4:$4,0),0),0)</f>
        <v>0</v>
      </c>
      <c r="Q729" s="63">
        <f>IFERROR(VLOOKUP($B729,'TB YTD'!$4:$1048576,MATCH('List of Ledgers '!Q$4,'TB YTD'!$4:$4,0),0),0)</f>
        <v>9046</v>
      </c>
      <c r="R729" s="63"/>
    </row>
    <row r="730" spans="1:18" hidden="1" x14ac:dyDescent="0.25">
      <c r="A730" s="106">
        <v>682</v>
      </c>
      <c r="B730" s="8" t="s">
        <v>915</v>
      </c>
      <c r="C730" s="8" t="s">
        <v>146</v>
      </c>
      <c r="D730" s="17"/>
      <c r="E730" s="17"/>
      <c r="G730" s="17"/>
      <c r="H730" s="62"/>
      <c r="I730" s="37">
        <f>IFERROR(VLOOKUP(B730,'TB '!$A:$G,7,),0)</f>
        <v>12311</v>
      </c>
      <c r="J730" s="37">
        <f>IFERROR(VLOOKUP($B730,'TB '!$4:$1048576,MATCH('List of Ledgers '!J$4,'TB '!$4:$4,0),0),0)</f>
        <v>0</v>
      </c>
      <c r="K730" s="37">
        <f>IFERROR(VLOOKUP($B730,'TB '!$4:$1048576,MATCH('List of Ledgers '!K$4,'TB '!$4:$4,0),0),0)</f>
        <v>0</v>
      </c>
      <c r="L730" s="37">
        <f>IFERROR(VLOOKUP(B730,'TB '!$A:$J,10,),0)</f>
        <v>12311</v>
      </c>
      <c r="M730" s="71"/>
      <c r="N730" s="63">
        <f>IFERROR(VLOOKUP($B730,'TB YTD'!$4:$1048576,MATCH('List of Ledgers '!N$4,'TB YTD'!$4:$4,0),0),0)</f>
        <v>12311</v>
      </c>
      <c r="O730" s="63">
        <f>IFERROR(VLOOKUP($B730,'TB YTD'!$4:$1048576,MATCH('List of Ledgers '!O$4,'TB YTD'!$4:$4,0),0),0)</f>
        <v>0</v>
      </c>
      <c r="P730" s="63">
        <f>IFERROR(VLOOKUP($B730,'TB YTD'!$4:$1048576,MATCH('List of Ledgers '!P$4,'TB YTD'!$4:$4,0),0),0)</f>
        <v>0</v>
      </c>
      <c r="Q730" s="63">
        <f>IFERROR(VLOOKUP($B730,'TB YTD'!$4:$1048576,MATCH('List of Ledgers '!Q$4,'TB YTD'!$4:$4,0),0),0)</f>
        <v>12311</v>
      </c>
      <c r="R730" s="63"/>
    </row>
    <row r="731" spans="1:18" hidden="1" x14ac:dyDescent="0.25">
      <c r="A731" s="106">
        <v>683</v>
      </c>
      <c r="B731" s="8" t="s">
        <v>916</v>
      </c>
      <c r="C731" s="8" t="s">
        <v>146</v>
      </c>
      <c r="H731" s="62"/>
      <c r="I731" s="37">
        <f>IFERROR(VLOOKUP(B731,'TB '!$A:$G,7,),0)</f>
        <v>12543</v>
      </c>
      <c r="J731" s="37">
        <f>IFERROR(VLOOKUP($B731,'TB '!$4:$1048576,MATCH('List of Ledgers '!J$4,'TB '!$4:$4,0),0),0)</f>
        <v>0</v>
      </c>
      <c r="K731" s="37">
        <f>IFERROR(VLOOKUP($B731,'TB '!$4:$1048576,MATCH('List of Ledgers '!K$4,'TB '!$4:$4,0),0),0)</f>
        <v>0</v>
      </c>
      <c r="L731" s="37">
        <f>IFERROR(VLOOKUP(B731,'TB '!$A:$J,10,),0)</f>
        <v>12543</v>
      </c>
      <c r="M731" s="71"/>
      <c r="N731" s="63">
        <f>IFERROR(VLOOKUP($B731,'TB YTD'!$4:$1048576,MATCH('List of Ledgers '!N$4,'TB YTD'!$4:$4,0),0),0)</f>
        <v>12543</v>
      </c>
      <c r="O731" s="63">
        <f>IFERROR(VLOOKUP($B731,'TB YTD'!$4:$1048576,MATCH('List of Ledgers '!O$4,'TB YTD'!$4:$4,0),0),0)</f>
        <v>0</v>
      </c>
      <c r="P731" s="63">
        <f>IFERROR(VLOOKUP($B731,'TB YTD'!$4:$1048576,MATCH('List of Ledgers '!P$4,'TB YTD'!$4:$4,0),0),0)</f>
        <v>0</v>
      </c>
      <c r="Q731" s="63">
        <f>IFERROR(VLOOKUP($B731,'TB YTD'!$4:$1048576,MATCH('List of Ledgers '!Q$4,'TB YTD'!$4:$4,0),0),0)</f>
        <v>12543</v>
      </c>
      <c r="R731" s="63"/>
    </row>
    <row r="732" spans="1:18" hidden="1" x14ac:dyDescent="0.25">
      <c r="A732" s="106">
        <v>684</v>
      </c>
      <c r="B732" s="8" t="s">
        <v>917</v>
      </c>
      <c r="C732" s="8" t="s">
        <v>146</v>
      </c>
      <c r="H732" s="62"/>
      <c r="I732" s="37">
        <f>IFERROR(VLOOKUP(B732,'TB '!$A:$G,7,),0)</f>
        <v>9190</v>
      </c>
      <c r="J732" s="37">
        <f>IFERROR(VLOOKUP($B732,'TB '!$4:$1048576,MATCH('List of Ledgers '!J$4,'TB '!$4:$4,0),0),0)</f>
        <v>0</v>
      </c>
      <c r="K732" s="37">
        <f>IFERROR(VLOOKUP($B732,'TB '!$4:$1048576,MATCH('List of Ledgers '!K$4,'TB '!$4:$4,0),0),0)</f>
        <v>0</v>
      </c>
      <c r="L732" s="37">
        <f>IFERROR(VLOOKUP(B732,'TB '!$A:$J,10,),0)</f>
        <v>9190</v>
      </c>
      <c r="M732" s="71"/>
      <c r="N732" s="63">
        <f>IFERROR(VLOOKUP($B732,'TB YTD'!$4:$1048576,MATCH('List of Ledgers '!N$4,'TB YTD'!$4:$4,0),0),0)</f>
        <v>9190</v>
      </c>
      <c r="O732" s="63">
        <f>IFERROR(VLOOKUP($B732,'TB YTD'!$4:$1048576,MATCH('List of Ledgers '!O$4,'TB YTD'!$4:$4,0),0),0)</f>
        <v>0</v>
      </c>
      <c r="P732" s="63">
        <f>IFERROR(VLOOKUP($B732,'TB YTD'!$4:$1048576,MATCH('List of Ledgers '!P$4,'TB YTD'!$4:$4,0),0),0)</f>
        <v>0</v>
      </c>
      <c r="Q732" s="63">
        <f>IFERROR(VLOOKUP($B732,'TB YTD'!$4:$1048576,MATCH('List of Ledgers '!Q$4,'TB YTD'!$4:$4,0),0),0)</f>
        <v>9190</v>
      </c>
      <c r="R732" s="63"/>
    </row>
    <row r="733" spans="1:18" hidden="1" x14ac:dyDescent="0.25">
      <c r="A733" s="106">
        <v>685</v>
      </c>
      <c r="B733" s="8" t="s">
        <v>918</v>
      </c>
      <c r="C733" s="8" t="s">
        <v>146</v>
      </c>
      <c r="D733" s="17"/>
      <c r="E733" s="17"/>
      <c r="G733" s="17"/>
      <c r="H733" s="62"/>
      <c r="I733" s="37">
        <f>IFERROR(VLOOKUP(B733,'TB '!$A:$G,7,),0)</f>
        <v>6800</v>
      </c>
      <c r="J733" s="37">
        <f>IFERROR(VLOOKUP($B733,'TB '!$4:$1048576,MATCH('List of Ledgers '!J$4,'TB '!$4:$4,0),0),0)</f>
        <v>0</v>
      </c>
      <c r="K733" s="37">
        <f>IFERROR(VLOOKUP($B733,'TB '!$4:$1048576,MATCH('List of Ledgers '!K$4,'TB '!$4:$4,0),0),0)</f>
        <v>0</v>
      </c>
      <c r="L733" s="37">
        <f>IFERROR(VLOOKUP(B733,'TB '!$A:$J,10,),0)</f>
        <v>6800</v>
      </c>
      <c r="M733" s="71"/>
      <c r="N733" s="63">
        <f>IFERROR(VLOOKUP($B733,'TB YTD'!$4:$1048576,MATCH('List of Ledgers '!N$4,'TB YTD'!$4:$4,0),0),0)</f>
        <v>6800</v>
      </c>
      <c r="O733" s="63">
        <f>IFERROR(VLOOKUP($B733,'TB YTD'!$4:$1048576,MATCH('List of Ledgers '!O$4,'TB YTD'!$4:$4,0),0),0)</f>
        <v>0</v>
      </c>
      <c r="P733" s="63">
        <f>IFERROR(VLOOKUP($B733,'TB YTD'!$4:$1048576,MATCH('List of Ledgers '!P$4,'TB YTD'!$4:$4,0),0),0)</f>
        <v>0</v>
      </c>
      <c r="Q733" s="63">
        <f>IFERROR(VLOOKUP($B733,'TB YTD'!$4:$1048576,MATCH('List of Ledgers '!Q$4,'TB YTD'!$4:$4,0),0),0)</f>
        <v>6800</v>
      </c>
      <c r="R733" s="63"/>
    </row>
    <row r="734" spans="1:18" hidden="1" x14ac:dyDescent="0.25">
      <c r="A734" s="106">
        <v>686</v>
      </c>
      <c r="B734" s="8" t="s">
        <v>919</v>
      </c>
      <c r="C734" s="8" t="s">
        <v>146</v>
      </c>
      <c r="D734" s="17"/>
      <c r="E734" s="17"/>
      <c r="G734" s="17"/>
      <c r="H734" s="62"/>
      <c r="I734" s="37">
        <f>IFERROR(VLOOKUP(B734,'TB '!$A:$G,7,),0)</f>
        <v>9136</v>
      </c>
      <c r="J734" s="37">
        <f>IFERROR(VLOOKUP($B734,'TB '!$4:$1048576,MATCH('List of Ledgers '!J$4,'TB '!$4:$4,0),0),0)</f>
        <v>0</v>
      </c>
      <c r="K734" s="37">
        <f>IFERROR(VLOOKUP($B734,'TB '!$4:$1048576,MATCH('List of Ledgers '!K$4,'TB '!$4:$4,0),0),0)</f>
        <v>0</v>
      </c>
      <c r="L734" s="37">
        <f>IFERROR(VLOOKUP(B734,'TB '!$A:$J,10,),0)</f>
        <v>9136</v>
      </c>
      <c r="M734" s="71"/>
      <c r="N734" s="63">
        <f>IFERROR(VLOOKUP($B734,'TB YTD'!$4:$1048576,MATCH('List of Ledgers '!N$4,'TB YTD'!$4:$4,0),0),0)</f>
        <v>9136</v>
      </c>
      <c r="O734" s="63">
        <f>IFERROR(VLOOKUP($B734,'TB YTD'!$4:$1048576,MATCH('List of Ledgers '!O$4,'TB YTD'!$4:$4,0),0),0)</f>
        <v>0</v>
      </c>
      <c r="P734" s="63">
        <f>IFERROR(VLOOKUP($B734,'TB YTD'!$4:$1048576,MATCH('List of Ledgers '!P$4,'TB YTD'!$4:$4,0),0),0)</f>
        <v>0</v>
      </c>
      <c r="Q734" s="63">
        <f>IFERROR(VLOOKUP($B734,'TB YTD'!$4:$1048576,MATCH('List of Ledgers '!Q$4,'TB YTD'!$4:$4,0),0),0)</f>
        <v>9136</v>
      </c>
      <c r="R734" s="63"/>
    </row>
    <row r="735" spans="1:18" hidden="1" x14ac:dyDescent="0.25">
      <c r="A735" s="106">
        <v>687</v>
      </c>
      <c r="B735" s="8" t="s">
        <v>920</v>
      </c>
      <c r="C735" s="8" t="s">
        <v>900</v>
      </c>
      <c r="D735" s="17"/>
      <c r="E735" s="17"/>
      <c r="G735" s="17"/>
      <c r="H735" s="62"/>
      <c r="I735" s="37">
        <f>IFERROR(VLOOKUP(B735,'TB '!$A:$G,7,),0)</f>
        <v>7537</v>
      </c>
      <c r="J735" s="37">
        <f>IFERROR(VLOOKUP($B735,'TB '!$4:$1048576,MATCH('List of Ledgers '!J$4,'TB '!$4:$4,0),0),0)</f>
        <v>0</v>
      </c>
      <c r="K735" s="37">
        <f>IFERROR(VLOOKUP($B735,'TB '!$4:$1048576,MATCH('List of Ledgers '!K$4,'TB '!$4:$4,0),0),0)</f>
        <v>0</v>
      </c>
      <c r="L735" s="37">
        <f>IFERROR(VLOOKUP(B735,'TB '!$A:$J,10,),0)</f>
        <v>7537</v>
      </c>
      <c r="M735" s="71"/>
      <c r="N735" s="63">
        <f>IFERROR(VLOOKUP($B735,'TB YTD'!$4:$1048576,MATCH('List of Ledgers '!N$4,'TB YTD'!$4:$4,0),0),0)</f>
        <v>7537</v>
      </c>
      <c r="O735" s="63">
        <f>IFERROR(VLOOKUP($B735,'TB YTD'!$4:$1048576,MATCH('List of Ledgers '!O$4,'TB YTD'!$4:$4,0),0),0)</f>
        <v>0</v>
      </c>
      <c r="P735" s="63">
        <f>IFERROR(VLOOKUP($B735,'TB YTD'!$4:$1048576,MATCH('List of Ledgers '!P$4,'TB YTD'!$4:$4,0),0),0)</f>
        <v>0</v>
      </c>
      <c r="Q735" s="63">
        <f>IFERROR(VLOOKUP($B735,'TB YTD'!$4:$1048576,MATCH('List of Ledgers '!Q$4,'TB YTD'!$4:$4,0),0),0)</f>
        <v>7537</v>
      </c>
      <c r="R735" s="63"/>
    </row>
    <row r="736" spans="1:18" hidden="1" x14ac:dyDescent="0.25">
      <c r="A736" s="106">
        <v>688</v>
      </c>
      <c r="B736" s="8" t="s">
        <v>921</v>
      </c>
      <c r="C736" s="8" t="s">
        <v>913</v>
      </c>
      <c r="D736" s="17"/>
      <c r="E736" s="17"/>
      <c r="H736" s="62"/>
      <c r="I736" s="37">
        <f>IFERROR(VLOOKUP(B736,'TB '!$A:$G,7,),0)</f>
        <v>6887</v>
      </c>
      <c r="J736" s="37">
        <f>IFERROR(VLOOKUP($B736,'TB '!$4:$1048576,MATCH('List of Ledgers '!J$4,'TB '!$4:$4,0),0),0)</f>
        <v>0</v>
      </c>
      <c r="K736" s="37">
        <f>IFERROR(VLOOKUP($B736,'TB '!$4:$1048576,MATCH('List of Ledgers '!K$4,'TB '!$4:$4,0),0),0)</f>
        <v>0</v>
      </c>
      <c r="L736" s="37">
        <f>IFERROR(VLOOKUP(B736,'TB '!$A:$J,10,),0)</f>
        <v>6887</v>
      </c>
      <c r="M736" s="71"/>
      <c r="N736" s="63">
        <f>IFERROR(VLOOKUP($B736,'TB YTD'!$4:$1048576,MATCH('List of Ledgers '!N$4,'TB YTD'!$4:$4,0),0),0)</f>
        <v>6887</v>
      </c>
      <c r="O736" s="63">
        <f>IFERROR(VLOOKUP($B736,'TB YTD'!$4:$1048576,MATCH('List of Ledgers '!O$4,'TB YTD'!$4:$4,0),0),0)</f>
        <v>0</v>
      </c>
      <c r="P736" s="63">
        <f>IFERROR(VLOOKUP($B736,'TB YTD'!$4:$1048576,MATCH('List of Ledgers '!P$4,'TB YTD'!$4:$4,0),0),0)</f>
        <v>0</v>
      </c>
      <c r="Q736" s="63">
        <f>IFERROR(VLOOKUP($B736,'TB YTD'!$4:$1048576,MATCH('List of Ledgers '!Q$4,'TB YTD'!$4:$4,0),0),0)</f>
        <v>6887</v>
      </c>
      <c r="R736" s="63"/>
    </row>
    <row r="737" spans="1:18" hidden="1" x14ac:dyDescent="0.25">
      <c r="A737" s="106">
        <v>689</v>
      </c>
      <c r="B737" s="8" t="s">
        <v>922</v>
      </c>
      <c r="C737" s="8" t="s">
        <v>146</v>
      </c>
      <c r="D737" s="17"/>
      <c r="E737" s="17"/>
      <c r="G737" s="17"/>
      <c r="H737" s="62"/>
      <c r="I737" s="37">
        <f>IFERROR(VLOOKUP(B737,'TB '!$A:$G,7,),0)</f>
        <v>7437</v>
      </c>
      <c r="J737" s="37">
        <f>IFERROR(VLOOKUP($B737,'TB '!$4:$1048576,MATCH('List of Ledgers '!J$4,'TB '!$4:$4,0),0),0)</f>
        <v>0</v>
      </c>
      <c r="K737" s="37">
        <f>IFERROR(VLOOKUP($B737,'TB '!$4:$1048576,MATCH('List of Ledgers '!K$4,'TB '!$4:$4,0),0),0)</f>
        <v>0</v>
      </c>
      <c r="L737" s="37">
        <f>IFERROR(VLOOKUP(B737,'TB '!$A:$J,10,),0)</f>
        <v>7437</v>
      </c>
      <c r="M737" s="71"/>
      <c r="N737" s="63">
        <f>IFERROR(VLOOKUP($B737,'TB YTD'!$4:$1048576,MATCH('List of Ledgers '!N$4,'TB YTD'!$4:$4,0),0),0)</f>
        <v>7437</v>
      </c>
      <c r="O737" s="63">
        <f>IFERROR(VLOOKUP($B737,'TB YTD'!$4:$1048576,MATCH('List of Ledgers '!O$4,'TB YTD'!$4:$4,0),0),0)</f>
        <v>0</v>
      </c>
      <c r="P737" s="63">
        <f>IFERROR(VLOOKUP($B737,'TB YTD'!$4:$1048576,MATCH('List of Ledgers '!P$4,'TB YTD'!$4:$4,0),0),0)</f>
        <v>0</v>
      </c>
      <c r="Q737" s="63">
        <f>IFERROR(VLOOKUP($B737,'TB YTD'!$4:$1048576,MATCH('List of Ledgers '!Q$4,'TB YTD'!$4:$4,0),0),0)</f>
        <v>7437</v>
      </c>
      <c r="R737" s="63"/>
    </row>
    <row r="738" spans="1:18" hidden="1" x14ac:dyDescent="0.25">
      <c r="A738" s="106">
        <v>690</v>
      </c>
      <c r="B738" s="8" t="s">
        <v>923</v>
      </c>
      <c r="C738" s="8" t="s">
        <v>146</v>
      </c>
      <c r="H738" s="62"/>
      <c r="I738" s="37">
        <f>IFERROR(VLOOKUP(B738,'TB '!$A:$G,7,),0)</f>
        <v>31077</v>
      </c>
      <c r="J738" s="37">
        <f>IFERROR(VLOOKUP($B738,'TB '!$4:$1048576,MATCH('List of Ledgers '!J$4,'TB '!$4:$4,0),0),0)</f>
        <v>0</v>
      </c>
      <c r="K738" s="37">
        <f>IFERROR(VLOOKUP($B738,'TB '!$4:$1048576,MATCH('List of Ledgers '!K$4,'TB '!$4:$4,0),0),0)</f>
        <v>0</v>
      </c>
      <c r="L738" s="37">
        <f>IFERROR(VLOOKUP(B738,'TB '!$A:$J,10,),0)</f>
        <v>31077</v>
      </c>
      <c r="M738" s="71"/>
      <c r="N738" s="63">
        <f>IFERROR(VLOOKUP($B738,'TB YTD'!$4:$1048576,MATCH('List of Ledgers '!N$4,'TB YTD'!$4:$4,0),0),0)</f>
        <v>31077</v>
      </c>
      <c r="O738" s="63">
        <f>IFERROR(VLOOKUP($B738,'TB YTD'!$4:$1048576,MATCH('List of Ledgers '!O$4,'TB YTD'!$4:$4,0),0),0)</f>
        <v>0</v>
      </c>
      <c r="P738" s="63">
        <f>IFERROR(VLOOKUP($B738,'TB YTD'!$4:$1048576,MATCH('List of Ledgers '!P$4,'TB YTD'!$4:$4,0),0),0)</f>
        <v>0</v>
      </c>
      <c r="Q738" s="63">
        <f>IFERROR(VLOOKUP($B738,'TB YTD'!$4:$1048576,MATCH('List of Ledgers '!Q$4,'TB YTD'!$4:$4,0),0),0)</f>
        <v>31077</v>
      </c>
      <c r="R738" s="63"/>
    </row>
    <row r="739" spans="1:18" hidden="1" x14ac:dyDescent="0.25">
      <c r="A739" s="106">
        <v>691</v>
      </c>
      <c r="B739" s="8" t="s">
        <v>924</v>
      </c>
      <c r="C739" s="8" t="s">
        <v>146</v>
      </c>
      <c r="D739" s="17"/>
      <c r="E739" s="17"/>
      <c r="G739" s="17"/>
      <c r="H739" s="62"/>
      <c r="I739" s="37">
        <f>IFERROR(VLOOKUP(B739,'TB '!$A:$G,7,),0)</f>
        <v>21584</v>
      </c>
      <c r="J739" s="37">
        <f>IFERROR(VLOOKUP($B739,'TB '!$4:$1048576,MATCH('List of Ledgers '!J$4,'TB '!$4:$4,0),0),0)</f>
        <v>0</v>
      </c>
      <c r="K739" s="37">
        <f>IFERROR(VLOOKUP($B739,'TB '!$4:$1048576,MATCH('List of Ledgers '!K$4,'TB '!$4:$4,0),0),0)</f>
        <v>0</v>
      </c>
      <c r="L739" s="37">
        <f>IFERROR(VLOOKUP(B739,'TB '!$A:$J,10,),0)</f>
        <v>21584</v>
      </c>
      <c r="M739" s="71"/>
      <c r="N739" s="63">
        <f>IFERROR(VLOOKUP($B739,'TB YTD'!$4:$1048576,MATCH('List of Ledgers '!N$4,'TB YTD'!$4:$4,0),0),0)</f>
        <v>21584</v>
      </c>
      <c r="O739" s="63">
        <f>IFERROR(VLOOKUP($B739,'TB YTD'!$4:$1048576,MATCH('List of Ledgers '!O$4,'TB YTD'!$4:$4,0),0),0)</f>
        <v>0</v>
      </c>
      <c r="P739" s="63">
        <f>IFERROR(VLOOKUP($B739,'TB YTD'!$4:$1048576,MATCH('List of Ledgers '!P$4,'TB YTD'!$4:$4,0),0),0)</f>
        <v>0</v>
      </c>
      <c r="Q739" s="63">
        <f>IFERROR(VLOOKUP($B739,'TB YTD'!$4:$1048576,MATCH('List of Ledgers '!Q$4,'TB YTD'!$4:$4,0),0),0)</f>
        <v>21584</v>
      </c>
      <c r="R739" s="63"/>
    </row>
    <row r="740" spans="1:18" hidden="1" x14ac:dyDescent="0.25">
      <c r="A740" s="106">
        <v>692</v>
      </c>
      <c r="B740" s="8" t="s">
        <v>925</v>
      </c>
      <c r="C740" s="8" t="s">
        <v>146</v>
      </c>
      <c r="D740" s="17"/>
      <c r="E740" s="17"/>
      <c r="G740" s="17"/>
      <c r="H740" s="62"/>
      <c r="I740" s="37">
        <f>IFERROR(VLOOKUP(B740,'TB '!$A:$G,7,),0)</f>
        <v>7122</v>
      </c>
      <c r="J740" s="37">
        <f>IFERROR(VLOOKUP($B740,'TB '!$4:$1048576,MATCH('List of Ledgers '!J$4,'TB '!$4:$4,0),0),0)</f>
        <v>0</v>
      </c>
      <c r="K740" s="37">
        <f>IFERROR(VLOOKUP($B740,'TB '!$4:$1048576,MATCH('List of Ledgers '!K$4,'TB '!$4:$4,0),0),0)</f>
        <v>0</v>
      </c>
      <c r="L740" s="37">
        <f>IFERROR(VLOOKUP(B740,'TB '!$A:$J,10,),0)</f>
        <v>7122</v>
      </c>
      <c r="M740" s="71"/>
      <c r="N740" s="63">
        <f>IFERROR(VLOOKUP($B740,'TB YTD'!$4:$1048576,MATCH('List of Ledgers '!N$4,'TB YTD'!$4:$4,0),0),0)</f>
        <v>7122</v>
      </c>
      <c r="O740" s="63">
        <f>IFERROR(VLOOKUP($B740,'TB YTD'!$4:$1048576,MATCH('List of Ledgers '!O$4,'TB YTD'!$4:$4,0),0),0)</f>
        <v>0</v>
      </c>
      <c r="P740" s="63">
        <f>IFERROR(VLOOKUP($B740,'TB YTD'!$4:$1048576,MATCH('List of Ledgers '!P$4,'TB YTD'!$4:$4,0),0),0)</f>
        <v>0</v>
      </c>
      <c r="Q740" s="63">
        <f>IFERROR(VLOOKUP($B740,'TB YTD'!$4:$1048576,MATCH('List of Ledgers '!Q$4,'TB YTD'!$4:$4,0),0),0)</f>
        <v>7122</v>
      </c>
      <c r="R740" s="63"/>
    </row>
    <row r="741" spans="1:18" hidden="1" x14ac:dyDescent="0.25">
      <c r="A741" s="106">
        <v>693</v>
      </c>
      <c r="B741" s="8" t="s">
        <v>926</v>
      </c>
      <c r="C741" s="8" t="s">
        <v>146</v>
      </c>
      <c r="D741" s="17"/>
      <c r="E741" s="17"/>
      <c r="G741" s="17"/>
      <c r="H741" s="62"/>
      <c r="I741" s="37">
        <f>IFERROR(VLOOKUP(B741,'TB '!$A:$G,7,),0)</f>
        <v>4428</v>
      </c>
      <c r="J741" s="37">
        <f>IFERROR(VLOOKUP($B741,'TB '!$4:$1048576,MATCH('List of Ledgers '!J$4,'TB '!$4:$4,0),0),0)</f>
        <v>0</v>
      </c>
      <c r="K741" s="37">
        <f>IFERROR(VLOOKUP($B741,'TB '!$4:$1048576,MATCH('List of Ledgers '!K$4,'TB '!$4:$4,0),0),0)</f>
        <v>0</v>
      </c>
      <c r="L741" s="37">
        <f>IFERROR(VLOOKUP(B741,'TB '!$A:$J,10,),0)</f>
        <v>4428</v>
      </c>
      <c r="M741" s="71"/>
      <c r="N741" s="63">
        <f>IFERROR(VLOOKUP($B741,'TB YTD'!$4:$1048576,MATCH('List of Ledgers '!N$4,'TB YTD'!$4:$4,0),0),0)</f>
        <v>4428</v>
      </c>
      <c r="O741" s="63">
        <f>IFERROR(VLOOKUP($B741,'TB YTD'!$4:$1048576,MATCH('List of Ledgers '!O$4,'TB YTD'!$4:$4,0),0),0)</f>
        <v>0</v>
      </c>
      <c r="P741" s="63">
        <f>IFERROR(VLOOKUP($B741,'TB YTD'!$4:$1048576,MATCH('List of Ledgers '!P$4,'TB YTD'!$4:$4,0),0),0)</f>
        <v>0</v>
      </c>
      <c r="Q741" s="63">
        <f>IFERROR(VLOOKUP($B741,'TB YTD'!$4:$1048576,MATCH('List of Ledgers '!Q$4,'TB YTD'!$4:$4,0),0),0)</f>
        <v>4428</v>
      </c>
      <c r="R741" s="63"/>
    </row>
    <row r="742" spans="1:18" hidden="1" x14ac:dyDescent="0.25">
      <c r="A742" s="106">
        <v>694</v>
      </c>
      <c r="B742" s="8" t="s">
        <v>927</v>
      </c>
      <c r="C742" s="8" t="s">
        <v>146</v>
      </c>
      <c r="D742" s="17"/>
      <c r="E742" s="17"/>
      <c r="H742" s="62"/>
      <c r="I742" s="37">
        <f>IFERROR(VLOOKUP(B742,'TB '!$A:$G,7,),0)</f>
        <v>5130</v>
      </c>
      <c r="J742" s="37">
        <f>IFERROR(VLOOKUP($B742,'TB '!$4:$1048576,MATCH('List of Ledgers '!J$4,'TB '!$4:$4,0),0),0)</f>
        <v>0</v>
      </c>
      <c r="K742" s="37">
        <f>IFERROR(VLOOKUP($B742,'TB '!$4:$1048576,MATCH('List of Ledgers '!K$4,'TB '!$4:$4,0),0),0)</f>
        <v>0</v>
      </c>
      <c r="L742" s="37">
        <f>IFERROR(VLOOKUP(B742,'TB '!$A:$J,10,),0)</f>
        <v>5130</v>
      </c>
      <c r="M742" s="71"/>
      <c r="N742" s="63">
        <f>IFERROR(VLOOKUP($B742,'TB YTD'!$4:$1048576,MATCH('List of Ledgers '!N$4,'TB YTD'!$4:$4,0),0),0)</f>
        <v>5130</v>
      </c>
      <c r="O742" s="63">
        <f>IFERROR(VLOOKUP($B742,'TB YTD'!$4:$1048576,MATCH('List of Ledgers '!O$4,'TB YTD'!$4:$4,0),0),0)</f>
        <v>0</v>
      </c>
      <c r="P742" s="63">
        <f>IFERROR(VLOOKUP($B742,'TB YTD'!$4:$1048576,MATCH('List of Ledgers '!P$4,'TB YTD'!$4:$4,0),0),0)</f>
        <v>0</v>
      </c>
      <c r="Q742" s="63">
        <f>IFERROR(VLOOKUP($B742,'TB YTD'!$4:$1048576,MATCH('List of Ledgers '!Q$4,'TB YTD'!$4:$4,0),0),0)</f>
        <v>5130</v>
      </c>
      <c r="R742" s="63"/>
    </row>
    <row r="743" spans="1:18" hidden="1" x14ac:dyDescent="0.25">
      <c r="A743" s="106">
        <v>695</v>
      </c>
      <c r="B743" s="8" t="s">
        <v>928</v>
      </c>
      <c r="C743" s="8" t="s">
        <v>146</v>
      </c>
      <c r="D743" s="17"/>
      <c r="E743" s="17"/>
      <c r="H743" s="62"/>
      <c r="I743" s="37">
        <f>IFERROR(VLOOKUP(B743,'TB '!$A:$G,7,),0)</f>
        <v>5963</v>
      </c>
      <c r="J743" s="37">
        <f>IFERROR(VLOOKUP($B743,'TB '!$4:$1048576,MATCH('List of Ledgers '!J$4,'TB '!$4:$4,0),0),0)</f>
        <v>0</v>
      </c>
      <c r="K743" s="37">
        <f>IFERROR(VLOOKUP($B743,'TB '!$4:$1048576,MATCH('List of Ledgers '!K$4,'TB '!$4:$4,0),0),0)</f>
        <v>0</v>
      </c>
      <c r="L743" s="37">
        <f>IFERROR(VLOOKUP(B743,'TB '!$A:$J,10,),0)</f>
        <v>5963</v>
      </c>
      <c r="M743" s="71"/>
      <c r="N743" s="63">
        <f>IFERROR(VLOOKUP($B743,'TB YTD'!$4:$1048576,MATCH('List of Ledgers '!N$4,'TB YTD'!$4:$4,0),0),0)</f>
        <v>5963</v>
      </c>
      <c r="O743" s="63">
        <f>IFERROR(VLOOKUP($B743,'TB YTD'!$4:$1048576,MATCH('List of Ledgers '!O$4,'TB YTD'!$4:$4,0),0),0)</f>
        <v>0</v>
      </c>
      <c r="P743" s="63">
        <f>IFERROR(VLOOKUP($B743,'TB YTD'!$4:$1048576,MATCH('List of Ledgers '!P$4,'TB YTD'!$4:$4,0),0),0)</f>
        <v>0</v>
      </c>
      <c r="Q743" s="63">
        <f>IFERROR(VLOOKUP($B743,'TB YTD'!$4:$1048576,MATCH('List of Ledgers '!Q$4,'TB YTD'!$4:$4,0),0),0)</f>
        <v>5963</v>
      </c>
      <c r="R743" s="63"/>
    </row>
    <row r="744" spans="1:18" hidden="1" x14ac:dyDescent="0.25">
      <c r="A744" s="106">
        <v>696</v>
      </c>
      <c r="B744" s="8" t="s">
        <v>929</v>
      </c>
      <c r="C744" s="8" t="s">
        <v>146</v>
      </c>
      <c r="D744" s="17"/>
      <c r="E744" s="17"/>
      <c r="G744" s="17"/>
      <c r="H744" s="62"/>
      <c r="I744" s="37">
        <f>IFERROR(VLOOKUP(B744,'TB '!$A:$G,7,),0)</f>
        <v>43414</v>
      </c>
      <c r="J744" s="37">
        <f>IFERROR(VLOOKUP($B744,'TB '!$4:$1048576,MATCH('List of Ledgers '!J$4,'TB '!$4:$4,0),0),0)</f>
        <v>0</v>
      </c>
      <c r="K744" s="37">
        <f>IFERROR(VLOOKUP($B744,'TB '!$4:$1048576,MATCH('List of Ledgers '!K$4,'TB '!$4:$4,0),0),0)</f>
        <v>0</v>
      </c>
      <c r="L744" s="37">
        <f>IFERROR(VLOOKUP(B744,'TB '!$A:$J,10,),0)</f>
        <v>43414</v>
      </c>
      <c r="M744" s="71"/>
      <c r="N744" s="63">
        <f>IFERROR(VLOOKUP($B744,'TB YTD'!$4:$1048576,MATCH('List of Ledgers '!N$4,'TB YTD'!$4:$4,0),0),0)</f>
        <v>43414</v>
      </c>
      <c r="O744" s="63">
        <f>IFERROR(VLOOKUP($B744,'TB YTD'!$4:$1048576,MATCH('List of Ledgers '!O$4,'TB YTD'!$4:$4,0),0),0)</f>
        <v>0</v>
      </c>
      <c r="P744" s="63">
        <f>IFERROR(VLOOKUP($B744,'TB YTD'!$4:$1048576,MATCH('List of Ledgers '!P$4,'TB YTD'!$4:$4,0),0),0)</f>
        <v>0</v>
      </c>
      <c r="Q744" s="63">
        <f>IFERROR(VLOOKUP($B744,'TB YTD'!$4:$1048576,MATCH('List of Ledgers '!Q$4,'TB YTD'!$4:$4,0),0),0)</f>
        <v>43414</v>
      </c>
      <c r="R744" s="63"/>
    </row>
    <row r="745" spans="1:18" hidden="1" x14ac:dyDescent="0.25">
      <c r="A745" s="106">
        <v>697</v>
      </c>
      <c r="B745" s="8" t="s">
        <v>930</v>
      </c>
      <c r="C745" s="8" t="s">
        <v>146</v>
      </c>
      <c r="D745" s="17"/>
      <c r="E745" s="17"/>
      <c r="G745" s="17"/>
      <c r="H745" s="62"/>
      <c r="I745" s="37">
        <f>IFERROR(VLOOKUP(B745,'TB '!$A:$G,7,),0)</f>
        <v>23704</v>
      </c>
      <c r="J745" s="37">
        <f>IFERROR(VLOOKUP($B745,'TB '!$4:$1048576,MATCH('List of Ledgers '!J$4,'TB '!$4:$4,0),0),0)</f>
        <v>0</v>
      </c>
      <c r="K745" s="37">
        <f>IFERROR(VLOOKUP($B745,'TB '!$4:$1048576,MATCH('List of Ledgers '!K$4,'TB '!$4:$4,0),0),0)</f>
        <v>0</v>
      </c>
      <c r="L745" s="37">
        <f>IFERROR(VLOOKUP(B745,'TB '!$A:$J,10,),0)</f>
        <v>23704</v>
      </c>
      <c r="M745" s="71"/>
      <c r="N745" s="63">
        <f>IFERROR(VLOOKUP($B745,'TB YTD'!$4:$1048576,MATCH('List of Ledgers '!N$4,'TB YTD'!$4:$4,0),0),0)</f>
        <v>23704</v>
      </c>
      <c r="O745" s="63">
        <f>IFERROR(VLOOKUP($B745,'TB YTD'!$4:$1048576,MATCH('List of Ledgers '!O$4,'TB YTD'!$4:$4,0),0),0)</f>
        <v>0</v>
      </c>
      <c r="P745" s="63">
        <f>IFERROR(VLOOKUP($B745,'TB YTD'!$4:$1048576,MATCH('List of Ledgers '!P$4,'TB YTD'!$4:$4,0),0),0)</f>
        <v>0</v>
      </c>
      <c r="Q745" s="63">
        <f>IFERROR(VLOOKUP($B745,'TB YTD'!$4:$1048576,MATCH('List of Ledgers '!Q$4,'TB YTD'!$4:$4,0),0),0)</f>
        <v>23704</v>
      </c>
      <c r="R745" s="63"/>
    </row>
    <row r="746" spans="1:18" hidden="1" x14ac:dyDescent="0.25">
      <c r="A746" s="106">
        <v>698</v>
      </c>
      <c r="B746" s="8" t="s">
        <v>931</v>
      </c>
      <c r="C746" s="8" t="s">
        <v>146</v>
      </c>
      <c r="D746" s="17"/>
      <c r="E746" s="17"/>
      <c r="G746" s="17"/>
      <c r="H746" s="62"/>
      <c r="I746" s="37">
        <f>IFERROR(VLOOKUP(B746,'TB '!$A:$G,7,),0)</f>
        <v>9567</v>
      </c>
      <c r="J746" s="37">
        <f>IFERROR(VLOOKUP($B746,'TB '!$4:$1048576,MATCH('List of Ledgers '!J$4,'TB '!$4:$4,0),0),0)</f>
        <v>0</v>
      </c>
      <c r="K746" s="37">
        <f>IFERROR(VLOOKUP($B746,'TB '!$4:$1048576,MATCH('List of Ledgers '!K$4,'TB '!$4:$4,0),0),0)</f>
        <v>0</v>
      </c>
      <c r="L746" s="37">
        <f>IFERROR(VLOOKUP(B746,'TB '!$A:$J,10,),0)</f>
        <v>9567</v>
      </c>
      <c r="M746" s="71"/>
      <c r="N746" s="63">
        <f>IFERROR(VLOOKUP($B746,'TB YTD'!$4:$1048576,MATCH('List of Ledgers '!N$4,'TB YTD'!$4:$4,0),0),0)</f>
        <v>9567</v>
      </c>
      <c r="O746" s="63">
        <f>IFERROR(VLOOKUP($B746,'TB YTD'!$4:$1048576,MATCH('List of Ledgers '!O$4,'TB YTD'!$4:$4,0),0),0)</f>
        <v>0</v>
      </c>
      <c r="P746" s="63">
        <f>IFERROR(VLOOKUP($B746,'TB YTD'!$4:$1048576,MATCH('List of Ledgers '!P$4,'TB YTD'!$4:$4,0),0),0)</f>
        <v>0</v>
      </c>
      <c r="Q746" s="63">
        <f>IFERROR(VLOOKUP($B746,'TB YTD'!$4:$1048576,MATCH('List of Ledgers '!Q$4,'TB YTD'!$4:$4,0),0),0)</f>
        <v>9567</v>
      </c>
      <c r="R746" s="63"/>
    </row>
    <row r="747" spans="1:18" hidden="1" x14ac:dyDescent="0.25">
      <c r="A747" s="106">
        <v>699</v>
      </c>
      <c r="B747" s="8" t="s">
        <v>932</v>
      </c>
      <c r="C747" s="8" t="s">
        <v>146</v>
      </c>
      <c r="D747" s="17"/>
      <c r="E747" s="17"/>
      <c r="G747" s="17"/>
      <c r="H747" s="62"/>
      <c r="I747" s="37">
        <f>IFERROR(VLOOKUP(B747,'TB '!$A:$G,7,),0)</f>
        <v>943</v>
      </c>
      <c r="J747" s="37">
        <f>IFERROR(VLOOKUP($B747,'TB '!$4:$1048576,MATCH('List of Ledgers '!J$4,'TB '!$4:$4,0),0),0)</f>
        <v>0</v>
      </c>
      <c r="K747" s="37">
        <f>IFERROR(VLOOKUP($B747,'TB '!$4:$1048576,MATCH('List of Ledgers '!K$4,'TB '!$4:$4,0),0),0)</f>
        <v>0</v>
      </c>
      <c r="L747" s="37">
        <f>IFERROR(VLOOKUP(B747,'TB '!$A:$J,10,),0)</f>
        <v>943</v>
      </c>
      <c r="M747" s="71"/>
      <c r="N747" s="63">
        <f>IFERROR(VLOOKUP($B747,'TB YTD'!$4:$1048576,MATCH('List of Ledgers '!N$4,'TB YTD'!$4:$4,0),0),0)</f>
        <v>943</v>
      </c>
      <c r="O747" s="63">
        <f>IFERROR(VLOOKUP($B747,'TB YTD'!$4:$1048576,MATCH('List of Ledgers '!O$4,'TB YTD'!$4:$4,0),0),0)</f>
        <v>0</v>
      </c>
      <c r="P747" s="63">
        <f>IFERROR(VLOOKUP($B747,'TB YTD'!$4:$1048576,MATCH('List of Ledgers '!P$4,'TB YTD'!$4:$4,0),0),0)</f>
        <v>0</v>
      </c>
      <c r="Q747" s="63">
        <f>IFERROR(VLOOKUP($B747,'TB YTD'!$4:$1048576,MATCH('List of Ledgers '!Q$4,'TB YTD'!$4:$4,0),0),0)</f>
        <v>943</v>
      </c>
      <c r="R747" s="63"/>
    </row>
    <row r="748" spans="1:18" hidden="1" x14ac:dyDescent="0.25">
      <c r="A748" s="106">
        <v>700</v>
      </c>
      <c r="B748" s="8" t="s">
        <v>933</v>
      </c>
      <c r="C748" s="8" t="s">
        <v>910</v>
      </c>
      <c r="H748" s="62"/>
      <c r="I748" s="37">
        <f>IFERROR(VLOOKUP(B748,'TB '!$A:$G,7,),0)</f>
        <v>0</v>
      </c>
      <c r="J748" s="37">
        <f>IFERROR(VLOOKUP($B748,'TB '!$4:$1048576,MATCH('List of Ledgers '!J$4,'TB '!$4:$4,0),0),0)</f>
        <v>0</v>
      </c>
      <c r="K748" s="37">
        <f>IFERROR(VLOOKUP($B748,'TB '!$4:$1048576,MATCH('List of Ledgers '!K$4,'TB '!$4:$4,0),0),0)</f>
        <v>0</v>
      </c>
      <c r="L748" s="37">
        <f>IFERROR(VLOOKUP(B748,'TB '!$A:$J,10,),0)</f>
        <v>0</v>
      </c>
      <c r="M748" s="71"/>
      <c r="N748" s="63">
        <f>IFERROR(VLOOKUP($B748,'TB YTD'!$4:$1048576,MATCH('List of Ledgers '!N$4,'TB YTD'!$4:$4,0),0),0)</f>
        <v>0</v>
      </c>
      <c r="O748" s="63">
        <f>IFERROR(VLOOKUP($B748,'TB YTD'!$4:$1048576,MATCH('List of Ledgers '!O$4,'TB YTD'!$4:$4,0),0),0)</f>
        <v>0</v>
      </c>
      <c r="P748" s="63">
        <f>IFERROR(VLOOKUP($B748,'TB YTD'!$4:$1048576,MATCH('List of Ledgers '!P$4,'TB YTD'!$4:$4,0),0),0)</f>
        <v>0</v>
      </c>
      <c r="Q748" s="63">
        <f>IFERROR(VLOOKUP($B748,'TB YTD'!$4:$1048576,MATCH('List of Ledgers '!Q$4,'TB YTD'!$4:$4,0),0),0)</f>
        <v>0</v>
      </c>
      <c r="R748" s="63"/>
    </row>
    <row r="749" spans="1:18" hidden="1" x14ac:dyDescent="0.25">
      <c r="A749" s="106">
        <v>701</v>
      </c>
      <c r="B749" s="8" t="s">
        <v>934</v>
      </c>
      <c r="C749" s="8" t="s">
        <v>910</v>
      </c>
      <c r="D749" s="17"/>
      <c r="E749" s="17"/>
      <c r="H749" s="62"/>
      <c r="I749" s="37">
        <f>IFERROR(VLOOKUP(B749,'TB '!$A:$G,7,),0)</f>
        <v>-2000</v>
      </c>
      <c r="J749" s="37">
        <f>IFERROR(VLOOKUP($B749,'TB '!$4:$1048576,MATCH('List of Ledgers '!J$4,'TB '!$4:$4,0),0),0)</f>
        <v>2000</v>
      </c>
      <c r="K749" s="37">
        <f>IFERROR(VLOOKUP($B749,'TB '!$4:$1048576,MATCH('List of Ledgers '!K$4,'TB '!$4:$4,0),0),0)</f>
        <v>2000</v>
      </c>
      <c r="L749" s="37">
        <f>IFERROR(VLOOKUP(B749,'TB '!$A:$J,10,),0)</f>
        <v>-2000</v>
      </c>
      <c r="M749" s="71"/>
      <c r="N749" s="63">
        <f>IFERROR(VLOOKUP($B749,'TB YTD'!$4:$1048576,MATCH('List of Ledgers '!N$4,'TB YTD'!$4:$4,0),0),0)</f>
        <v>-4000</v>
      </c>
      <c r="O749" s="63">
        <f>IFERROR(VLOOKUP($B749,'TB YTD'!$4:$1048576,MATCH('List of Ledgers '!O$4,'TB YTD'!$4:$4,0),0),0)</f>
        <v>48000</v>
      </c>
      <c r="P749" s="63">
        <f>IFERROR(VLOOKUP($B749,'TB YTD'!$4:$1048576,MATCH('List of Ledgers '!P$4,'TB YTD'!$4:$4,0),0),0)</f>
        <v>46000</v>
      </c>
      <c r="Q749" s="63">
        <f>IFERROR(VLOOKUP($B749,'TB YTD'!$4:$1048576,MATCH('List of Ledgers '!Q$4,'TB YTD'!$4:$4,0),0),0)</f>
        <v>-2000</v>
      </c>
      <c r="R749" s="63"/>
    </row>
    <row r="750" spans="1:18" hidden="1" x14ac:dyDescent="0.25">
      <c r="A750" s="106">
        <v>702</v>
      </c>
      <c r="B750" s="8" t="s">
        <v>935</v>
      </c>
      <c r="C750" s="8" t="s">
        <v>900</v>
      </c>
      <c r="D750" s="17"/>
      <c r="E750" s="17"/>
      <c r="H750" s="62"/>
      <c r="I750" s="37">
        <f>IFERROR(VLOOKUP(B750,'TB '!$A:$G,7,),0)</f>
        <v>135000</v>
      </c>
      <c r="J750" s="37">
        <f>IFERROR(VLOOKUP($B750,'TB '!$4:$1048576,MATCH('List of Ledgers '!J$4,'TB '!$4:$4,0),0),0)</f>
        <v>0</v>
      </c>
      <c r="K750" s="37">
        <f>IFERROR(VLOOKUP($B750,'TB '!$4:$1048576,MATCH('List of Ledgers '!K$4,'TB '!$4:$4,0),0),0)</f>
        <v>0</v>
      </c>
      <c r="L750" s="37">
        <f>IFERROR(VLOOKUP(B750,'TB '!$A:$J,10,),0)</f>
        <v>135000</v>
      </c>
      <c r="M750" s="71"/>
      <c r="N750" s="63">
        <f>IFERROR(VLOOKUP($B750,'TB YTD'!$4:$1048576,MATCH('List of Ledgers '!N$4,'TB YTD'!$4:$4,0),0),0)</f>
        <v>135000</v>
      </c>
      <c r="O750" s="63">
        <f>IFERROR(VLOOKUP($B750,'TB YTD'!$4:$1048576,MATCH('List of Ledgers '!O$4,'TB YTD'!$4:$4,0),0),0)</f>
        <v>0</v>
      </c>
      <c r="P750" s="63">
        <f>IFERROR(VLOOKUP($B750,'TB YTD'!$4:$1048576,MATCH('List of Ledgers '!P$4,'TB YTD'!$4:$4,0),0),0)</f>
        <v>0</v>
      </c>
      <c r="Q750" s="63">
        <f>IFERROR(VLOOKUP($B750,'TB YTD'!$4:$1048576,MATCH('List of Ledgers '!Q$4,'TB YTD'!$4:$4,0),0),0)</f>
        <v>135000</v>
      </c>
      <c r="R750" s="63"/>
    </row>
    <row r="751" spans="1:18" hidden="1" x14ac:dyDescent="0.25">
      <c r="A751" s="106">
        <v>703</v>
      </c>
      <c r="B751" s="8" t="s">
        <v>936</v>
      </c>
      <c r="C751" s="8" t="s">
        <v>910</v>
      </c>
      <c r="D751" s="17"/>
      <c r="E751" s="17"/>
      <c r="G751" s="17"/>
      <c r="H751" s="62"/>
      <c r="I751" s="37">
        <f>IFERROR(VLOOKUP(B751,'TB '!$A:$G,7,),0)</f>
        <v>-76840</v>
      </c>
      <c r="J751" s="37">
        <f>IFERROR(VLOOKUP($B751,'TB '!$4:$1048576,MATCH('List of Ledgers '!J$4,'TB '!$4:$4,0),0),0)</f>
        <v>76840</v>
      </c>
      <c r="K751" s="37">
        <f>IFERROR(VLOOKUP($B751,'TB '!$4:$1048576,MATCH('List of Ledgers '!K$4,'TB '!$4:$4,0),0),0)</f>
        <v>11684</v>
      </c>
      <c r="L751" s="37">
        <f>IFERROR(VLOOKUP(B751,'TB '!$A:$J,10,),0)</f>
        <v>-11684</v>
      </c>
      <c r="M751" s="71"/>
      <c r="N751" s="63">
        <f>IFERROR(VLOOKUP($B751,'TB YTD'!$4:$1048576,MATCH('List of Ledgers '!N$4,'TB YTD'!$4:$4,0),0),0)</f>
        <v>0</v>
      </c>
      <c r="O751" s="63">
        <f>IFERROR(VLOOKUP($B751,'TB YTD'!$4:$1048576,MATCH('List of Ledgers '!O$4,'TB YTD'!$4:$4,0),0),0)</f>
        <v>76840</v>
      </c>
      <c r="P751" s="63">
        <f>IFERROR(VLOOKUP($B751,'TB YTD'!$4:$1048576,MATCH('List of Ledgers '!P$4,'TB YTD'!$4:$4,0),0),0)</f>
        <v>88524</v>
      </c>
      <c r="Q751" s="63">
        <f>IFERROR(VLOOKUP($B751,'TB YTD'!$4:$1048576,MATCH('List of Ledgers '!Q$4,'TB YTD'!$4:$4,0),0),0)</f>
        <v>-11684</v>
      </c>
      <c r="R751" s="63"/>
    </row>
    <row r="752" spans="1:18" hidden="1" x14ac:dyDescent="0.25">
      <c r="A752" s="106">
        <v>704</v>
      </c>
      <c r="B752" s="8" t="s">
        <v>937</v>
      </c>
      <c r="C752" s="8" t="s">
        <v>146</v>
      </c>
      <c r="H752" s="62"/>
      <c r="I752" s="37">
        <f>IFERROR(VLOOKUP(B752,'TB '!$A:$G,7,),0)</f>
        <v>49500</v>
      </c>
      <c r="J752" s="37">
        <f>IFERROR(VLOOKUP($B752,'TB '!$4:$1048576,MATCH('List of Ledgers '!J$4,'TB '!$4:$4,0),0),0)</f>
        <v>0</v>
      </c>
      <c r="K752" s="37">
        <f>IFERROR(VLOOKUP($B752,'TB '!$4:$1048576,MATCH('List of Ledgers '!K$4,'TB '!$4:$4,0),0),0)</f>
        <v>0</v>
      </c>
      <c r="L752" s="37">
        <f>IFERROR(VLOOKUP(B752,'TB '!$A:$J,10,),0)</f>
        <v>49500</v>
      </c>
      <c r="M752" s="71"/>
      <c r="N752" s="63">
        <f>IFERROR(VLOOKUP($B752,'TB YTD'!$4:$1048576,MATCH('List of Ledgers '!N$4,'TB YTD'!$4:$4,0),0),0)</f>
        <v>49500</v>
      </c>
      <c r="O752" s="63">
        <f>IFERROR(VLOOKUP($B752,'TB YTD'!$4:$1048576,MATCH('List of Ledgers '!O$4,'TB YTD'!$4:$4,0),0),0)</f>
        <v>0</v>
      </c>
      <c r="P752" s="63">
        <f>IFERROR(VLOOKUP($B752,'TB YTD'!$4:$1048576,MATCH('List of Ledgers '!P$4,'TB YTD'!$4:$4,0),0),0)</f>
        <v>0</v>
      </c>
      <c r="Q752" s="63">
        <f>IFERROR(VLOOKUP($B752,'TB YTD'!$4:$1048576,MATCH('List of Ledgers '!Q$4,'TB YTD'!$4:$4,0),0),0)</f>
        <v>49500</v>
      </c>
      <c r="R752" s="63"/>
    </row>
    <row r="753" spans="1:18" hidden="1" x14ac:dyDescent="0.25">
      <c r="A753" s="106">
        <v>705</v>
      </c>
      <c r="B753" s="8" t="s">
        <v>938</v>
      </c>
      <c r="C753" s="8" t="s">
        <v>146</v>
      </c>
      <c r="D753" s="17"/>
      <c r="E753" s="17"/>
      <c r="H753" s="62"/>
      <c r="I753" s="37">
        <f>IFERROR(VLOOKUP(B753,'TB '!$A:$G,7,),0)</f>
        <v>54000</v>
      </c>
      <c r="J753" s="37">
        <f>IFERROR(VLOOKUP($B753,'TB '!$4:$1048576,MATCH('List of Ledgers '!J$4,'TB '!$4:$4,0),0),0)</f>
        <v>0</v>
      </c>
      <c r="K753" s="37">
        <f>IFERROR(VLOOKUP($B753,'TB '!$4:$1048576,MATCH('List of Ledgers '!K$4,'TB '!$4:$4,0),0),0)</f>
        <v>0</v>
      </c>
      <c r="L753" s="37">
        <f>IFERROR(VLOOKUP(B753,'TB '!$A:$J,10,),0)</f>
        <v>54000</v>
      </c>
      <c r="M753" s="71"/>
      <c r="N753" s="63">
        <f>IFERROR(VLOOKUP($B753,'TB YTD'!$4:$1048576,MATCH('List of Ledgers '!N$4,'TB YTD'!$4:$4,0),0),0)</f>
        <v>54000</v>
      </c>
      <c r="O753" s="63">
        <f>IFERROR(VLOOKUP($B753,'TB YTD'!$4:$1048576,MATCH('List of Ledgers '!O$4,'TB YTD'!$4:$4,0),0),0)</f>
        <v>0</v>
      </c>
      <c r="P753" s="63">
        <f>IFERROR(VLOOKUP($B753,'TB YTD'!$4:$1048576,MATCH('List of Ledgers '!P$4,'TB YTD'!$4:$4,0),0),0)</f>
        <v>0</v>
      </c>
      <c r="Q753" s="63">
        <f>IFERROR(VLOOKUP($B753,'TB YTD'!$4:$1048576,MATCH('List of Ledgers '!Q$4,'TB YTD'!$4:$4,0),0),0)</f>
        <v>54000</v>
      </c>
      <c r="R753" s="63"/>
    </row>
    <row r="754" spans="1:18" hidden="1" x14ac:dyDescent="0.25">
      <c r="A754" s="106">
        <v>706</v>
      </c>
      <c r="B754" s="8" t="s">
        <v>939</v>
      </c>
      <c r="C754" s="8" t="s">
        <v>146</v>
      </c>
      <c r="H754" s="62"/>
      <c r="I754" s="37">
        <f>IFERROR(VLOOKUP(B754,'TB '!$A:$G,7,),0)</f>
        <v>45000</v>
      </c>
      <c r="J754" s="37">
        <f>IFERROR(VLOOKUP($B754,'TB '!$4:$1048576,MATCH('List of Ledgers '!J$4,'TB '!$4:$4,0),0),0)</f>
        <v>0</v>
      </c>
      <c r="K754" s="37">
        <f>IFERROR(VLOOKUP($B754,'TB '!$4:$1048576,MATCH('List of Ledgers '!K$4,'TB '!$4:$4,0),0),0)</f>
        <v>0</v>
      </c>
      <c r="L754" s="37">
        <f>IFERROR(VLOOKUP(B754,'TB '!$A:$J,10,),0)</f>
        <v>45000</v>
      </c>
      <c r="M754" s="71"/>
      <c r="N754" s="63">
        <f>IFERROR(VLOOKUP($B754,'TB YTD'!$4:$1048576,MATCH('List of Ledgers '!N$4,'TB YTD'!$4:$4,0),0),0)</f>
        <v>45000</v>
      </c>
      <c r="O754" s="63">
        <f>IFERROR(VLOOKUP($B754,'TB YTD'!$4:$1048576,MATCH('List of Ledgers '!O$4,'TB YTD'!$4:$4,0),0),0)</f>
        <v>0</v>
      </c>
      <c r="P754" s="63">
        <f>IFERROR(VLOOKUP($B754,'TB YTD'!$4:$1048576,MATCH('List of Ledgers '!P$4,'TB YTD'!$4:$4,0),0),0)</f>
        <v>0</v>
      </c>
      <c r="Q754" s="63">
        <f>IFERROR(VLOOKUP($B754,'TB YTD'!$4:$1048576,MATCH('List of Ledgers '!Q$4,'TB YTD'!$4:$4,0),0),0)</f>
        <v>45000</v>
      </c>
      <c r="R754" s="63"/>
    </row>
    <row r="755" spans="1:18" hidden="1" x14ac:dyDescent="0.25">
      <c r="A755" s="106">
        <v>707</v>
      </c>
      <c r="B755" s="8" t="s">
        <v>940</v>
      </c>
      <c r="C755" s="8" t="s">
        <v>146</v>
      </c>
      <c r="D755" s="17"/>
      <c r="E755" s="17"/>
      <c r="G755" s="17"/>
      <c r="H755" s="62"/>
      <c r="I755" s="37">
        <f>IFERROR(VLOOKUP(B755,'TB '!$A:$G,7,),0)</f>
        <v>63000</v>
      </c>
      <c r="J755" s="37">
        <f>IFERROR(VLOOKUP($B755,'TB '!$4:$1048576,MATCH('List of Ledgers '!J$4,'TB '!$4:$4,0),0),0)</f>
        <v>0</v>
      </c>
      <c r="K755" s="37">
        <f>IFERROR(VLOOKUP($B755,'TB '!$4:$1048576,MATCH('List of Ledgers '!K$4,'TB '!$4:$4,0),0),0)</f>
        <v>0</v>
      </c>
      <c r="L755" s="37">
        <f>IFERROR(VLOOKUP(B755,'TB '!$A:$J,10,),0)</f>
        <v>63000</v>
      </c>
      <c r="M755" s="71"/>
      <c r="N755" s="63">
        <f>IFERROR(VLOOKUP($B755,'TB YTD'!$4:$1048576,MATCH('List of Ledgers '!N$4,'TB YTD'!$4:$4,0),0),0)</f>
        <v>63000</v>
      </c>
      <c r="O755" s="63">
        <f>IFERROR(VLOOKUP($B755,'TB YTD'!$4:$1048576,MATCH('List of Ledgers '!O$4,'TB YTD'!$4:$4,0),0),0)</f>
        <v>0</v>
      </c>
      <c r="P755" s="63">
        <f>IFERROR(VLOOKUP($B755,'TB YTD'!$4:$1048576,MATCH('List of Ledgers '!P$4,'TB YTD'!$4:$4,0),0),0)</f>
        <v>0</v>
      </c>
      <c r="Q755" s="63">
        <f>IFERROR(VLOOKUP($B755,'TB YTD'!$4:$1048576,MATCH('List of Ledgers '!Q$4,'TB YTD'!$4:$4,0),0),0)</f>
        <v>63000</v>
      </c>
      <c r="R755" s="63"/>
    </row>
    <row r="756" spans="1:18" hidden="1" x14ac:dyDescent="0.25">
      <c r="A756" s="106">
        <v>708</v>
      </c>
      <c r="B756" s="8" t="s">
        <v>941</v>
      </c>
      <c r="C756" s="8" t="s">
        <v>910</v>
      </c>
      <c r="D756" s="17" t="s">
        <v>128</v>
      </c>
      <c r="E756" s="17"/>
      <c r="G756" s="17" t="s">
        <v>7</v>
      </c>
      <c r="H756" s="62"/>
      <c r="I756" s="37">
        <f>IFERROR(VLOOKUP(B756,'TB '!$A:$G,7,),0)</f>
        <v>0</v>
      </c>
      <c r="J756" s="37">
        <f>IFERROR(VLOOKUP($B756,'TB '!$4:$1048576,MATCH('List of Ledgers '!J$4,'TB '!$4:$4,0),0),0)</f>
        <v>0</v>
      </c>
      <c r="K756" s="37">
        <f>IFERROR(VLOOKUP($B756,'TB '!$4:$1048576,MATCH('List of Ledgers '!K$4,'TB '!$4:$4,0),0),0)</f>
        <v>0</v>
      </c>
      <c r="L756" s="37">
        <f>IFERROR(VLOOKUP(B756,'TB '!$A:$J,10,),0)</f>
        <v>0</v>
      </c>
      <c r="M756" s="71"/>
      <c r="N756" s="63">
        <f>IFERROR(VLOOKUP($B756,'TB YTD'!$4:$1048576,MATCH('List of Ledgers '!N$4,'TB YTD'!$4:$4,0),0),0)</f>
        <v>0</v>
      </c>
      <c r="O756" s="63">
        <f>IFERROR(VLOOKUP($B756,'TB YTD'!$4:$1048576,MATCH('List of Ledgers '!O$4,'TB YTD'!$4:$4,0),0),0)</f>
        <v>0</v>
      </c>
      <c r="P756" s="63">
        <f>IFERROR(VLOOKUP($B756,'TB YTD'!$4:$1048576,MATCH('List of Ledgers '!P$4,'TB YTD'!$4:$4,0),0),0)</f>
        <v>0</v>
      </c>
      <c r="Q756" s="63">
        <f>IFERROR(VLOOKUP($B756,'TB YTD'!$4:$1048576,MATCH('List of Ledgers '!Q$4,'TB YTD'!$4:$4,0),0),0)</f>
        <v>0</v>
      </c>
      <c r="R756" s="63"/>
    </row>
    <row r="757" spans="1:18" hidden="1" x14ac:dyDescent="0.25">
      <c r="A757" s="106">
        <v>709</v>
      </c>
      <c r="B757" s="8" t="s">
        <v>942</v>
      </c>
      <c r="C757" s="8" t="s">
        <v>910</v>
      </c>
      <c r="H757" s="62"/>
      <c r="I757" s="37">
        <f>IFERROR(VLOOKUP(B757,'TB '!$A:$G,7,),0)</f>
        <v>-25386</v>
      </c>
      <c r="J757" s="37">
        <f>IFERROR(VLOOKUP($B757,'TB '!$4:$1048576,MATCH('List of Ledgers '!J$4,'TB '!$4:$4,0),0),0)</f>
        <v>25386</v>
      </c>
      <c r="K757" s="37">
        <f>IFERROR(VLOOKUP($B757,'TB '!$4:$1048576,MATCH('List of Ledgers '!K$4,'TB '!$4:$4,0),0),0)</f>
        <v>25386</v>
      </c>
      <c r="L757" s="37">
        <f>IFERROR(VLOOKUP(B757,'TB '!$A:$J,10,),0)</f>
        <v>-25386</v>
      </c>
      <c r="M757" s="71"/>
      <c r="N757" s="63">
        <f>IFERROR(VLOOKUP($B757,'TB YTD'!$4:$1048576,MATCH('List of Ledgers '!N$4,'TB YTD'!$4:$4,0),0),0)</f>
        <v>-21720</v>
      </c>
      <c r="O757" s="63">
        <f>IFERROR(VLOOKUP($B757,'TB YTD'!$4:$1048576,MATCH('List of Ledgers '!O$4,'TB YTD'!$4:$4,0),0),0)</f>
        <v>268683</v>
      </c>
      <c r="P757" s="63">
        <f>IFERROR(VLOOKUP($B757,'TB YTD'!$4:$1048576,MATCH('List of Ledgers '!P$4,'TB YTD'!$4:$4,0),0),0)</f>
        <v>272349</v>
      </c>
      <c r="Q757" s="63">
        <f>IFERROR(VLOOKUP($B757,'TB YTD'!$4:$1048576,MATCH('List of Ledgers '!Q$4,'TB YTD'!$4:$4,0),0),0)</f>
        <v>-25386</v>
      </c>
      <c r="R757" s="63"/>
    </row>
    <row r="758" spans="1:18" hidden="1" x14ac:dyDescent="0.25">
      <c r="A758" s="106">
        <v>710</v>
      </c>
      <c r="B758" s="8" t="s">
        <v>943</v>
      </c>
      <c r="C758" s="8" t="s">
        <v>146</v>
      </c>
      <c r="D758" s="17"/>
      <c r="E758" s="17"/>
      <c r="H758" s="62"/>
      <c r="I758" s="37">
        <f>IFERROR(VLOOKUP(B758,'TB '!$A:$G,7,),0)</f>
        <v>54000</v>
      </c>
      <c r="J758" s="37">
        <f>IFERROR(VLOOKUP($B758,'TB '!$4:$1048576,MATCH('List of Ledgers '!J$4,'TB '!$4:$4,0),0),0)</f>
        <v>0</v>
      </c>
      <c r="K758" s="37">
        <f>IFERROR(VLOOKUP($B758,'TB '!$4:$1048576,MATCH('List of Ledgers '!K$4,'TB '!$4:$4,0),0),0)</f>
        <v>0</v>
      </c>
      <c r="L758" s="37">
        <f>IFERROR(VLOOKUP(B758,'TB '!$A:$J,10,),0)</f>
        <v>54000</v>
      </c>
      <c r="M758" s="71"/>
      <c r="N758" s="63">
        <f>IFERROR(VLOOKUP($B758,'TB YTD'!$4:$1048576,MATCH('List of Ledgers '!N$4,'TB YTD'!$4:$4,0),0),0)</f>
        <v>54000</v>
      </c>
      <c r="O758" s="63">
        <f>IFERROR(VLOOKUP($B758,'TB YTD'!$4:$1048576,MATCH('List of Ledgers '!O$4,'TB YTD'!$4:$4,0),0),0)</f>
        <v>0</v>
      </c>
      <c r="P758" s="63">
        <f>IFERROR(VLOOKUP($B758,'TB YTD'!$4:$1048576,MATCH('List of Ledgers '!P$4,'TB YTD'!$4:$4,0),0),0)</f>
        <v>0</v>
      </c>
      <c r="Q758" s="63">
        <f>IFERROR(VLOOKUP($B758,'TB YTD'!$4:$1048576,MATCH('List of Ledgers '!Q$4,'TB YTD'!$4:$4,0),0),0)</f>
        <v>54000</v>
      </c>
      <c r="R758" s="63"/>
    </row>
    <row r="759" spans="1:18" hidden="1" x14ac:dyDescent="0.25">
      <c r="A759" s="106">
        <v>711</v>
      </c>
      <c r="B759" s="8" t="s">
        <v>944</v>
      </c>
      <c r="C759" s="8" t="s">
        <v>146</v>
      </c>
      <c r="D759" s="17"/>
      <c r="E759" s="17"/>
      <c r="H759" s="62"/>
      <c r="I759" s="37">
        <f>IFERROR(VLOOKUP(B759,'TB '!$A:$G,7,),0)</f>
        <v>63942</v>
      </c>
      <c r="J759" s="37">
        <f>IFERROR(VLOOKUP($B759,'TB '!$4:$1048576,MATCH('List of Ledgers '!J$4,'TB '!$4:$4,0),0),0)</f>
        <v>0</v>
      </c>
      <c r="K759" s="37">
        <f>IFERROR(VLOOKUP($B759,'TB '!$4:$1048576,MATCH('List of Ledgers '!K$4,'TB '!$4:$4,0),0),0)</f>
        <v>0</v>
      </c>
      <c r="L759" s="37">
        <f>IFERROR(VLOOKUP(B759,'TB '!$A:$J,10,),0)</f>
        <v>63942</v>
      </c>
      <c r="M759" s="71"/>
      <c r="N759" s="63">
        <f>IFERROR(VLOOKUP($B759,'TB YTD'!$4:$1048576,MATCH('List of Ledgers '!N$4,'TB YTD'!$4:$4,0),0),0)</f>
        <v>63942</v>
      </c>
      <c r="O759" s="63">
        <f>IFERROR(VLOOKUP($B759,'TB YTD'!$4:$1048576,MATCH('List of Ledgers '!O$4,'TB YTD'!$4:$4,0),0),0)</f>
        <v>0</v>
      </c>
      <c r="P759" s="63">
        <f>IFERROR(VLOOKUP($B759,'TB YTD'!$4:$1048576,MATCH('List of Ledgers '!P$4,'TB YTD'!$4:$4,0),0),0)</f>
        <v>0</v>
      </c>
      <c r="Q759" s="63">
        <f>IFERROR(VLOOKUP($B759,'TB YTD'!$4:$1048576,MATCH('List of Ledgers '!Q$4,'TB YTD'!$4:$4,0),0),0)</f>
        <v>63942</v>
      </c>
      <c r="R759" s="63"/>
    </row>
    <row r="760" spans="1:18" hidden="1" x14ac:dyDescent="0.25">
      <c r="A760" s="106">
        <v>712</v>
      </c>
      <c r="B760" s="8" t="s">
        <v>945</v>
      </c>
      <c r="C760" s="8" t="s">
        <v>946</v>
      </c>
      <c r="D760" s="17"/>
      <c r="E760" s="17"/>
      <c r="G760" s="17"/>
      <c r="H760" s="62"/>
      <c r="I760" s="37">
        <f>IFERROR(VLOOKUP(B760,'TB '!$A:$G,7,),0)</f>
        <v>157052.5</v>
      </c>
      <c r="J760" s="37">
        <f>IFERROR(VLOOKUP($B760,'TB '!$4:$1048576,MATCH('List of Ledgers '!J$4,'TB '!$4:$4,0),0),0)</f>
        <v>0</v>
      </c>
      <c r="K760" s="37">
        <f>IFERROR(VLOOKUP($B760,'TB '!$4:$1048576,MATCH('List of Ledgers '!K$4,'TB '!$4:$4,0),0),0)</f>
        <v>0</v>
      </c>
      <c r="L760" s="37">
        <f>IFERROR(VLOOKUP(B760,'TB '!$A:$J,10,),0)</f>
        <v>157052.5</v>
      </c>
      <c r="M760" s="71"/>
      <c r="N760" s="63">
        <f>IFERROR(VLOOKUP($B760,'TB YTD'!$4:$1048576,MATCH('List of Ledgers '!N$4,'TB YTD'!$4:$4,0),0),0)</f>
        <v>157052.5</v>
      </c>
      <c r="O760" s="63">
        <f>IFERROR(VLOOKUP($B760,'TB YTD'!$4:$1048576,MATCH('List of Ledgers '!O$4,'TB YTD'!$4:$4,0),0),0)</f>
        <v>0</v>
      </c>
      <c r="P760" s="63">
        <f>IFERROR(VLOOKUP($B760,'TB YTD'!$4:$1048576,MATCH('List of Ledgers '!P$4,'TB YTD'!$4:$4,0),0),0)</f>
        <v>0</v>
      </c>
      <c r="Q760" s="63">
        <f>IFERROR(VLOOKUP($B760,'TB YTD'!$4:$1048576,MATCH('List of Ledgers '!Q$4,'TB YTD'!$4:$4,0),0),0)</f>
        <v>157052.5</v>
      </c>
      <c r="R760" s="63"/>
    </row>
    <row r="761" spans="1:18" hidden="1" x14ac:dyDescent="0.25">
      <c r="A761" s="106">
        <v>713</v>
      </c>
      <c r="B761" s="8" t="s">
        <v>947</v>
      </c>
      <c r="C761" s="8" t="s">
        <v>146</v>
      </c>
      <c r="G761" s="17"/>
      <c r="H761" s="62"/>
      <c r="I761" s="37">
        <f>IFERROR(VLOOKUP(B761,'TB '!$A:$G,7,),0)</f>
        <v>14020.62</v>
      </c>
      <c r="J761" s="37">
        <f>IFERROR(VLOOKUP($B761,'TB '!$4:$1048576,MATCH('List of Ledgers '!J$4,'TB '!$4:$4,0),0),0)</f>
        <v>340000</v>
      </c>
      <c r="K761" s="37">
        <f>IFERROR(VLOOKUP($B761,'TB '!$4:$1048576,MATCH('List of Ledgers '!K$4,'TB '!$4:$4,0),0),0)</f>
        <v>0</v>
      </c>
      <c r="L761" s="37">
        <f>IFERROR(VLOOKUP(B761,'TB '!$A:$J,10,),0)</f>
        <v>354020.62</v>
      </c>
      <c r="M761" s="71"/>
      <c r="N761" s="63">
        <f>IFERROR(VLOOKUP($B761,'TB YTD'!$4:$1048576,MATCH('List of Ledgers '!N$4,'TB YTD'!$4:$4,0),0),0)</f>
        <v>0</v>
      </c>
      <c r="O761" s="63">
        <f>IFERROR(VLOOKUP($B761,'TB YTD'!$4:$1048576,MATCH('List of Ledgers '!O$4,'TB YTD'!$4:$4,0),0),0)</f>
        <v>354020.62</v>
      </c>
      <c r="P761" s="63">
        <f>IFERROR(VLOOKUP($B761,'TB YTD'!$4:$1048576,MATCH('List of Ledgers '!P$4,'TB YTD'!$4:$4,0),0),0)</f>
        <v>0</v>
      </c>
      <c r="Q761" s="63">
        <f>IFERROR(VLOOKUP($B761,'TB YTD'!$4:$1048576,MATCH('List of Ledgers '!Q$4,'TB YTD'!$4:$4,0),0),0)</f>
        <v>354020.62</v>
      </c>
      <c r="R761" s="63"/>
    </row>
    <row r="762" spans="1:18" hidden="1" x14ac:dyDescent="0.25">
      <c r="A762" s="106">
        <v>714</v>
      </c>
      <c r="B762" s="8" t="s">
        <v>948</v>
      </c>
      <c r="C762" s="8" t="s">
        <v>146</v>
      </c>
      <c r="D762" s="17"/>
      <c r="E762" s="17"/>
      <c r="H762" s="62"/>
      <c r="I762" s="37">
        <f>IFERROR(VLOOKUP(B762,'TB '!$A:$G,7,),0)</f>
        <v>93296</v>
      </c>
      <c r="J762" s="37">
        <f>IFERROR(VLOOKUP($B762,'TB '!$4:$1048576,MATCH('List of Ledgers '!J$4,'TB '!$4:$4,0),0),0)</f>
        <v>0</v>
      </c>
      <c r="K762" s="37">
        <f>IFERROR(VLOOKUP($B762,'TB '!$4:$1048576,MATCH('List of Ledgers '!K$4,'TB '!$4:$4,0),0),0)</f>
        <v>0</v>
      </c>
      <c r="L762" s="37">
        <f>IFERROR(VLOOKUP(B762,'TB '!$A:$J,10,),0)</f>
        <v>93296</v>
      </c>
      <c r="M762" s="71"/>
      <c r="N762" s="63">
        <f>IFERROR(VLOOKUP($B762,'TB YTD'!$4:$1048576,MATCH('List of Ledgers '!N$4,'TB YTD'!$4:$4,0),0),0)</f>
        <v>93296</v>
      </c>
      <c r="O762" s="63">
        <f>IFERROR(VLOOKUP($B762,'TB YTD'!$4:$1048576,MATCH('List of Ledgers '!O$4,'TB YTD'!$4:$4,0),0),0)</f>
        <v>0</v>
      </c>
      <c r="P762" s="63">
        <f>IFERROR(VLOOKUP($B762,'TB YTD'!$4:$1048576,MATCH('List of Ledgers '!P$4,'TB YTD'!$4:$4,0),0),0)</f>
        <v>0</v>
      </c>
      <c r="Q762" s="63">
        <f>IFERROR(VLOOKUP($B762,'TB YTD'!$4:$1048576,MATCH('List of Ledgers '!Q$4,'TB YTD'!$4:$4,0),0),0)</f>
        <v>93296</v>
      </c>
      <c r="R762" s="63"/>
    </row>
    <row r="763" spans="1:18" hidden="1" x14ac:dyDescent="0.25">
      <c r="A763" s="106">
        <v>715</v>
      </c>
      <c r="B763" s="8" t="s">
        <v>949</v>
      </c>
      <c r="C763" s="8" t="s">
        <v>900</v>
      </c>
      <c r="D763" s="17"/>
      <c r="E763" s="17"/>
      <c r="H763" s="62"/>
      <c r="I763" s="37">
        <f>IFERROR(VLOOKUP(B763,'TB '!$A:$G,7,),0)</f>
        <v>3864</v>
      </c>
      <c r="J763" s="37">
        <f>IFERROR(VLOOKUP($B763,'TB '!$4:$1048576,MATCH('List of Ledgers '!J$4,'TB '!$4:$4,0),0),0)</f>
        <v>0</v>
      </c>
      <c r="K763" s="37">
        <f>IFERROR(VLOOKUP($B763,'TB '!$4:$1048576,MATCH('List of Ledgers '!K$4,'TB '!$4:$4,0),0),0)</f>
        <v>0</v>
      </c>
      <c r="L763" s="37">
        <f>IFERROR(VLOOKUP(B763,'TB '!$A:$J,10,),0)</f>
        <v>3864</v>
      </c>
      <c r="M763" s="71"/>
      <c r="N763" s="63">
        <f>IFERROR(VLOOKUP($B763,'TB YTD'!$4:$1048576,MATCH('List of Ledgers '!N$4,'TB YTD'!$4:$4,0),0),0)</f>
        <v>3864</v>
      </c>
      <c r="O763" s="63">
        <f>IFERROR(VLOOKUP($B763,'TB YTD'!$4:$1048576,MATCH('List of Ledgers '!O$4,'TB YTD'!$4:$4,0),0),0)</f>
        <v>0</v>
      </c>
      <c r="P763" s="63">
        <f>IFERROR(VLOOKUP($B763,'TB YTD'!$4:$1048576,MATCH('List of Ledgers '!P$4,'TB YTD'!$4:$4,0),0),0)</f>
        <v>0</v>
      </c>
      <c r="Q763" s="63">
        <f>IFERROR(VLOOKUP($B763,'TB YTD'!$4:$1048576,MATCH('List of Ledgers '!Q$4,'TB YTD'!$4:$4,0),0),0)</f>
        <v>3864</v>
      </c>
      <c r="R763" s="63"/>
    </row>
    <row r="764" spans="1:18" hidden="1" x14ac:dyDescent="0.25">
      <c r="A764" s="106">
        <v>716</v>
      </c>
      <c r="B764" s="2" t="s">
        <v>950</v>
      </c>
      <c r="C764" s="2" t="s">
        <v>158</v>
      </c>
      <c r="D764" s="17" t="s">
        <v>128</v>
      </c>
      <c r="E764" s="17" t="s">
        <v>131</v>
      </c>
      <c r="G764" s="17" t="s">
        <v>4</v>
      </c>
      <c r="I764" s="37">
        <f>IFERROR(VLOOKUP(B764,'TB '!$A:$G,7,),0)</f>
        <v>0</v>
      </c>
      <c r="J764" s="37">
        <f>IFERROR(VLOOKUP($B764,'TB '!$4:$1048576,MATCH('List of Ledgers '!J$4,'TB '!$4:$4,0),0),0)</f>
        <v>0</v>
      </c>
      <c r="K764" s="37">
        <f>IFERROR(VLOOKUP($B764,'TB '!$4:$1048576,MATCH('List of Ledgers '!K$4,'TB '!$4:$4,0),0),0)</f>
        <v>0</v>
      </c>
      <c r="L764" s="37">
        <f>IFERROR(VLOOKUP(B764,'TB '!$A:$J,10,),0)</f>
        <v>0</v>
      </c>
      <c r="M764" s="71"/>
      <c r="N764" s="63">
        <f>IFERROR(VLOOKUP($B764,'TB YTD'!$4:$1048576,MATCH('List of Ledgers '!N$4,'TB YTD'!$4:$4,0),0),0)</f>
        <v>0</v>
      </c>
      <c r="O764" s="63">
        <f>IFERROR(VLOOKUP($B764,'TB YTD'!$4:$1048576,MATCH('List of Ledgers '!O$4,'TB YTD'!$4:$4,0),0),0)</f>
        <v>9173175</v>
      </c>
      <c r="P764" s="63">
        <f>IFERROR(VLOOKUP($B764,'TB YTD'!$4:$1048576,MATCH('List of Ledgers '!P$4,'TB YTD'!$4:$4,0),0),0)</f>
        <v>9173175</v>
      </c>
      <c r="Q764" s="63">
        <f>IFERROR(VLOOKUP($B764,'TB YTD'!$4:$1048576,MATCH('List of Ledgers '!Q$4,'TB YTD'!$4:$4,0),0),0)</f>
        <v>0</v>
      </c>
    </row>
    <row r="765" spans="1:18" hidden="1" x14ac:dyDescent="0.25">
      <c r="A765" s="106">
        <v>717</v>
      </c>
      <c r="B765" s="8" t="s">
        <v>951</v>
      </c>
      <c r="C765" s="8" t="s">
        <v>952</v>
      </c>
      <c r="D765" s="17" t="s">
        <v>151</v>
      </c>
      <c r="E765" s="17" t="s">
        <v>152</v>
      </c>
      <c r="F765" s="12" t="s">
        <v>67</v>
      </c>
      <c r="G765" s="17" t="s">
        <v>7</v>
      </c>
      <c r="H765" s="62"/>
      <c r="I765" s="37">
        <f>IFERROR(VLOOKUP(B765,'TB '!$A:$G,7,),0)</f>
        <v>0</v>
      </c>
      <c r="J765" s="37">
        <f>IFERROR(VLOOKUP($B765,'TB '!$4:$1048576,MATCH('List of Ledgers '!J$4,'TB '!$4:$4,0),0),0)</f>
        <v>0</v>
      </c>
      <c r="K765" s="37">
        <f>IFERROR(VLOOKUP($B765,'TB '!$4:$1048576,MATCH('List of Ledgers '!K$4,'TB '!$4:$4,0),0),0)</f>
        <v>0</v>
      </c>
      <c r="L765" s="37">
        <f>IFERROR(VLOOKUP(B765,'TB '!$A:$J,10,),0)</f>
        <v>0</v>
      </c>
      <c r="M765" s="71"/>
      <c r="N765" s="63">
        <f>IFERROR(VLOOKUP($B765,'TB YTD'!$4:$1048576,MATCH('List of Ledgers '!N$4,'TB YTD'!$4:$4,0),0),0)</f>
        <v>0</v>
      </c>
      <c r="O765" s="63">
        <f>IFERROR(VLOOKUP($B765,'TB YTD'!$4:$1048576,MATCH('List of Ledgers '!O$4,'TB YTD'!$4:$4,0),0),0)</f>
        <v>0</v>
      </c>
      <c r="P765" s="63">
        <f>IFERROR(VLOOKUP($B765,'TB YTD'!$4:$1048576,MATCH('List of Ledgers '!P$4,'TB YTD'!$4:$4,0),0),0)</f>
        <v>0</v>
      </c>
      <c r="Q765" s="63">
        <f>IFERROR(VLOOKUP($B765,'TB YTD'!$4:$1048576,MATCH('List of Ledgers '!Q$4,'TB YTD'!$4:$4,0),0),0)</f>
        <v>0</v>
      </c>
      <c r="R765" s="63"/>
    </row>
    <row r="766" spans="1:18" hidden="1" x14ac:dyDescent="0.25">
      <c r="A766" s="106">
        <v>718</v>
      </c>
      <c r="B766" s="8" t="s">
        <v>953</v>
      </c>
      <c r="C766" s="8" t="s">
        <v>275</v>
      </c>
      <c r="D766" s="17" t="s">
        <v>151</v>
      </c>
      <c r="E766" s="17" t="s">
        <v>152</v>
      </c>
      <c r="F766" s="12" t="s">
        <v>67</v>
      </c>
      <c r="G766" s="17" t="s">
        <v>7</v>
      </c>
      <c r="H766" s="62"/>
      <c r="I766" s="37">
        <f>IFERROR(VLOOKUP(B766,'TB '!$A:$G,7,),0)</f>
        <v>0</v>
      </c>
      <c r="J766" s="37">
        <f>IFERROR(VLOOKUP($B766,'TB '!$4:$1048576,MATCH('List of Ledgers '!J$4,'TB '!$4:$4,0),0),0)</f>
        <v>1264.3599999999999</v>
      </c>
      <c r="K766" s="37">
        <f>IFERROR(VLOOKUP($B766,'TB '!$4:$1048576,MATCH('List of Ledgers '!K$4,'TB '!$4:$4,0),0),0)</f>
        <v>0</v>
      </c>
      <c r="L766" s="37">
        <f>IFERROR(VLOOKUP(B766,'TB '!$A:$J,10,),0)</f>
        <v>1264.3599999999999</v>
      </c>
      <c r="M766" s="71"/>
      <c r="N766" s="63">
        <f>IFERROR(VLOOKUP($B766,'TB YTD'!$4:$1048576,MATCH('List of Ledgers '!N$4,'TB YTD'!$4:$4,0),0),0)</f>
        <v>0</v>
      </c>
      <c r="O766" s="63">
        <f>IFERROR(VLOOKUP($B766,'TB YTD'!$4:$1048576,MATCH('List of Ledgers '!O$4,'TB YTD'!$4:$4,0),0),0)</f>
        <v>25749.1</v>
      </c>
      <c r="P766" s="63">
        <f>IFERROR(VLOOKUP($B766,'TB YTD'!$4:$1048576,MATCH('List of Ledgers '!P$4,'TB YTD'!$4:$4,0),0),0)</f>
        <v>32400</v>
      </c>
      <c r="Q766" s="63">
        <f>IFERROR(VLOOKUP($B766,'TB YTD'!$4:$1048576,MATCH('List of Ledgers '!Q$4,'TB YTD'!$4:$4,0),0),0)</f>
        <v>-6650.9</v>
      </c>
      <c r="R766" s="63"/>
    </row>
    <row r="767" spans="1:18" hidden="1" x14ac:dyDescent="0.25">
      <c r="A767" s="106">
        <v>719</v>
      </c>
      <c r="B767" s="8" t="s">
        <v>954</v>
      </c>
      <c r="C767" s="8" t="s">
        <v>275</v>
      </c>
      <c r="D767" s="17" t="s">
        <v>151</v>
      </c>
      <c r="E767" s="17" t="s">
        <v>152</v>
      </c>
      <c r="F767" s="12" t="s">
        <v>67</v>
      </c>
      <c r="G767" s="17" t="s">
        <v>7</v>
      </c>
      <c r="H767" s="62"/>
      <c r="I767" s="37">
        <f>IFERROR(VLOOKUP(B767,'TB '!$A:$G,7,),0)</f>
        <v>0</v>
      </c>
      <c r="J767" s="37">
        <f>IFERROR(VLOOKUP($B767,'TB '!$4:$1048576,MATCH('List of Ledgers '!J$4,'TB '!$4:$4,0),0),0)</f>
        <v>0</v>
      </c>
      <c r="K767" s="37">
        <f>IFERROR(VLOOKUP($B767,'TB '!$4:$1048576,MATCH('List of Ledgers '!K$4,'TB '!$4:$4,0),0),0)</f>
        <v>0</v>
      </c>
      <c r="L767" s="37">
        <f>IFERROR(VLOOKUP(B767,'TB '!$A:$J,10,),0)</f>
        <v>0</v>
      </c>
      <c r="M767" s="71"/>
      <c r="N767" s="63">
        <f>IFERROR(VLOOKUP($B767,'TB YTD'!$4:$1048576,MATCH('List of Ledgers '!N$4,'TB YTD'!$4:$4,0),0),0)</f>
        <v>0</v>
      </c>
      <c r="O767" s="63">
        <f>IFERROR(VLOOKUP($B767,'TB YTD'!$4:$1048576,MATCH('List of Ledgers '!O$4,'TB YTD'!$4:$4,0),0),0)</f>
        <v>1472.64</v>
      </c>
      <c r="P767" s="63">
        <f>IFERROR(VLOOKUP($B767,'TB YTD'!$4:$1048576,MATCH('List of Ledgers '!P$4,'TB YTD'!$4:$4,0),0),0)</f>
        <v>0</v>
      </c>
      <c r="Q767" s="63">
        <f>IFERROR(VLOOKUP($B767,'TB YTD'!$4:$1048576,MATCH('List of Ledgers '!Q$4,'TB YTD'!$4:$4,0),0),0)</f>
        <v>1472.64</v>
      </c>
      <c r="R767" s="63"/>
    </row>
    <row r="768" spans="1:18" hidden="1" x14ac:dyDescent="0.25">
      <c r="A768" s="106">
        <v>720</v>
      </c>
      <c r="B768" s="8" t="s">
        <v>955</v>
      </c>
      <c r="C768" s="8" t="s">
        <v>172</v>
      </c>
      <c r="G768" s="17"/>
      <c r="H768" s="62"/>
      <c r="I768" s="37">
        <f>IFERROR(VLOOKUP(B768,'TB '!$A:$G,7,),0)</f>
        <v>5534</v>
      </c>
      <c r="J768" s="37">
        <f>IFERROR(VLOOKUP($B768,'TB '!$4:$1048576,MATCH('List of Ledgers '!J$4,'TB '!$4:$4,0),0),0)</f>
        <v>0</v>
      </c>
      <c r="K768" s="37">
        <f>IFERROR(VLOOKUP($B768,'TB '!$4:$1048576,MATCH('List of Ledgers '!K$4,'TB '!$4:$4,0),0),0)</f>
        <v>0</v>
      </c>
      <c r="L768" s="37">
        <f>IFERROR(VLOOKUP(B768,'TB '!$A:$J,10,),0)</f>
        <v>5534</v>
      </c>
      <c r="M768" s="71"/>
      <c r="N768" s="63">
        <f>IFERROR(VLOOKUP($B768,'TB YTD'!$4:$1048576,MATCH('List of Ledgers '!N$4,'TB YTD'!$4:$4,0),0),0)</f>
        <v>5534</v>
      </c>
      <c r="O768" s="63">
        <f>IFERROR(VLOOKUP($B768,'TB YTD'!$4:$1048576,MATCH('List of Ledgers '!O$4,'TB YTD'!$4:$4,0),0),0)</f>
        <v>0</v>
      </c>
      <c r="P768" s="63">
        <f>IFERROR(VLOOKUP($B768,'TB YTD'!$4:$1048576,MATCH('List of Ledgers '!P$4,'TB YTD'!$4:$4,0),0),0)</f>
        <v>0</v>
      </c>
      <c r="Q768" s="63">
        <f>IFERROR(VLOOKUP($B768,'TB YTD'!$4:$1048576,MATCH('List of Ledgers '!Q$4,'TB YTD'!$4:$4,0),0),0)</f>
        <v>5534</v>
      </c>
      <c r="R768" s="63"/>
    </row>
    <row r="769" spans="1:18" hidden="1" x14ac:dyDescent="0.25">
      <c r="A769" s="106">
        <v>721</v>
      </c>
      <c r="B769" s="8" t="s">
        <v>956</v>
      </c>
      <c r="C769" s="8" t="s">
        <v>166</v>
      </c>
      <c r="D769" s="17" t="s">
        <v>151</v>
      </c>
      <c r="E769" s="17" t="s">
        <v>1291</v>
      </c>
      <c r="F769" s="12" t="s">
        <v>71</v>
      </c>
      <c r="G769" s="17" t="s">
        <v>4</v>
      </c>
      <c r="H769" s="62"/>
      <c r="I769" s="37">
        <f>IFERROR(VLOOKUP(B769,'TB '!$A:$G,7,),0)</f>
        <v>0</v>
      </c>
      <c r="J769" s="37">
        <f>IFERROR(VLOOKUP($B769,'TB '!$4:$1048576,MATCH('List of Ledgers '!J$4,'TB '!$4:$4,0),0),0)</f>
        <v>0</v>
      </c>
      <c r="K769" s="37">
        <f>IFERROR(VLOOKUP($B769,'TB '!$4:$1048576,MATCH('List of Ledgers '!K$4,'TB '!$4:$4,0),0),0)</f>
        <v>0</v>
      </c>
      <c r="L769" s="37">
        <f>IFERROR(VLOOKUP(B769,'TB '!$A:$J,10,),0)</f>
        <v>0</v>
      </c>
      <c r="M769" s="71"/>
      <c r="N769" s="63">
        <f>IFERROR(VLOOKUP($B769,'TB YTD'!$4:$1048576,MATCH('List of Ledgers '!N$4,'TB YTD'!$4:$4,0),0),0)</f>
        <v>0</v>
      </c>
      <c r="O769" s="63">
        <f>IFERROR(VLOOKUP($B769,'TB YTD'!$4:$1048576,MATCH('List of Ledgers '!O$4,'TB YTD'!$4:$4,0),0),0)</f>
        <v>93900</v>
      </c>
      <c r="P769" s="63">
        <f>IFERROR(VLOOKUP($B769,'TB YTD'!$4:$1048576,MATCH('List of Ledgers '!P$4,'TB YTD'!$4:$4,0),0),0)</f>
        <v>0</v>
      </c>
      <c r="Q769" s="63">
        <f>IFERROR(VLOOKUP($B769,'TB YTD'!$4:$1048576,MATCH('List of Ledgers '!Q$4,'TB YTD'!$4:$4,0),0),0)</f>
        <v>93900</v>
      </c>
      <c r="R769" s="63"/>
    </row>
    <row r="770" spans="1:18" hidden="1" x14ac:dyDescent="0.25">
      <c r="A770" s="106">
        <v>722</v>
      </c>
      <c r="B770" s="2" t="s">
        <v>957</v>
      </c>
      <c r="C770" s="2" t="s">
        <v>158</v>
      </c>
      <c r="D770" s="17" t="s">
        <v>128</v>
      </c>
      <c r="E770" s="17" t="s">
        <v>131</v>
      </c>
      <c r="G770" s="17" t="s">
        <v>4</v>
      </c>
      <c r="I770" s="37">
        <f>IFERROR(VLOOKUP(B770,'TB '!$A:$G,7,),0)</f>
        <v>0</v>
      </c>
      <c r="J770" s="37">
        <f>IFERROR(VLOOKUP($B770,'TB '!$4:$1048576,MATCH('List of Ledgers '!J$4,'TB '!$4:$4,0),0),0)</f>
        <v>0</v>
      </c>
      <c r="K770" s="37">
        <f>IFERROR(VLOOKUP($B770,'TB '!$4:$1048576,MATCH('List of Ledgers '!K$4,'TB '!$4:$4,0),0),0)</f>
        <v>0</v>
      </c>
      <c r="L770" s="37">
        <f>IFERROR(VLOOKUP(B770,'TB '!$A:$J,10,),0)</f>
        <v>0</v>
      </c>
      <c r="M770" s="71"/>
      <c r="N770" s="63">
        <f>IFERROR(VLOOKUP($B770,'TB YTD'!$4:$1048576,MATCH('List of Ledgers '!N$4,'TB YTD'!$4:$4,0),0),0)</f>
        <v>0</v>
      </c>
      <c r="O770" s="63">
        <f>IFERROR(VLOOKUP($B770,'TB YTD'!$4:$1048576,MATCH('List of Ledgers '!O$4,'TB YTD'!$4:$4,0),0),0)</f>
        <v>94293</v>
      </c>
      <c r="P770" s="63">
        <f>IFERROR(VLOOKUP($B770,'TB YTD'!$4:$1048576,MATCH('List of Ledgers '!P$4,'TB YTD'!$4:$4,0),0),0)</f>
        <v>94293</v>
      </c>
      <c r="Q770" s="63">
        <f>IFERROR(VLOOKUP($B770,'TB YTD'!$4:$1048576,MATCH('List of Ledgers '!Q$4,'TB YTD'!$4:$4,0),0),0)</f>
        <v>0</v>
      </c>
    </row>
    <row r="771" spans="1:18" hidden="1" x14ac:dyDescent="0.25">
      <c r="A771" s="106">
        <v>723</v>
      </c>
      <c r="B771" s="8" t="s">
        <v>958</v>
      </c>
      <c r="C771" s="8" t="s">
        <v>124</v>
      </c>
      <c r="G771" s="17"/>
      <c r="H771" s="62"/>
      <c r="I771" s="37">
        <f>IFERROR(VLOOKUP(B771,'TB '!$A:$G,7,),0)</f>
        <v>14083.35</v>
      </c>
      <c r="J771" s="37">
        <f>IFERROR(VLOOKUP($B771,'TB '!$4:$1048576,MATCH('List of Ledgers '!J$4,'TB '!$4:$4,0),0),0)</f>
        <v>0</v>
      </c>
      <c r="K771" s="37">
        <f>IFERROR(VLOOKUP($B771,'TB '!$4:$1048576,MATCH('List of Ledgers '!K$4,'TB '!$4:$4,0),0),0)</f>
        <v>0</v>
      </c>
      <c r="L771" s="37">
        <f>IFERROR(VLOOKUP(B771,'TB '!$A:$J,10,),0)</f>
        <v>14083.35</v>
      </c>
      <c r="M771" s="71"/>
      <c r="N771" s="63">
        <f>IFERROR(VLOOKUP($B771,'TB YTD'!$4:$1048576,MATCH('List of Ledgers '!N$4,'TB YTD'!$4:$4,0),0),0)</f>
        <v>14083.35</v>
      </c>
      <c r="O771" s="63">
        <f>IFERROR(VLOOKUP($B771,'TB YTD'!$4:$1048576,MATCH('List of Ledgers '!O$4,'TB YTD'!$4:$4,0),0),0)</f>
        <v>0</v>
      </c>
      <c r="P771" s="63">
        <f>IFERROR(VLOOKUP($B771,'TB YTD'!$4:$1048576,MATCH('List of Ledgers '!P$4,'TB YTD'!$4:$4,0),0),0)</f>
        <v>0</v>
      </c>
      <c r="Q771" s="63">
        <f>IFERROR(VLOOKUP($B771,'TB YTD'!$4:$1048576,MATCH('List of Ledgers '!Q$4,'TB YTD'!$4:$4,0),0),0)</f>
        <v>14083.35</v>
      </c>
      <c r="R771" s="63"/>
    </row>
    <row r="772" spans="1:18" hidden="1" x14ac:dyDescent="0.25">
      <c r="A772" s="106">
        <v>724</v>
      </c>
      <c r="B772" s="8" t="s">
        <v>959</v>
      </c>
      <c r="C772" s="8" t="s">
        <v>124</v>
      </c>
      <c r="G772" s="17"/>
      <c r="H772" s="62"/>
      <c r="I772" s="37">
        <f>IFERROR(VLOOKUP(B772,'TB '!$A:$G,7,),0)</f>
        <v>83269.97</v>
      </c>
      <c r="J772" s="37">
        <f>IFERROR(VLOOKUP($B772,'TB '!$4:$1048576,MATCH('List of Ledgers '!J$4,'TB '!$4:$4,0),0),0)</f>
        <v>0</v>
      </c>
      <c r="K772" s="37">
        <f>IFERROR(VLOOKUP($B772,'TB '!$4:$1048576,MATCH('List of Ledgers '!K$4,'TB '!$4:$4,0),0),0)</f>
        <v>0</v>
      </c>
      <c r="L772" s="37">
        <f>IFERROR(VLOOKUP(B772,'TB '!$A:$J,10,),0)</f>
        <v>83269.97</v>
      </c>
      <c r="M772" s="71"/>
      <c r="N772" s="63">
        <f>IFERROR(VLOOKUP($B772,'TB YTD'!$4:$1048576,MATCH('List of Ledgers '!N$4,'TB YTD'!$4:$4,0),0),0)</f>
        <v>83269.97</v>
      </c>
      <c r="O772" s="63">
        <f>IFERROR(VLOOKUP($B772,'TB YTD'!$4:$1048576,MATCH('List of Ledgers '!O$4,'TB YTD'!$4:$4,0),0),0)</f>
        <v>0</v>
      </c>
      <c r="P772" s="63">
        <f>IFERROR(VLOOKUP($B772,'TB YTD'!$4:$1048576,MATCH('List of Ledgers '!P$4,'TB YTD'!$4:$4,0),0),0)</f>
        <v>0</v>
      </c>
      <c r="Q772" s="63">
        <f>IFERROR(VLOOKUP($B772,'TB YTD'!$4:$1048576,MATCH('List of Ledgers '!Q$4,'TB YTD'!$4:$4,0),0),0)</f>
        <v>83269.97</v>
      </c>
      <c r="R772" s="63"/>
    </row>
    <row r="773" spans="1:18" hidden="1" x14ac:dyDescent="0.25">
      <c r="A773" s="106">
        <v>725</v>
      </c>
      <c r="B773" s="151" t="s">
        <v>960</v>
      </c>
      <c r="C773" s="8" t="s">
        <v>377</v>
      </c>
      <c r="D773" s="12" t="s">
        <v>151</v>
      </c>
      <c r="E773" s="17" t="s">
        <v>1291</v>
      </c>
      <c r="F773" s="12" t="s">
        <v>71</v>
      </c>
      <c r="G773" s="17" t="s">
        <v>4</v>
      </c>
      <c r="H773" s="63"/>
      <c r="I773" s="37">
        <f>IFERROR(VLOOKUP(B773,'TB '!$A:$G,7,),0)</f>
        <v>0</v>
      </c>
      <c r="J773" s="37">
        <f>IFERROR(VLOOKUP($B773,'TB '!$4:$1048576,MATCH('List of Ledgers '!J$4,'TB '!$4:$4,0),0),0)</f>
        <v>0</v>
      </c>
      <c r="K773" s="37">
        <f>IFERROR(VLOOKUP($B773,'TB '!$4:$1048576,MATCH('List of Ledgers '!K$4,'TB '!$4:$4,0),0),0)</f>
        <v>0</v>
      </c>
      <c r="L773" s="37">
        <f>IFERROR(VLOOKUP(B773,'TB '!$A:$J,10,),0)</f>
        <v>0</v>
      </c>
      <c r="M773" s="71"/>
      <c r="N773" s="63">
        <f>IFERROR(VLOOKUP($B773,'TB YTD'!$4:$1048576,MATCH('List of Ledgers '!N$4,'TB YTD'!$4:$4,0),0),0)</f>
        <v>0</v>
      </c>
      <c r="O773" s="63">
        <f>IFERROR(VLOOKUP($B773,'TB YTD'!$4:$1048576,MATCH('List of Ledgers '!O$4,'TB YTD'!$4:$4,0),0),0)</f>
        <v>5400</v>
      </c>
      <c r="P773" s="63">
        <f>IFERROR(VLOOKUP($B773,'TB YTD'!$4:$1048576,MATCH('List of Ledgers '!P$4,'TB YTD'!$4:$4,0),0),0)</f>
        <v>0</v>
      </c>
      <c r="Q773" s="63">
        <f>IFERROR(VLOOKUP($B773,'TB YTD'!$4:$1048576,MATCH('List of Ledgers '!Q$4,'TB YTD'!$4:$4,0),0),0)</f>
        <v>5400</v>
      </c>
      <c r="R773" s="63"/>
    </row>
    <row r="774" spans="1:18" hidden="1" x14ac:dyDescent="0.25">
      <c r="A774" s="106">
        <v>726</v>
      </c>
      <c r="B774" s="8" t="s">
        <v>961</v>
      </c>
      <c r="C774" s="8" t="s">
        <v>124</v>
      </c>
      <c r="D774" s="17"/>
      <c r="E774" s="17"/>
      <c r="H774" s="62"/>
      <c r="I774" s="37">
        <f>IFERROR(VLOOKUP(B774,'TB '!$A:$G,7,),0)</f>
        <v>115300</v>
      </c>
      <c r="J774" s="37">
        <f>IFERROR(VLOOKUP($B774,'TB '!$4:$1048576,MATCH('List of Ledgers '!J$4,'TB '!$4:$4,0),0),0)</f>
        <v>0</v>
      </c>
      <c r="K774" s="37">
        <f>IFERROR(VLOOKUP($B774,'TB '!$4:$1048576,MATCH('List of Ledgers '!K$4,'TB '!$4:$4,0),0),0)</f>
        <v>0</v>
      </c>
      <c r="L774" s="37">
        <f>IFERROR(VLOOKUP(B774,'TB '!$A:$J,10,),0)</f>
        <v>115300</v>
      </c>
      <c r="M774" s="71"/>
      <c r="N774" s="63">
        <f>IFERROR(VLOOKUP($B774,'TB YTD'!$4:$1048576,MATCH('List of Ledgers '!N$4,'TB YTD'!$4:$4,0),0),0)</f>
        <v>115300</v>
      </c>
      <c r="O774" s="63">
        <f>IFERROR(VLOOKUP($B774,'TB YTD'!$4:$1048576,MATCH('List of Ledgers '!O$4,'TB YTD'!$4:$4,0),0),0)</f>
        <v>0</v>
      </c>
      <c r="P774" s="63">
        <f>IFERROR(VLOOKUP($B774,'TB YTD'!$4:$1048576,MATCH('List of Ledgers '!P$4,'TB YTD'!$4:$4,0),0),0)</f>
        <v>0</v>
      </c>
      <c r="Q774" s="63">
        <f>IFERROR(VLOOKUP($B774,'TB YTD'!$4:$1048576,MATCH('List of Ledgers '!Q$4,'TB YTD'!$4:$4,0),0),0)</f>
        <v>115300</v>
      </c>
      <c r="R774" s="63"/>
    </row>
    <row r="775" spans="1:18" hidden="1" x14ac:dyDescent="0.25">
      <c r="A775" s="106">
        <v>727</v>
      </c>
      <c r="B775" s="8" t="s">
        <v>962</v>
      </c>
      <c r="C775" s="8" t="s">
        <v>124</v>
      </c>
      <c r="H775" s="62"/>
      <c r="I775" s="37">
        <f>IFERROR(VLOOKUP(B775,'TB '!$A:$G,7,),0)</f>
        <v>55087.64</v>
      </c>
      <c r="J775" s="37">
        <f>IFERROR(VLOOKUP($B775,'TB '!$4:$1048576,MATCH('List of Ledgers '!J$4,'TB '!$4:$4,0),0),0)</f>
        <v>0</v>
      </c>
      <c r="K775" s="37">
        <f>IFERROR(VLOOKUP($B775,'TB '!$4:$1048576,MATCH('List of Ledgers '!K$4,'TB '!$4:$4,0),0),0)</f>
        <v>0</v>
      </c>
      <c r="L775" s="37">
        <f>IFERROR(VLOOKUP(B775,'TB '!$A:$J,10,),0)</f>
        <v>55087.64</v>
      </c>
      <c r="M775" s="71"/>
      <c r="N775" s="63">
        <f>IFERROR(VLOOKUP($B775,'TB YTD'!$4:$1048576,MATCH('List of Ledgers '!N$4,'TB YTD'!$4:$4,0),0),0)</f>
        <v>55087.64</v>
      </c>
      <c r="O775" s="63">
        <f>IFERROR(VLOOKUP($B775,'TB YTD'!$4:$1048576,MATCH('List of Ledgers '!O$4,'TB YTD'!$4:$4,0),0),0)</f>
        <v>0</v>
      </c>
      <c r="P775" s="63">
        <f>IFERROR(VLOOKUP($B775,'TB YTD'!$4:$1048576,MATCH('List of Ledgers '!P$4,'TB YTD'!$4:$4,0),0),0)</f>
        <v>0</v>
      </c>
      <c r="Q775" s="63">
        <f>IFERROR(VLOOKUP($B775,'TB YTD'!$4:$1048576,MATCH('List of Ledgers '!Q$4,'TB YTD'!$4:$4,0),0),0)</f>
        <v>55087.64</v>
      </c>
      <c r="R775" s="63"/>
    </row>
    <row r="776" spans="1:18" hidden="1" x14ac:dyDescent="0.25">
      <c r="A776" s="106">
        <v>728</v>
      </c>
      <c r="B776" s="8" t="s">
        <v>963</v>
      </c>
      <c r="C776" s="8" t="s">
        <v>886</v>
      </c>
      <c r="D776" s="17" t="s">
        <v>128</v>
      </c>
      <c r="E776" s="17" t="s">
        <v>134</v>
      </c>
      <c r="G776" s="17" t="s">
        <v>2</v>
      </c>
      <c r="H776" s="62"/>
      <c r="I776" s="37">
        <f>IFERROR(VLOOKUP(B776,'TB '!$A:$G,7,),0)</f>
        <v>-50000</v>
      </c>
      <c r="J776" s="37">
        <f>IFERROR(VLOOKUP($B776,'TB '!$4:$1048576,MATCH('List of Ledgers '!J$4,'TB '!$4:$4,0),0),0)</f>
        <v>0</v>
      </c>
      <c r="K776" s="37">
        <f>IFERROR(VLOOKUP($B776,'TB '!$4:$1048576,MATCH('List of Ledgers '!K$4,'TB '!$4:$4,0),0),0)</f>
        <v>0</v>
      </c>
      <c r="L776" s="37">
        <f>IFERROR(VLOOKUP(B776,'TB '!$A:$J,10,),0)</f>
        <v>-50000</v>
      </c>
      <c r="M776" s="71"/>
      <c r="N776" s="63">
        <f>IFERROR(VLOOKUP($B776,'TB YTD'!$4:$1048576,MATCH('List of Ledgers '!N$4,'TB YTD'!$4:$4,0),0),0)</f>
        <v>-50000</v>
      </c>
      <c r="O776" s="63">
        <f>IFERROR(VLOOKUP($B776,'TB YTD'!$4:$1048576,MATCH('List of Ledgers '!O$4,'TB YTD'!$4:$4,0),0),0)</f>
        <v>0</v>
      </c>
      <c r="P776" s="63">
        <f>IFERROR(VLOOKUP($B776,'TB YTD'!$4:$1048576,MATCH('List of Ledgers '!P$4,'TB YTD'!$4:$4,0),0),0)</f>
        <v>0</v>
      </c>
      <c r="Q776" s="63">
        <f>IFERROR(VLOOKUP($B776,'TB YTD'!$4:$1048576,MATCH('List of Ledgers '!Q$4,'TB YTD'!$4:$4,0),0),0)</f>
        <v>-50000</v>
      </c>
      <c r="R776" s="63"/>
    </row>
    <row r="777" spans="1:18" hidden="1" x14ac:dyDescent="0.25">
      <c r="A777" s="106">
        <v>729</v>
      </c>
      <c r="B777" s="8" t="s">
        <v>964</v>
      </c>
      <c r="C777" s="8" t="s">
        <v>166</v>
      </c>
      <c r="D777" s="17" t="s">
        <v>151</v>
      </c>
      <c r="E777" s="17" t="s">
        <v>152</v>
      </c>
      <c r="F777" s="12" t="s">
        <v>69</v>
      </c>
      <c r="G777" s="17" t="s">
        <v>4</v>
      </c>
      <c r="H777" s="62"/>
      <c r="I777" s="37">
        <f>IFERROR(VLOOKUP(B777,'TB '!$A:$G,7,),0)</f>
        <v>0</v>
      </c>
      <c r="J777" s="37">
        <f>IFERROR(VLOOKUP($B777,'TB '!$4:$1048576,MATCH('List of Ledgers '!J$4,'TB '!$4:$4,0),0),0)</f>
        <v>0</v>
      </c>
      <c r="K777" s="37">
        <f>IFERROR(VLOOKUP($B777,'TB '!$4:$1048576,MATCH('List of Ledgers '!K$4,'TB '!$4:$4,0),0),0)</f>
        <v>0</v>
      </c>
      <c r="L777" s="37">
        <f>IFERROR(VLOOKUP(B777,'TB '!$A:$J,10,),0)</f>
        <v>0</v>
      </c>
      <c r="M777" s="71"/>
      <c r="N777" s="63">
        <f>IFERROR(VLOOKUP($B777,'TB YTD'!$4:$1048576,MATCH('List of Ledgers '!N$4,'TB YTD'!$4:$4,0),0),0)</f>
        <v>0</v>
      </c>
      <c r="O777" s="63">
        <f>IFERROR(VLOOKUP($B777,'TB YTD'!$4:$1048576,MATCH('List of Ledgers '!O$4,'TB YTD'!$4:$4,0),0),0)</f>
        <v>0</v>
      </c>
      <c r="P777" s="63">
        <f>IFERROR(VLOOKUP($B777,'TB YTD'!$4:$1048576,MATCH('List of Ledgers '!P$4,'TB YTD'!$4:$4,0),0),0)</f>
        <v>0</v>
      </c>
      <c r="Q777" s="63">
        <f>IFERROR(VLOOKUP($B777,'TB YTD'!$4:$1048576,MATCH('List of Ledgers '!Q$4,'TB YTD'!$4:$4,0),0),0)</f>
        <v>0</v>
      </c>
      <c r="R777" s="63"/>
    </row>
    <row r="778" spans="1:18" hidden="1" x14ac:dyDescent="0.25">
      <c r="A778" s="106">
        <v>730</v>
      </c>
      <c r="B778" s="8" t="s">
        <v>965</v>
      </c>
      <c r="C778" s="8" t="s">
        <v>275</v>
      </c>
      <c r="D778" s="17" t="s">
        <v>151</v>
      </c>
      <c r="E778" s="17" t="s">
        <v>152</v>
      </c>
      <c r="F778" s="12" t="s">
        <v>69</v>
      </c>
      <c r="G778" s="17" t="s">
        <v>7</v>
      </c>
      <c r="H778" s="62"/>
      <c r="I778" s="37">
        <f>IFERROR(VLOOKUP(B778,'TB '!$A:$G,7,),0)</f>
        <v>0</v>
      </c>
      <c r="J778" s="37">
        <f>IFERROR(VLOOKUP($B778,'TB '!$4:$1048576,MATCH('List of Ledgers '!J$4,'TB '!$4:$4,0),0),0)</f>
        <v>0</v>
      </c>
      <c r="K778" s="37">
        <f>IFERROR(VLOOKUP($B778,'TB '!$4:$1048576,MATCH('List of Ledgers '!K$4,'TB '!$4:$4,0),0),0)</f>
        <v>0</v>
      </c>
      <c r="L778" s="37">
        <f>IFERROR(VLOOKUP(B778,'TB '!$A:$J,10,),0)</f>
        <v>0</v>
      </c>
      <c r="M778" s="71"/>
      <c r="N778" s="63">
        <f>IFERROR(VLOOKUP($B778,'TB YTD'!$4:$1048576,MATCH('List of Ledgers '!N$4,'TB YTD'!$4:$4,0),0),0)</f>
        <v>0</v>
      </c>
      <c r="O778" s="63">
        <f>IFERROR(VLOOKUP($B778,'TB YTD'!$4:$1048576,MATCH('List of Ledgers '!O$4,'TB YTD'!$4:$4,0),0),0)</f>
        <v>0</v>
      </c>
      <c r="P778" s="63">
        <f>IFERROR(VLOOKUP($B778,'TB YTD'!$4:$1048576,MATCH('List of Ledgers '!P$4,'TB YTD'!$4:$4,0),0),0)</f>
        <v>0</v>
      </c>
      <c r="Q778" s="63">
        <f>IFERROR(VLOOKUP($B778,'TB YTD'!$4:$1048576,MATCH('List of Ledgers '!Q$4,'TB YTD'!$4:$4,0),0),0)</f>
        <v>0</v>
      </c>
      <c r="R778" s="63"/>
    </row>
    <row r="779" spans="1:18" hidden="1" x14ac:dyDescent="0.25">
      <c r="A779" s="106">
        <v>731</v>
      </c>
      <c r="B779" s="8" t="s">
        <v>966</v>
      </c>
      <c r="C779" s="8" t="s">
        <v>166</v>
      </c>
      <c r="D779" s="17" t="s">
        <v>151</v>
      </c>
      <c r="E779" s="17" t="s">
        <v>152</v>
      </c>
      <c r="F779" s="12" t="s">
        <v>69</v>
      </c>
      <c r="G779" s="17" t="s">
        <v>4</v>
      </c>
      <c r="H779" s="62"/>
      <c r="I779" s="37">
        <f>IFERROR(VLOOKUP(B779,'TB '!$A:$G,7,),0)</f>
        <v>0</v>
      </c>
      <c r="J779" s="37">
        <f>IFERROR(VLOOKUP($B779,'TB '!$4:$1048576,MATCH('List of Ledgers '!J$4,'TB '!$4:$4,0),0),0)</f>
        <v>0</v>
      </c>
      <c r="K779" s="37">
        <f>IFERROR(VLOOKUP($B779,'TB '!$4:$1048576,MATCH('List of Ledgers '!K$4,'TB '!$4:$4,0),0),0)</f>
        <v>0</v>
      </c>
      <c r="L779" s="37">
        <f>IFERROR(VLOOKUP(B779,'TB '!$A:$J,10,),0)</f>
        <v>0</v>
      </c>
      <c r="M779" s="71"/>
      <c r="N779" s="63">
        <f>IFERROR(VLOOKUP($B779,'TB YTD'!$4:$1048576,MATCH('List of Ledgers '!N$4,'TB YTD'!$4:$4,0),0),0)</f>
        <v>0</v>
      </c>
      <c r="O779" s="63">
        <f>IFERROR(VLOOKUP($B779,'TB YTD'!$4:$1048576,MATCH('List of Ledgers '!O$4,'TB YTD'!$4:$4,0),0),0)</f>
        <v>11675</v>
      </c>
      <c r="P779" s="63">
        <f>IFERROR(VLOOKUP($B779,'TB YTD'!$4:$1048576,MATCH('List of Ledgers '!P$4,'TB YTD'!$4:$4,0),0),0)</f>
        <v>0</v>
      </c>
      <c r="Q779" s="63">
        <f>IFERROR(VLOOKUP($B779,'TB YTD'!$4:$1048576,MATCH('List of Ledgers '!Q$4,'TB YTD'!$4:$4,0),0),0)</f>
        <v>11675</v>
      </c>
      <c r="R779" s="63"/>
    </row>
    <row r="780" spans="1:18" hidden="1" x14ac:dyDescent="0.25">
      <c r="A780" s="106">
        <v>732</v>
      </c>
      <c r="B780" s="8" t="s">
        <v>967</v>
      </c>
      <c r="C780" s="8" t="s">
        <v>166</v>
      </c>
      <c r="D780" s="17" t="s">
        <v>151</v>
      </c>
      <c r="E780" s="17" t="s">
        <v>152</v>
      </c>
      <c r="F780" s="12" t="s">
        <v>69</v>
      </c>
      <c r="G780" s="17" t="s">
        <v>4</v>
      </c>
      <c r="H780" s="62"/>
      <c r="I780" s="37">
        <f>IFERROR(VLOOKUP(B780,'TB '!$A:$G,7,),0)</f>
        <v>0</v>
      </c>
      <c r="J780" s="37">
        <f>IFERROR(VLOOKUP($B780,'TB '!$4:$1048576,MATCH('List of Ledgers '!J$4,'TB '!$4:$4,0),0),0)</f>
        <v>0</v>
      </c>
      <c r="K780" s="37">
        <f>IFERROR(VLOOKUP($B780,'TB '!$4:$1048576,MATCH('List of Ledgers '!K$4,'TB '!$4:$4,0),0),0)</f>
        <v>0</v>
      </c>
      <c r="L780" s="37">
        <f>IFERROR(VLOOKUP(B780,'TB '!$A:$J,10,),0)</f>
        <v>0</v>
      </c>
      <c r="M780" s="71"/>
      <c r="N780" s="63">
        <f>IFERROR(VLOOKUP($B780,'TB YTD'!$4:$1048576,MATCH('List of Ledgers '!N$4,'TB YTD'!$4:$4,0),0),0)</f>
        <v>0</v>
      </c>
      <c r="O780" s="63">
        <f>IFERROR(VLOOKUP($B780,'TB YTD'!$4:$1048576,MATCH('List of Ledgers '!O$4,'TB YTD'!$4:$4,0),0),0)</f>
        <v>156866</v>
      </c>
      <c r="P780" s="63">
        <f>IFERROR(VLOOKUP($B780,'TB YTD'!$4:$1048576,MATCH('List of Ledgers '!P$4,'TB YTD'!$4:$4,0),0),0)</f>
        <v>0</v>
      </c>
      <c r="Q780" s="63">
        <f>IFERROR(VLOOKUP($B780,'TB YTD'!$4:$1048576,MATCH('List of Ledgers '!Q$4,'TB YTD'!$4:$4,0),0),0)</f>
        <v>156866</v>
      </c>
      <c r="R780" s="63"/>
    </row>
    <row r="781" spans="1:18" hidden="1" x14ac:dyDescent="0.25">
      <c r="A781" s="106">
        <v>733</v>
      </c>
      <c r="B781" s="8" t="s">
        <v>968</v>
      </c>
      <c r="C781" s="8" t="s">
        <v>581</v>
      </c>
      <c r="D781" s="17"/>
      <c r="E781" s="17"/>
      <c r="H781" s="62"/>
      <c r="I781" s="37">
        <f>IFERROR(VLOOKUP(B781,'TB '!$A:$G,7,),0)</f>
        <v>20736.8</v>
      </c>
      <c r="J781" s="37">
        <f>IFERROR(VLOOKUP($B781,'TB '!$4:$1048576,MATCH('List of Ledgers '!J$4,'TB '!$4:$4,0),0),0)</f>
        <v>0</v>
      </c>
      <c r="K781" s="37">
        <f>IFERROR(VLOOKUP($B781,'TB '!$4:$1048576,MATCH('List of Ledgers '!K$4,'TB '!$4:$4,0),0),0)</f>
        <v>0</v>
      </c>
      <c r="L781" s="37">
        <f>IFERROR(VLOOKUP(B781,'TB '!$A:$J,10,),0)</f>
        <v>20736.8</v>
      </c>
      <c r="M781" s="71"/>
      <c r="N781" s="63">
        <f>IFERROR(VLOOKUP($B781,'TB YTD'!$4:$1048576,MATCH('List of Ledgers '!N$4,'TB YTD'!$4:$4,0),0),0)</f>
        <v>20736.8</v>
      </c>
      <c r="O781" s="63">
        <f>IFERROR(VLOOKUP($B781,'TB YTD'!$4:$1048576,MATCH('List of Ledgers '!O$4,'TB YTD'!$4:$4,0),0),0)</f>
        <v>0</v>
      </c>
      <c r="P781" s="63">
        <f>IFERROR(VLOOKUP($B781,'TB YTD'!$4:$1048576,MATCH('List of Ledgers '!P$4,'TB YTD'!$4:$4,0),0),0)</f>
        <v>0</v>
      </c>
      <c r="Q781" s="63">
        <f>IFERROR(VLOOKUP($B781,'TB YTD'!$4:$1048576,MATCH('List of Ledgers '!Q$4,'TB YTD'!$4:$4,0),0),0)</f>
        <v>20736.8</v>
      </c>
      <c r="R781" s="63"/>
    </row>
    <row r="782" spans="1:18" hidden="1" x14ac:dyDescent="0.25">
      <c r="A782" s="106">
        <v>734</v>
      </c>
      <c r="B782" s="8" t="s">
        <v>969</v>
      </c>
      <c r="C782" s="8" t="s">
        <v>158</v>
      </c>
      <c r="D782" s="17" t="s">
        <v>128</v>
      </c>
      <c r="E782" s="17" t="s">
        <v>131</v>
      </c>
      <c r="G782" s="17" t="s">
        <v>4</v>
      </c>
      <c r="H782" s="62"/>
      <c r="I782" s="37">
        <f>IFERROR(VLOOKUP(B782,'TB '!$A:$G,7,),0)</f>
        <v>0</v>
      </c>
      <c r="J782" s="37">
        <f>IFERROR(VLOOKUP($B782,'TB '!$4:$1048576,MATCH('List of Ledgers '!J$4,'TB '!$4:$4,0),0),0)</f>
        <v>0</v>
      </c>
      <c r="K782" s="37">
        <f>IFERROR(VLOOKUP($B782,'TB '!$4:$1048576,MATCH('List of Ledgers '!K$4,'TB '!$4:$4,0),0),0)</f>
        <v>0</v>
      </c>
      <c r="L782" s="37">
        <f>IFERROR(VLOOKUP(B782,'TB '!$A:$J,10,),0)</f>
        <v>0</v>
      </c>
      <c r="M782" s="71"/>
      <c r="N782" s="63">
        <f>IFERROR(VLOOKUP($B782,'TB YTD'!$4:$1048576,MATCH('List of Ledgers '!N$4,'TB YTD'!$4:$4,0),0),0)</f>
        <v>0</v>
      </c>
      <c r="O782" s="63">
        <f>IFERROR(VLOOKUP($B782,'TB YTD'!$4:$1048576,MATCH('List of Ledgers '!O$4,'TB YTD'!$4:$4,0),0),0)</f>
        <v>1048430</v>
      </c>
      <c r="P782" s="63">
        <f>IFERROR(VLOOKUP($B782,'TB YTD'!$4:$1048576,MATCH('List of Ledgers '!P$4,'TB YTD'!$4:$4,0),0),0)</f>
        <v>1048430</v>
      </c>
      <c r="Q782" s="63">
        <f>IFERROR(VLOOKUP($B782,'TB YTD'!$4:$1048576,MATCH('List of Ledgers '!Q$4,'TB YTD'!$4:$4,0),0),0)</f>
        <v>0</v>
      </c>
      <c r="R782" s="63"/>
    </row>
    <row r="783" spans="1:18" hidden="1" x14ac:dyDescent="0.25">
      <c r="A783" s="106">
        <v>735</v>
      </c>
      <c r="B783" s="8" t="s">
        <v>970</v>
      </c>
      <c r="C783" s="8" t="s">
        <v>158</v>
      </c>
      <c r="D783" s="17" t="s">
        <v>128</v>
      </c>
      <c r="E783" s="17" t="s">
        <v>131</v>
      </c>
      <c r="G783" s="17" t="s">
        <v>4</v>
      </c>
      <c r="H783" s="62"/>
      <c r="I783" s="37">
        <f>IFERROR(VLOOKUP(B783,'TB '!$A:$G,7,),0)</f>
        <v>0</v>
      </c>
      <c r="J783" s="37">
        <f>IFERROR(VLOOKUP($B783,'TB '!$4:$1048576,MATCH('List of Ledgers '!J$4,'TB '!$4:$4,0),0),0)</f>
        <v>0</v>
      </c>
      <c r="K783" s="37">
        <f>IFERROR(VLOOKUP($B783,'TB '!$4:$1048576,MATCH('List of Ledgers '!K$4,'TB '!$4:$4,0),0),0)</f>
        <v>0</v>
      </c>
      <c r="L783" s="37">
        <f>IFERROR(VLOOKUP(B783,'TB '!$A:$J,10,),0)</f>
        <v>0</v>
      </c>
      <c r="M783" s="71"/>
      <c r="N783" s="63">
        <f>IFERROR(VLOOKUP($B783,'TB YTD'!$4:$1048576,MATCH('List of Ledgers '!N$4,'TB YTD'!$4:$4,0),0),0)</f>
        <v>-180</v>
      </c>
      <c r="O783" s="63">
        <f>IFERROR(VLOOKUP($B783,'TB YTD'!$4:$1048576,MATCH('List of Ledgers '!O$4,'TB YTD'!$4:$4,0),0),0)</f>
        <v>45624</v>
      </c>
      <c r="P783" s="63">
        <f>IFERROR(VLOOKUP($B783,'TB YTD'!$4:$1048576,MATCH('List of Ledgers '!P$4,'TB YTD'!$4:$4,0),0),0)</f>
        <v>45444</v>
      </c>
      <c r="Q783" s="63">
        <f>IFERROR(VLOOKUP($B783,'TB YTD'!$4:$1048576,MATCH('List of Ledgers '!Q$4,'TB YTD'!$4:$4,0),0),0)</f>
        <v>0</v>
      </c>
      <c r="R783" s="63"/>
    </row>
    <row r="784" spans="1:18" hidden="1" x14ac:dyDescent="0.25">
      <c r="A784" s="106">
        <v>736</v>
      </c>
      <c r="B784" s="8" t="s">
        <v>971</v>
      </c>
      <c r="C784" s="8" t="s">
        <v>238</v>
      </c>
      <c r="D784" s="17" t="s">
        <v>151</v>
      </c>
      <c r="E784" s="17" t="s">
        <v>152</v>
      </c>
      <c r="F784" s="12" t="s">
        <v>63</v>
      </c>
      <c r="G784" s="17" t="s">
        <v>7</v>
      </c>
      <c r="H784" s="62"/>
      <c r="I784" s="37">
        <f>IFERROR(VLOOKUP(B784,'TB '!$A:$G,7,),0)</f>
        <v>0</v>
      </c>
      <c r="J784" s="37">
        <f>IFERROR(VLOOKUP($B784,'TB '!$4:$1048576,MATCH('List of Ledgers '!J$4,'TB '!$4:$4,0),0),0)</f>
        <v>1200</v>
      </c>
      <c r="K784" s="37">
        <f>IFERROR(VLOOKUP($B784,'TB '!$4:$1048576,MATCH('List of Ledgers '!K$4,'TB '!$4:$4,0),0),0)</f>
        <v>0</v>
      </c>
      <c r="L784" s="37">
        <f>IFERROR(VLOOKUP(B784,'TB '!$A:$J,10,),0)</f>
        <v>1200</v>
      </c>
      <c r="M784" s="71"/>
      <c r="N784" s="63">
        <f>IFERROR(VLOOKUP($B784,'TB YTD'!$4:$1048576,MATCH('List of Ledgers '!N$4,'TB YTD'!$4:$4,0),0),0)</f>
        <v>0</v>
      </c>
      <c r="O784" s="63">
        <f>IFERROR(VLOOKUP($B784,'TB YTD'!$4:$1048576,MATCH('List of Ledgers '!O$4,'TB YTD'!$4:$4,0),0),0)</f>
        <v>29590</v>
      </c>
      <c r="P784" s="63">
        <f>IFERROR(VLOOKUP($B784,'TB YTD'!$4:$1048576,MATCH('List of Ledgers '!P$4,'TB YTD'!$4:$4,0),0),0)</f>
        <v>0</v>
      </c>
      <c r="Q784" s="63">
        <f>IFERROR(VLOOKUP($B784,'TB YTD'!$4:$1048576,MATCH('List of Ledgers '!Q$4,'TB YTD'!$4:$4,0),0),0)</f>
        <v>29590</v>
      </c>
      <c r="R784" s="63"/>
    </row>
    <row r="785" spans="1:18" hidden="1" x14ac:dyDescent="0.25">
      <c r="A785" s="106">
        <v>737</v>
      </c>
      <c r="B785" s="8" t="s">
        <v>972</v>
      </c>
      <c r="C785" s="8" t="s">
        <v>234</v>
      </c>
      <c r="D785" s="17" t="s">
        <v>151</v>
      </c>
      <c r="E785" s="17" t="s">
        <v>152</v>
      </c>
      <c r="F785" s="12" t="s">
        <v>63</v>
      </c>
      <c r="G785" s="17" t="s">
        <v>2</v>
      </c>
      <c r="H785" s="62"/>
      <c r="I785" s="37">
        <f>IFERROR(VLOOKUP(B785,'TB '!$A:$G,7,),0)</f>
        <v>0</v>
      </c>
      <c r="J785" s="37">
        <f>IFERROR(VLOOKUP($B785,'TB '!$4:$1048576,MATCH('List of Ledgers '!J$4,'TB '!$4:$4,0),0),0)</f>
        <v>0</v>
      </c>
      <c r="K785" s="37">
        <f>IFERROR(VLOOKUP($B785,'TB '!$4:$1048576,MATCH('List of Ledgers '!K$4,'TB '!$4:$4,0),0),0)</f>
        <v>0</v>
      </c>
      <c r="L785" s="37">
        <f>IFERROR(VLOOKUP(B785,'TB '!$A:$J,10,),0)</f>
        <v>0</v>
      </c>
      <c r="M785" s="71"/>
      <c r="N785" s="63">
        <f>IFERROR(VLOOKUP($B785,'TB YTD'!$4:$1048576,MATCH('List of Ledgers '!N$4,'TB YTD'!$4:$4,0),0),0)</f>
        <v>0</v>
      </c>
      <c r="O785" s="63">
        <f>IFERROR(VLOOKUP($B785,'TB YTD'!$4:$1048576,MATCH('List of Ledgers '!O$4,'TB YTD'!$4:$4,0),0),0)</f>
        <v>0</v>
      </c>
      <c r="P785" s="63">
        <f>IFERROR(VLOOKUP($B785,'TB YTD'!$4:$1048576,MATCH('List of Ledgers '!P$4,'TB YTD'!$4:$4,0),0),0)</f>
        <v>0</v>
      </c>
      <c r="Q785" s="63">
        <f>IFERROR(VLOOKUP($B785,'TB YTD'!$4:$1048576,MATCH('List of Ledgers '!Q$4,'TB YTD'!$4:$4,0),0),0)</f>
        <v>0</v>
      </c>
      <c r="R785" s="63"/>
    </row>
    <row r="786" spans="1:18" hidden="1" x14ac:dyDescent="0.25">
      <c r="A786" s="106">
        <v>738</v>
      </c>
      <c r="B786" s="8" t="s">
        <v>973</v>
      </c>
      <c r="C786" s="8" t="s">
        <v>240</v>
      </c>
      <c r="D786" s="17" t="s">
        <v>151</v>
      </c>
      <c r="E786" s="17" t="s">
        <v>152</v>
      </c>
      <c r="F786" s="12" t="s">
        <v>63</v>
      </c>
      <c r="G786" s="17" t="s">
        <v>3</v>
      </c>
      <c r="H786" s="62"/>
      <c r="I786" s="37">
        <f>IFERROR(VLOOKUP(B786,'TB '!$A:$G,7,),0)</f>
        <v>0</v>
      </c>
      <c r="J786" s="37">
        <f>IFERROR(VLOOKUP($B786,'TB '!$4:$1048576,MATCH('List of Ledgers '!J$4,'TB '!$4:$4,0),0),0)</f>
        <v>0</v>
      </c>
      <c r="K786" s="37">
        <f>IFERROR(VLOOKUP($B786,'TB '!$4:$1048576,MATCH('List of Ledgers '!K$4,'TB '!$4:$4,0),0),0)</f>
        <v>0</v>
      </c>
      <c r="L786" s="37">
        <f>IFERROR(VLOOKUP(B786,'TB '!$A:$J,10,),0)</f>
        <v>0</v>
      </c>
      <c r="M786" s="71"/>
      <c r="N786" s="63">
        <f>IFERROR(VLOOKUP($B786,'TB YTD'!$4:$1048576,MATCH('List of Ledgers '!N$4,'TB YTD'!$4:$4,0),0),0)</f>
        <v>0</v>
      </c>
      <c r="O786" s="63">
        <f>IFERROR(VLOOKUP($B786,'TB YTD'!$4:$1048576,MATCH('List of Ledgers '!O$4,'TB YTD'!$4:$4,0),0),0)</f>
        <v>2900</v>
      </c>
      <c r="P786" s="63">
        <f>IFERROR(VLOOKUP($B786,'TB YTD'!$4:$1048576,MATCH('List of Ledgers '!P$4,'TB YTD'!$4:$4,0),0),0)</f>
        <v>0</v>
      </c>
      <c r="Q786" s="63">
        <f>IFERROR(VLOOKUP($B786,'TB YTD'!$4:$1048576,MATCH('List of Ledgers '!Q$4,'TB YTD'!$4:$4,0),0),0)</f>
        <v>2900</v>
      </c>
      <c r="R786" s="63"/>
    </row>
    <row r="787" spans="1:18" hidden="1" x14ac:dyDescent="0.25">
      <c r="A787" s="106">
        <v>739</v>
      </c>
      <c r="B787" s="8" t="s">
        <v>974</v>
      </c>
      <c r="C787" s="8" t="s">
        <v>236</v>
      </c>
      <c r="D787" s="17" t="s">
        <v>151</v>
      </c>
      <c r="E787" s="17" t="s">
        <v>152</v>
      </c>
      <c r="F787" s="12" t="s">
        <v>63</v>
      </c>
      <c r="G787" s="17" t="s">
        <v>7</v>
      </c>
      <c r="H787" s="62"/>
      <c r="I787" s="37">
        <f>IFERROR(VLOOKUP(B787,'TB '!$A:$G,7,),0)</f>
        <v>0</v>
      </c>
      <c r="J787" s="37">
        <f>IFERROR(VLOOKUP($B787,'TB '!$4:$1048576,MATCH('List of Ledgers '!J$4,'TB '!$4:$4,0),0),0)</f>
        <v>0</v>
      </c>
      <c r="K787" s="37">
        <f>IFERROR(VLOOKUP($B787,'TB '!$4:$1048576,MATCH('List of Ledgers '!K$4,'TB '!$4:$4,0),0),0)</f>
        <v>0</v>
      </c>
      <c r="L787" s="37">
        <f>IFERROR(VLOOKUP(B787,'TB '!$A:$J,10,),0)</f>
        <v>0</v>
      </c>
      <c r="M787" s="71"/>
      <c r="N787" s="63">
        <f>IFERROR(VLOOKUP($B787,'TB YTD'!$4:$1048576,MATCH('List of Ledgers '!N$4,'TB YTD'!$4:$4,0),0),0)</f>
        <v>0</v>
      </c>
      <c r="O787" s="63">
        <f>IFERROR(VLOOKUP($B787,'TB YTD'!$4:$1048576,MATCH('List of Ledgers '!O$4,'TB YTD'!$4:$4,0),0),0)</f>
        <v>0</v>
      </c>
      <c r="P787" s="63">
        <f>IFERROR(VLOOKUP($B787,'TB YTD'!$4:$1048576,MATCH('List of Ledgers '!P$4,'TB YTD'!$4:$4,0),0),0)</f>
        <v>0</v>
      </c>
      <c r="Q787" s="63">
        <f>IFERROR(VLOOKUP($B787,'TB YTD'!$4:$1048576,MATCH('List of Ledgers '!Q$4,'TB YTD'!$4:$4,0),0),0)</f>
        <v>0</v>
      </c>
      <c r="R787" s="63"/>
    </row>
    <row r="788" spans="1:18" hidden="1" x14ac:dyDescent="0.25">
      <c r="A788" s="106">
        <v>740</v>
      </c>
      <c r="B788" s="8" t="s">
        <v>975</v>
      </c>
      <c r="C788" s="8" t="s">
        <v>166</v>
      </c>
      <c r="D788" s="17" t="s">
        <v>151</v>
      </c>
      <c r="E788" s="17" t="s">
        <v>152</v>
      </c>
      <c r="F788" s="12" t="s">
        <v>68</v>
      </c>
      <c r="G788" s="17" t="s">
        <v>4</v>
      </c>
      <c r="H788" s="62"/>
      <c r="I788" s="37">
        <f>IFERROR(VLOOKUP(B788,'TB '!$A:$G,7,),0)</f>
        <v>0</v>
      </c>
      <c r="J788" s="37">
        <f>IFERROR(VLOOKUP($B788,'TB '!$4:$1048576,MATCH('List of Ledgers '!J$4,'TB '!$4:$4,0),0),0)</f>
        <v>0</v>
      </c>
      <c r="K788" s="37">
        <f>IFERROR(VLOOKUP($B788,'TB '!$4:$1048576,MATCH('List of Ledgers '!K$4,'TB '!$4:$4,0),0),0)</f>
        <v>0</v>
      </c>
      <c r="L788" s="37">
        <f>IFERROR(VLOOKUP(B788,'TB '!$A:$J,10,),0)</f>
        <v>0</v>
      </c>
      <c r="M788" s="71"/>
      <c r="N788" s="63">
        <f>IFERROR(VLOOKUP($B788,'TB YTD'!$4:$1048576,MATCH('List of Ledgers '!N$4,'TB YTD'!$4:$4,0),0),0)</f>
        <v>0</v>
      </c>
      <c r="O788" s="63">
        <f>IFERROR(VLOOKUP($B788,'TB YTD'!$4:$1048576,MATCH('List of Ledgers '!O$4,'TB YTD'!$4:$4,0),0),0)</f>
        <v>0</v>
      </c>
      <c r="P788" s="63">
        <f>IFERROR(VLOOKUP($B788,'TB YTD'!$4:$1048576,MATCH('List of Ledgers '!P$4,'TB YTD'!$4:$4,0),0),0)</f>
        <v>0</v>
      </c>
      <c r="Q788" s="63">
        <f>IFERROR(VLOOKUP($B788,'TB YTD'!$4:$1048576,MATCH('List of Ledgers '!Q$4,'TB YTD'!$4:$4,0),0),0)</f>
        <v>0</v>
      </c>
      <c r="R788" s="63"/>
    </row>
    <row r="789" spans="1:18" hidden="1" x14ac:dyDescent="0.25">
      <c r="A789" s="106">
        <v>741</v>
      </c>
      <c r="B789" s="8" t="s">
        <v>976</v>
      </c>
      <c r="C789" s="8" t="s">
        <v>166</v>
      </c>
      <c r="D789" s="17" t="s">
        <v>151</v>
      </c>
      <c r="E789" s="17" t="s">
        <v>152</v>
      </c>
      <c r="F789" s="12" t="s">
        <v>68</v>
      </c>
      <c r="G789" s="17" t="s">
        <v>4</v>
      </c>
      <c r="H789" s="62"/>
      <c r="I789" s="37">
        <f>IFERROR(VLOOKUP(B789,'TB '!$A:$G,7,),0)</f>
        <v>0</v>
      </c>
      <c r="J789" s="37">
        <f>IFERROR(VLOOKUP($B789,'TB '!$4:$1048576,MATCH('List of Ledgers '!J$4,'TB '!$4:$4,0),0),0)</f>
        <v>0</v>
      </c>
      <c r="K789" s="37">
        <f>IFERROR(VLOOKUP($B789,'TB '!$4:$1048576,MATCH('List of Ledgers '!K$4,'TB '!$4:$4,0),0),0)</f>
        <v>0</v>
      </c>
      <c r="L789" s="37">
        <f>IFERROR(VLOOKUP(B789,'TB '!$A:$J,10,),0)</f>
        <v>0</v>
      </c>
      <c r="M789" s="71"/>
      <c r="N789" s="63">
        <f>IFERROR(VLOOKUP($B789,'TB YTD'!$4:$1048576,MATCH('List of Ledgers '!N$4,'TB YTD'!$4:$4,0),0),0)</f>
        <v>0</v>
      </c>
      <c r="O789" s="63">
        <f>IFERROR(VLOOKUP($B789,'TB YTD'!$4:$1048576,MATCH('List of Ledgers '!O$4,'TB YTD'!$4:$4,0),0),0)</f>
        <v>537502</v>
      </c>
      <c r="P789" s="63">
        <f>IFERROR(VLOOKUP($B789,'TB YTD'!$4:$1048576,MATCH('List of Ledgers '!P$4,'TB YTD'!$4:$4,0),0),0)</f>
        <v>0</v>
      </c>
      <c r="Q789" s="63">
        <f>IFERROR(VLOOKUP($B789,'TB YTD'!$4:$1048576,MATCH('List of Ledgers '!Q$4,'TB YTD'!$4:$4,0),0),0)</f>
        <v>537502</v>
      </c>
      <c r="R789" s="63"/>
    </row>
    <row r="790" spans="1:18" hidden="1" x14ac:dyDescent="0.25">
      <c r="A790" s="106">
        <v>742</v>
      </c>
      <c r="B790" s="8" t="s">
        <v>977</v>
      </c>
      <c r="C790" s="8" t="s">
        <v>275</v>
      </c>
      <c r="D790" s="17" t="s">
        <v>151</v>
      </c>
      <c r="E790" s="17" t="s">
        <v>152</v>
      </c>
      <c r="F790" s="12" t="s">
        <v>69</v>
      </c>
      <c r="G790" s="17" t="s">
        <v>7</v>
      </c>
      <c r="H790" s="62"/>
      <c r="I790" s="37">
        <f>IFERROR(VLOOKUP(B790,'TB '!$A:$G,7,),0)</f>
        <v>0</v>
      </c>
      <c r="J790" s="37">
        <f>IFERROR(VLOOKUP($B790,'TB '!$4:$1048576,MATCH('List of Ledgers '!J$4,'TB '!$4:$4,0),0),0)</f>
        <v>42651</v>
      </c>
      <c r="K790" s="37">
        <f>IFERROR(VLOOKUP($B790,'TB '!$4:$1048576,MATCH('List of Ledgers '!K$4,'TB '!$4:$4,0),0),0)</f>
        <v>0</v>
      </c>
      <c r="L790" s="37">
        <f>IFERROR(VLOOKUP(B790,'TB '!$A:$J,10,),0)</f>
        <v>42651</v>
      </c>
      <c r="M790" s="71"/>
      <c r="N790" s="63">
        <f>IFERROR(VLOOKUP($B790,'TB YTD'!$4:$1048576,MATCH('List of Ledgers '!N$4,'TB YTD'!$4:$4,0),0),0)</f>
        <v>0</v>
      </c>
      <c r="O790" s="63">
        <f>IFERROR(VLOOKUP($B790,'TB YTD'!$4:$1048576,MATCH('List of Ledgers '!O$4,'TB YTD'!$4:$4,0),0),0)</f>
        <v>740679.9</v>
      </c>
      <c r="P790" s="63">
        <f>IFERROR(VLOOKUP($B790,'TB YTD'!$4:$1048576,MATCH('List of Ledgers '!P$4,'TB YTD'!$4:$4,0),0),0)</f>
        <v>0</v>
      </c>
      <c r="Q790" s="63">
        <f>IFERROR(VLOOKUP($B790,'TB YTD'!$4:$1048576,MATCH('List of Ledgers '!Q$4,'TB YTD'!$4:$4,0),0),0)</f>
        <v>740679.9</v>
      </c>
      <c r="R790" s="63"/>
    </row>
    <row r="791" spans="1:18" hidden="1" x14ac:dyDescent="0.25">
      <c r="A791" s="106">
        <v>743</v>
      </c>
      <c r="B791" s="8" t="s">
        <v>978</v>
      </c>
      <c r="C791" s="8" t="s">
        <v>166</v>
      </c>
      <c r="D791" s="17" t="s">
        <v>151</v>
      </c>
      <c r="E791" s="17" t="s">
        <v>152</v>
      </c>
      <c r="F791" s="12" t="s">
        <v>1412</v>
      </c>
      <c r="G791" s="17" t="s">
        <v>4</v>
      </c>
      <c r="H791" s="62"/>
      <c r="I791" s="37">
        <f>IFERROR(VLOOKUP(B791,'TB '!$A:$G,7,),0)</f>
        <v>0</v>
      </c>
      <c r="J791" s="37">
        <f>IFERROR(VLOOKUP($B791,'TB '!$4:$1048576,MATCH('List of Ledgers '!J$4,'TB '!$4:$4,0),0),0)</f>
        <v>7012</v>
      </c>
      <c r="K791" s="37">
        <f>IFERROR(VLOOKUP($B791,'TB '!$4:$1048576,MATCH('List of Ledgers '!K$4,'TB '!$4:$4,0),0),0)</f>
        <v>0</v>
      </c>
      <c r="L791" s="37">
        <f>IFERROR(VLOOKUP(B791,'TB '!$A:$J,10,),0)</f>
        <v>7012</v>
      </c>
      <c r="M791" s="71"/>
      <c r="N791" s="63">
        <f>IFERROR(VLOOKUP($B791,'TB YTD'!$4:$1048576,MATCH('List of Ledgers '!N$4,'TB YTD'!$4:$4,0),0),0)</f>
        <v>0</v>
      </c>
      <c r="O791" s="63">
        <f>IFERROR(VLOOKUP($B791,'TB YTD'!$4:$1048576,MATCH('List of Ledgers '!O$4,'TB YTD'!$4:$4,0),0),0)</f>
        <v>191038</v>
      </c>
      <c r="P791" s="63">
        <f>IFERROR(VLOOKUP($B791,'TB YTD'!$4:$1048576,MATCH('List of Ledgers '!P$4,'TB YTD'!$4:$4,0),0),0)</f>
        <v>0</v>
      </c>
      <c r="Q791" s="63">
        <f>IFERROR(VLOOKUP($B791,'TB YTD'!$4:$1048576,MATCH('List of Ledgers '!Q$4,'TB YTD'!$4:$4,0),0),0)</f>
        <v>191038</v>
      </c>
      <c r="R791" s="63"/>
    </row>
    <row r="792" spans="1:18" hidden="1" x14ac:dyDescent="0.25">
      <c r="A792" s="106">
        <v>744</v>
      </c>
      <c r="B792" s="8" t="s">
        <v>979</v>
      </c>
      <c r="C792" s="8" t="s">
        <v>142</v>
      </c>
      <c r="D792" s="17"/>
      <c r="E792" s="17"/>
      <c r="G792" s="17"/>
      <c r="H792" s="62"/>
      <c r="I792" s="37">
        <f>IFERROR(VLOOKUP(B792,'TB '!$A:$G,7,),0)</f>
        <v>-508890</v>
      </c>
      <c r="J792" s="37">
        <f>IFERROR(VLOOKUP($B792,'TB '!$4:$1048576,MATCH('List of Ledgers '!J$4,'TB '!$4:$4,0),0),0)</f>
        <v>0</v>
      </c>
      <c r="K792" s="37">
        <f>IFERROR(VLOOKUP($B792,'TB '!$4:$1048576,MATCH('List of Ledgers '!K$4,'TB '!$4:$4,0),0),0)</f>
        <v>0</v>
      </c>
      <c r="L792" s="37">
        <f>IFERROR(VLOOKUP(B792,'TB '!$A:$J,10,),0)</f>
        <v>-508890</v>
      </c>
      <c r="M792" s="71"/>
      <c r="N792" s="63">
        <f>IFERROR(VLOOKUP($B792,'TB YTD'!$4:$1048576,MATCH('List of Ledgers '!N$4,'TB YTD'!$4:$4,0),0),0)</f>
        <v>-508890</v>
      </c>
      <c r="O792" s="63">
        <f>IFERROR(VLOOKUP($B792,'TB YTD'!$4:$1048576,MATCH('List of Ledgers '!O$4,'TB YTD'!$4:$4,0),0),0)</f>
        <v>0</v>
      </c>
      <c r="P792" s="63">
        <f>IFERROR(VLOOKUP($B792,'TB YTD'!$4:$1048576,MATCH('List of Ledgers '!P$4,'TB YTD'!$4:$4,0),0),0)</f>
        <v>0</v>
      </c>
      <c r="Q792" s="63">
        <f>IFERROR(VLOOKUP($B792,'TB YTD'!$4:$1048576,MATCH('List of Ledgers '!Q$4,'TB YTD'!$4:$4,0),0),0)</f>
        <v>-508890</v>
      </c>
      <c r="R792" s="63"/>
    </row>
    <row r="793" spans="1:18" hidden="1" x14ac:dyDescent="0.25">
      <c r="A793" s="106">
        <v>745</v>
      </c>
      <c r="B793" s="8" t="s">
        <v>980</v>
      </c>
      <c r="C793" s="8" t="s">
        <v>267</v>
      </c>
      <c r="D793" s="17" t="s">
        <v>128</v>
      </c>
      <c r="E793" s="17" t="s">
        <v>134</v>
      </c>
      <c r="G793" s="17" t="s">
        <v>2</v>
      </c>
      <c r="H793" s="62"/>
      <c r="I793" s="37">
        <f>IFERROR(VLOOKUP(B793,'TB '!$A:$G,7,),0)</f>
        <v>0</v>
      </c>
      <c r="J793" s="37">
        <f>IFERROR(VLOOKUP($B793,'TB '!$4:$1048576,MATCH('List of Ledgers '!J$4,'TB '!$4:$4,0),0),0)</f>
        <v>0</v>
      </c>
      <c r="K793" s="37">
        <f>IFERROR(VLOOKUP($B793,'TB '!$4:$1048576,MATCH('List of Ledgers '!K$4,'TB '!$4:$4,0),0),0)</f>
        <v>0</v>
      </c>
      <c r="L793" s="37">
        <f>IFERROR(VLOOKUP(B793,'TB '!$A:$J,10,),0)</f>
        <v>0</v>
      </c>
      <c r="M793" s="71"/>
      <c r="N793" s="63">
        <f>IFERROR(VLOOKUP($B793,'TB YTD'!$4:$1048576,MATCH('List of Ledgers '!N$4,'TB YTD'!$4:$4,0),0),0)</f>
        <v>0</v>
      </c>
      <c r="O793" s="63">
        <f>IFERROR(VLOOKUP($B793,'TB YTD'!$4:$1048576,MATCH('List of Ledgers '!O$4,'TB YTD'!$4:$4,0),0),0)</f>
        <v>0</v>
      </c>
      <c r="P793" s="63">
        <f>IFERROR(VLOOKUP($B793,'TB YTD'!$4:$1048576,MATCH('List of Ledgers '!P$4,'TB YTD'!$4:$4,0),0),0)</f>
        <v>0</v>
      </c>
      <c r="Q793" s="63">
        <f>IFERROR(VLOOKUP($B793,'TB YTD'!$4:$1048576,MATCH('List of Ledgers '!Q$4,'TB YTD'!$4:$4,0),0),0)</f>
        <v>0</v>
      </c>
      <c r="R793" s="63"/>
    </row>
    <row r="794" spans="1:18" hidden="1" x14ac:dyDescent="0.25">
      <c r="A794" s="106">
        <v>746</v>
      </c>
      <c r="B794" s="8" t="s">
        <v>981</v>
      </c>
      <c r="C794" s="8" t="s">
        <v>207</v>
      </c>
      <c r="D794" s="17" t="s">
        <v>128</v>
      </c>
      <c r="E794" s="17" t="s">
        <v>131</v>
      </c>
      <c r="G794" s="17" t="s">
        <v>3</v>
      </c>
      <c r="H794" s="62"/>
      <c r="I794" s="37">
        <f>IFERROR(VLOOKUP(B794,'TB '!$A:$G,7,),0)</f>
        <v>113723</v>
      </c>
      <c r="J794" s="37">
        <f>IFERROR(VLOOKUP($B794,'TB '!$4:$1048576,MATCH('List of Ledgers '!J$4,'TB '!$4:$4,0),0),0)</f>
        <v>0</v>
      </c>
      <c r="K794" s="37">
        <f>IFERROR(VLOOKUP($B794,'TB '!$4:$1048576,MATCH('List of Ledgers '!K$4,'TB '!$4:$4,0),0),0)</f>
        <v>0</v>
      </c>
      <c r="L794" s="37">
        <f>IFERROR(VLOOKUP(B794,'TB '!$A:$J,10,),0)</f>
        <v>113723</v>
      </c>
      <c r="M794" s="71"/>
      <c r="N794" s="63">
        <f>IFERROR(VLOOKUP($B794,'TB YTD'!$4:$1048576,MATCH('List of Ledgers '!N$4,'TB YTD'!$4:$4,0),0),0)</f>
        <v>113723</v>
      </c>
      <c r="O794" s="63">
        <f>IFERROR(VLOOKUP($B794,'TB YTD'!$4:$1048576,MATCH('List of Ledgers '!O$4,'TB YTD'!$4:$4,0),0),0)</f>
        <v>0</v>
      </c>
      <c r="P794" s="63">
        <f>IFERROR(VLOOKUP($B794,'TB YTD'!$4:$1048576,MATCH('List of Ledgers '!P$4,'TB YTD'!$4:$4,0),0),0)</f>
        <v>0</v>
      </c>
      <c r="Q794" s="63">
        <f>IFERROR(VLOOKUP($B794,'TB YTD'!$4:$1048576,MATCH('List of Ledgers '!Q$4,'TB YTD'!$4:$4,0),0),0)</f>
        <v>113723</v>
      </c>
      <c r="R794" s="63"/>
    </row>
    <row r="795" spans="1:18" hidden="1" x14ac:dyDescent="0.25">
      <c r="A795" s="106">
        <v>747</v>
      </c>
      <c r="B795" s="8" t="s">
        <v>982</v>
      </c>
      <c r="C795" s="8" t="s">
        <v>140</v>
      </c>
      <c r="D795" s="17" t="s">
        <v>128</v>
      </c>
      <c r="E795" s="17" t="s">
        <v>131</v>
      </c>
      <c r="G795" s="17" t="s">
        <v>7</v>
      </c>
      <c r="H795" s="62"/>
      <c r="I795" s="37">
        <f>IFERROR(VLOOKUP(B795,'TB '!$A:$G,7,),0)</f>
        <v>0</v>
      </c>
      <c r="J795" s="37">
        <f>IFERROR(VLOOKUP($B795,'TB '!$4:$1048576,MATCH('List of Ledgers '!J$4,'TB '!$4:$4,0),0),0)</f>
        <v>0</v>
      </c>
      <c r="K795" s="37">
        <f>IFERROR(VLOOKUP($B795,'TB '!$4:$1048576,MATCH('List of Ledgers '!K$4,'TB '!$4:$4,0),0),0)</f>
        <v>0</v>
      </c>
      <c r="L795" s="37">
        <f>IFERROR(VLOOKUP(B795,'TB '!$A:$J,10,),0)</f>
        <v>0</v>
      </c>
      <c r="M795" s="71"/>
      <c r="N795" s="63">
        <f>IFERROR(VLOOKUP($B795,'TB YTD'!$4:$1048576,MATCH('List of Ledgers '!N$4,'TB YTD'!$4:$4,0),0),0)</f>
        <v>0</v>
      </c>
      <c r="O795" s="63">
        <f>IFERROR(VLOOKUP($B795,'TB YTD'!$4:$1048576,MATCH('List of Ledgers '!O$4,'TB YTD'!$4:$4,0),0),0)</f>
        <v>0</v>
      </c>
      <c r="P795" s="63">
        <f>IFERROR(VLOOKUP($B795,'TB YTD'!$4:$1048576,MATCH('List of Ledgers '!P$4,'TB YTD'!$4:$4,0),0),0)</f>
        <v>0</v>
      </c>
      <c r="Q795" s="63">
        <f>IFERROR(VLOOKUP($B795,'TB YTD'!$4:$1048576,MATCH('List of Ledgers '!Q$4,'TB YTD'!$4:$4,0),0),0)</f>
        <v>0</v>
      </c>
      <c r="R795" s="63"/>
    </row>
    <row r="796" spans="1:18" hidden="1" x14ac:dyDescent="0.25">
      <c r="A796" s="106">
        <v>748</v>
      </c>
      <c r="B796" s="8" t="s">
        <v>983</v>
      </c>
      <c r="C796" s="8" t="s">
        <v>185</v>
      </c>
      <c r="D796" s="106" t="s">
        <v>128</v>
      </c>
      <c r="E796" s="12" t="s">
        <v>134</v>
      </c>
      <c r="G796" s="17" t="s">
        <v>3</v>
      </c>
      <c r="H796" s="62"/>
      <c r="I796" s="37">
        <f>IFERROR(VLOOKUP(B796,'TB '!$A:$G,7,),0)</f>
        <v>0</v>
      </c>
      <c r="J796" s="37">
        <f>IFERROR(VLOOKUP($B796,'TB '!$4:$1048576,MATCH('List of Ledgers '!J$4,'TB '!$4:$4,0),0),0)</f>
        <v>0</v>
      </c>
      <c r="K796" s="37">
        <f>IFERROR(VLOOKUP($B796,'TB '!$4:$1048576,MATCH('List of Ledgers '!K$4,'TB '!$4:$4,0),0),0)</f>
        <v>0</v>
      </c>
      <c r="L796" s="37">
        <f>IFERROR(VLOOKUP(B796,'TB '!$A:$J,10,),0)</f>
        <v>0</v>
      </c>
      <c r="M796" s="71"/>
      <c r="N796" s="63">
        <f>IFERROR(VLOOKUP($B796,'TB YTD'!$4:$1048576,MATCH('List of Ledgers '!N$4,'TB YTD'!$4:$4,0),0),0)</f>
        <v>200</v>
      </c>
      <c r="O796" s="63">
        <f>IFERROR(VLOOKUP($B796,'TB YTD'!$4:$1048576,MATCH('List of Ledgers '!O$4,'TB YTD'!$4:$4,0),0),0)</f>
        <v>133084</v>
      </c>
      <c r="P796" s="63">
        <f>IFERROR(VLOOKUP($B796,'TB YTD'!$4:$1048576,MATCH('List of Ledgers '!P$4,'TB YTD'!$4:$4,0),0),0)</f>
        <v>133284</v>
      </c>
      <c r="Q796" s="63">
        <f>IFERROR(VLOOKUP($B796,'TB YTD'!$4:$1048576,MATCH('List of Ledgers '!Q$4,'TB YTD'!$4:$4,0),0),0)</f>
        <v>0</v>
      </c>
      <c r="R796" s="63"/>
    </row>
    <row r="797" spans="1:18" hidden="1" x14ac:dyDescent="0.25">
      <c r="A797" s="106">
        <v>749</v>
      </c>
      <c r="B797" s="8" t="s">
        <v>984</v>
      </c>
      <c r="C797" s="8" t="s">
        <v>207</v>
      </c>
      <c r="D797" s="17" t="s">
        <v>128</v>
      </c>
      <c r="E797" s="17" t="s">
        <v>131</v>
      </c>
      <c r="G797" s="17" t="s">
        <v>3</v>
      </c>
      <c r="H797" s="62"/>
      <c r="I797" s="37">
        <f>IFERROR(VLOOKUP(B797,'TB '!$A:$G,7,),0)</f>
        <v>0</v>
      </c>
      <c r="J797" s="37">
        <f>IFERROR(VLOOKUP($B797,'TB '!$4:$1048576,MATCH('List of Ledgers '!J$4,'TB '!$4:$4,0),0),0)</f>
        <v>0</v>
      </c>
      <c r="K797" s="37">
        <f>IFERROR(VLOOKUP($B797,'TB '!$4:$1048576,MATCH('List of Ledgers '!K$4,'TB '!$4:$4,0),0),0)</f>
        <v>0</v>
      </c>
      <c r="L797" s="37">
        <f>IFERROR(VLOOKUP(B797,'TB '!$A:$J,10,),0)</f>
        <v>0</v>
      </c>
      <c r="M797" s="71"/>
      <c r="N797" s="63">
        <f>IFERROR(VLOOKUP($B797,'TB YTD'!$4:$1048576,MATCH('List of Ledgers '!N$4,'TB YTD'!$4:$4,0),0),0)</f>
        <v>0</v>
      </c>
      <c r="O797" s="63">
        <f>IFERROR(VLOOKUP($B797,'TB YTD'!$4:$1048576,MATCH('List of Ledgers '!O$4,'TB YTD'!$4:$4,0),0),0)</f>
        <v>0</v>
      </c>
      <c r="P797" s="63">
        <f>IFERROR(VLOOKUP($B797,'TB YTD'!$4:$1048576,MATCH('List of Ledgers '!P$4,'TB YTD'!$4:$4,0),0),0)</f>
        <v>0</v>
      </c>
      <c r="Q797" s="63">
        <f>IFERROR(VLOOKUP($B797,'TB YTD'!$4:$1048576,MATCH('List of Ledgers '!Q$4,'TB YTD'!$4:$4,0),0),0)</f>
        <v>0</v>
      </c>
      <c r="R797" s="63"/>
    </row>
    <row r="798" spans="1:18" hidden="1" x14ac:dyDescent="0.25">
      <c r="A798" s="106">
        <v>750</v>
      </c>
      <c r="B798" s="151" t="s">
        <v>985</v>
      </c>
      <c r="C798" s="151" t="s">
        <v>158</v>
      </c>
      <c r="D798" s="12" t="s">
        <v>128</v>
      </c>
      <c r="E798" s="12" t="s">
        <v>131</v>
      </c>
      <c r="G798" s="17" t="s">
        <v>4</v>
      </c>
      <c r="I798" s="37">
        <f>IFERROR(VLOOKUP(B798,'TB '!$A:$G,7,),0)</f>
        <v>-220301</v>
      </c>
      <c r="J798" s="37">
        <f>IFERROR(VLOOKUP($B798,'TB '!$4:$1048576,MATCH('List of Ledgers '!J$4,'TB '!$4:$4,0),0),0)</f>
        <v>0</v>
      </c>
      <c r="K798" s="37">
        <f>IFERROR(VLOOKUP($B798,'TB '!$4:$1048576,MATCH('List of Ledgers '!K$4,'TB '!$4:$4,0),0),0)</f>
        <v>0</v>
      </c>
      <c r="L798" s="37">
        <f>IFERROR(VLOOKUP(B798,'TB '!$A:$J,10,),0)</f>
        <v>-220301</v>
      </c>
      <c r="M798" s="71"/>
      <c r="N798" s="63">
        <f>IFERROR(VLOOKUP($B798,'TB YTD'!$4:$1048576,MATCH('List of Ledgers '!N$4,'TB YTD'!$4:$4,0),0),0)</f>
        <v>0</v>
      </c>
      <c r="O798" s="63">
        <f>IFERROR(VLOOKUP($B798,'TB YTD'!$4:$1048576,MATCH('List of Ledgers '!O$4,'TB YTD'!$4:$4,0),0),0)</f>
        <v>432011</v>
      </c>
      <c r="P798" s="63">
        <f>IFERROR(VLOOKUP($B798,'TB YTD'!$4:$1048576,MATCH('List of Ledgers '!P$4,'TB YTD'!$4:$4,0),0),0)</f>
        <v>652312</v>
      </c>
      <c r="Q798" s="63">
        <f>IFERROR(VLOOKUP($B798,'TB YTD'!$4:$1048576,MATCH('List of Ledgers '!Q$4,'TB YTD'!$4:$4,0),0),0)</f>
        <v>-220301</v>
      </c>
    </row>
    <row r="799" spans="1:18" hidden="1" x14ac:dyDescent="0.25">
      <c r="A799" s="106">
        <v>751</v>
      </c>
      <c r="B799" s="8" t="s">
        <v>986</v>
      </c>
      <c r="C799" s="8" t="s">
        <v>510</v>
      </c>
      <c r="H799" s="62"/>
      <c r="I799" s="37">
        <f>IFERROR(VLOOKUP(B799,'TB '!$A:$G,7,),0)</f>
        <v>87510.79</v>
      </c>
      <c r="J799" s="37">
        <f>IFERROR(VLOOKUP($B799,'TB '!$4:$1048576,MATCH('List of Ledgers '!J$4,'TB '!$4:$4,0),0),0)</f>
        <v>5000</v>
      </c>
      <c r="K799" s="37">
        <f>IFERROR(VLOOKUP($B799,'TB '!$4:$1048576,MATCH('List of Ledgers '!K$4,'TB '!$4:$4,0),0),0)</f>
        <v>0</v>
      </c>
      <c r="L799" s="37">
        <f>IFERROR(VLOOKUP(B799,'TB '!$A:$J,10,),0)</f>
        <v>92510.79</v>
      </c>
      <c r="M799" s="71"/>
      <c r="N799" s="63">
        <f>IFERROR(VLOOKUP($B799,'TB YTD'!$4:$1048576,MATCH('List of Ledgers '!N$4,'TB YTD'!$4:$4,0),0),0)</f>
        <v>28148.79</v>
      </c>
      <c r="O799" s="63">
        <f>IFERROR(VLOOKUP($B799,'TB YTD'!$4:$1048576,MATCH('List of Ledgers '!O$4,'TB YTD'!$4:$4,0),0),0)</f>
        <v>64362</v>
      </c>
      <c r="P799" s="63">
        <f>IFERROR(VLOOKUP($B799,'TB YTD'!$4:$1048576,MATCH('List of Ledgers '!P$4,'TB YTD'!$4:$4,0),0),0)</f>
        <v>0</v>
      </c>
      <c r="Q799" s="63">
        <f>IFERROR(VLOOKUP($B799,'TB YTD'!$4:$1048576,MATCH('List of Ledgers '!Q$4,'TB YTD'!$4:$4,0),0),0)</f>
        <v>92510.79</v>
      </c>
      <c r="R799" s="63"/>
    </row>
    <row r="800" spans="1:18" hidden="1" x14ac:dyDescent="0.25">
      <c r="A800" s="106">
        <v>752</v>
      </c>
      <c r="B800" s="8" t="s">
        <v>987</v>
      </c>
      <c r="C800" s="8" t="s">
        <v>609</v>
      </c>
      <c r="D800" s="12" t="s">
        <v>128</v>
      </c>
      <c r="E800" s="12" t="s">
        <v>134</v>
      </c>
      <c r="G800" s="12" t="s">
        <v>2</v>
      </c>
      <c r="I800" s="37">
        <f>IFERROR(VLOOKUP(B800,'TB '!$A:$G,7,),0)</f>
        <v>0</v>
      </c>
      <c r="J800" s="37">
        <f>IFERROR(VLOOKUP($B800,'TB '!$4:$1048576,MATCH('List of Ledgers '!J$4,'TB '!$4:$4,0),0),0)</f>
        <v>0</v>
      </c>
      <c r="K800" s="37">
        <f>IFERROR(VLOOKUP($B800,'TB '!$4:$1048576,MATCH('List of Ledgers '!K$4,'TB '!$4:$4,0),0),0)</f>
        <v>0</v>
      </c>
      <c r="L800" s="37">
        <f>IFERROR(VLOOKUP(B800,'TB '!$A:$J,10,),0)</f>
        <v>0</v>
      </c>
      <c r="M800" s="71"/>
      <c r="N800" s="63">
        <f>IFERROR(VLOOKUP($B800,'TB YTD'!$4:$1048576,MATCH('List of Ledgers '!N$4,'TB YTD'!$4:$4,0),0),0)</f>
        <v>0</v>
      </c>
      <c r="O800" s="63">
        <f>IFERROR(VLOOKUP($B800,'TB YTD'!$4:$1048576,MATCH('List of Ledgers '!O$4,'TB YTD'!$4:$4,0),0),0)</f>
        <v>0</v>
      </c>
      <c r="P800" s="63">
        <f>IFERROR(VLOOKUP($B800,'TB YTD'!$4:$1048576,MATCH('List of Ledgers '!P$4,'TB YTD'!$4:$4,0),0),0)</f>
        <v>0</v>
      </c>
      <c r="Q800" s="63">
        <f>IFERROR(VLOOKUP($B800,'TB YTD'!$4:$1048576,MATCH('List of Ledgers '!Q$4,'TB YTD'!$4:$4,0),0),0)</f>
        <v>0</v>
      </c>
      <c r="R800" s="63"/>
    </row>
    <row r="801" spans="1:18" hidden="1" x14ac:dyDescent="0.25">
      <c r="A801" s="106">
        <v>753</v>
      </c>
      <c r="B801" s="8" t="s">
        <v>988</v>
      </c>
      <c r="C801" s="8" t="s">
        <v>989</v>
      </c>
      <c r="D801" s="106" t="s">
        <v>128</v>
      </c>
      <c r="E801" s="17" t="s">
        <v>134</v>
      </c>
      <c r="G801" s="17" t="s">
        <v>3</v>
      </c>
      <c r="I801" s="37">
        <f>IFERROR(VLOOKUP(B801,'TB '!$A:$G,7,),0)</f>
        <v>0</v>
      </c>
      <c r="J801" s="37">
        <f>IFERROR(VLOOKUP($B801,'TB '!$4:$1048576,MATCH('List of Ledgers '!J$4,'TB '!$4:$4,0),0),0)</f>
        <v>0</v>
      </c>
      <c r="K801" s="37">
        <f>IFERROR(VLOOKUP($B801,'TB '!$4:$1048576,MATCH('List of Ledgers '!K$4,'TB '!$4:$4,0),0),0)</f>
        <v>0</v>
      </c>
      <c r="L801" s="37">
        <f>IFERROR(VLOOKUP(B801,'TB '!$A:$J,10,),0)</f>
        <v>0</v>
      </c>
      <c r="M801" s="71"/>
      <c r="N801" s="63">
        <f>IFERROR(VLOOKUP($B801,'TB YTD'!$4:$1048576,MATCH('List of Ledgers '!N$4,'TB YTD'!$4:$4,0),0),0)</f>
        <v>0</v>
      </c>
      <c r="O801" s="63">
        <f>IFERROR(VLOOKUP($B801,'TB YTD'!$4:$1048576,MATCH('List of Ledgers '!O$4,'TB YTD'!$4:$4,0),0),0)</f>
        <v>0</v>
      </c>
      <c r="P801" s="63">
        <f>IFERROR(VLOOKUP($B801,'TB YTD'!$4:$1048576,MATCH('List of Ledgers '!P$4,'TB YTD'!$4:$4,0),0),0)</f>
        <v>0</v>
      </c>
      <c r="Q801" s="63">
        <f>IFERROR(VLOOKUP($B801,'TB YTD'!$4:$1048576,MATCH('List of Ledgers '!Q$4,'TB YTD'!$4:$4,0),0),0)</f>
        <v>0</v>
      </c>
      <c r="R801" s="63"/>
    </row>
    <row r="802" spans="1:18" hidden="1" x14ac:dyDescent="0.25">
      <c r="A802" s="106">
        <v>754</v>
      </c>
      <c r="B802" s="8" t="s">
        <v>990</v>
      </c>
      <c r="C802" s="8" t="s">
        <v>142</v>
      </c>
      <c r="I802" s="37">
        <f>IFERROR(VLOOKUP(B802,'TB '!$A:$G,7,),0)</f>
        <v>0</v>
      </c>
      <c r="J802" s="37">
        <f>IFERROR(VLOOKUP($B802,'TB '!$4:$1048576,MATCH('List of Ledgers '!J$4,'TB '!$4:$4,0),0),0)</f>
        <v>0</v>
      </c>
      <c r="K802" s="37">
        <f>IFERROR(VLOOKUP($B802,'TB '!$4:$1048576,MATCH('List of Ledgers '!K$4,'TB '!$4:$4,0),0),0)</f>
        <v>0</v>
      </c>
      <c r="L802" s="37">
        <f>IFERROR(VLOOKUP(B802,'TB '!$A:$J,10,),0)</f>
        <v>0</v>
      </c>
      <c r="M802" s="71"/>
      <c r="N802" s="63">
        <f>IFERROR(VLOOKUP($B802,'TB YTD'!$4:$1048576,MATCH('List of Ledgers '!N$4,'TB YTD'!$4:$4,0),0),0)</f>
        <v>0</v>
      </c>
      <c r="O802" s="63">
        <f>IFERROR(VLOOKUP($B802,'TB YTD'!$4:$1048576,MATCH('List of Ledgers '!O$4,'TB YTD'!$4:$4,0),0),0)</f>
        <v>0</v>
      </c>
      <c r="P802" s="63">
        <f>IFERROR(VLOOKUP($B802,'TB YTD'!$4:$1048576,MATCH('List of Ledgers '!P$4,'TB YTD'!$4:$4,0),0),0)</f>
        <v>0</v>
      </c>
      <c r="Q802" s="63">
        <f>IFERROR(VLOOKUP($B802,'TB YTD'!$4:$1048576,MATCH('List of Ledgers '!Q$4,'TB YTD'!$4:$4,0),0),0)</f>
        <v>0</v>
      </c>
      <c r="R802" s="63"/>
    </row>
    <row r="803" spans="1:18" hidden="1" x14ac:dyDescent="0.25">
      <c r="A803" s="106">
        <v>755</v>
      </c>
      <c r="B803" s="8" t="s">
        <v>991</v>
      </c>
      <c r="C803" s="8" t="s">
        <v>185</v>
      </c>
      <c r="D803" s="106" t="s">
        <v>128</v>
      </c>
      <c r="E803" s="17" t="s">
        <v>134</v>
      </c>
      <c r="G803" s="17" t="s">
        <v>3</v>
      </c>
      <c r="I803" s="37">
        <f>IFERROR(VLOOKUP(B803,'TB '!$A:$G,7,),0)</f>
        <v>0</v>
      </c>
      <c r="J803" s="37">
        <f>IFERROR(VLOOKUP($B803,'TB '!$4:$1048576,MATCH('List of Ledgers '!J$4,'TB '!$4:$4,0),0),0)</f>
        <v>0</v>
      </c>
      <c r="K803" s="37">
        <f>IFERROR(VLOOKUP($B803,'TB '!$4:$1048576,MATCH('List of Ledgers '!K$4,'TB '!$4:$4,0),0),0)</f>
        <v>0</v>
      </c>
      <c r="L803" s="37">
        <f>IFERROR(VLOOKUP(B803,'TB '!$A:$J,10,),0)</f>
        <v>0</v>
      </c>
      <c r="M803" s="71"/>
      <c r="N803" s="63">
        <f>IFERROR(VLOOKUP($B803,'TB YTD'!$4:$1048576,MATCH('List of Ledgers '!N$4,'TB YTD'!$4:$4,0),0),0)</f>
        <v>0</v>
      </c>
      <c r="O803" s="63">
        <f>IFERROR(VLOOKUP($B803,'TB YTD'!$4:$1048576,MATCH('List of Ledgers '!O$4,'TB YTD'!$4:$4,0),0),0)</f>
        <v>43804</v>
      </c>
      <c r="P803" s="63">
        <f>IFERROR(VLOOKUP($B803,'TB YTD'!$4:$1048576,MATCH('List of Ledgers '!P$4,'TB YTD'!$4:$4,0),0),0)</f>
        <v>43804</v>
      </c>
      <c r="Q803" s="63">
        <f>IFERROR(VLOOKUP($B803,'TB YTD'!$4:$1048576,MATCH('List of Ledgers '!Q$4,'TB YTD'!$4:$4,0),0),0)</f>
        <v>0</v>
      </c>
      <c r="R803" s="63"/>
    </row>
    <row r="804" spans="1:18" hidden="1" x14ac:dyDescent="0.25">
      <c r="A804" s="106">
        <v>756</v>
      </c>
      <c r="B804" s="8" t="s">
        <v>992</v>
      </c>
      <c r="C804" s="8" t="s">
        <v>140</v>
      </c>
      <c r="D804" s="17" t="s">
        <v>128</v>
      </c>
      <c r="E804" s="17" t="s">
        <v>131</v>
      </c>
      <c r="G804" s="17" t="s">
        <v>7</v>
      </c>
      <c r="I804" s="37">
        <f>IFERROR(VLOOKUP(B804,'TB '!$A:$G,7,),0)</f>
        <v>0</v>
      </c>
      <c r="J804" s="37">
        <f>IFERROR(VLOOKUP($B804,'TB '!$4:$1048576,MATCH('List of Ledgers '!J$4,'TB '!$4:$4,0),0),0)</f>
        <v>0</v>
      </c>
      <c r="K804" s="37">
        <f>IFERROR(VLOOKUP($B804,'TB '!$4:$1048576,MATCH('List of Ledgers '!K$4,'TB '!$4:$4,0),0),0)</f>
        <v>0</v>
      </c>
      <c r="L804" s="37">
        <f>IFERROR(VLOOKUP(B804,'TB '!$A:$J,10,),0)</f>
        <v>0</v>
      </c>
      <c r="M804" s="71"/>
      <c r="N804" s="63">
        <f>IFERROR(VLOOKUP($B804,'TB YTD'!$4:$1048576,MATCH('List of Ledgers '!N$4,'TB YTD'!$4:$4,0),0),0)</f>
        <v>0</v>
      </c>
      <c r="O804" s="63">
        <f>IFERROR(VLOOKUP($B804,'TB YTD'!$4:$1048576,MATCH('List of Ledgers '!O$4,'TB YTD'!$4:$4,0),0),0)</f>
        <v>93223</v>
      </c>
      <c r="P804" s="63">
        <f>IFERROR(VLOOKUP($B804,'TB YTD'!$4:$1048576,MATCH('List of Ledgers '!P$4,'TB YTD'!$4:$4,0),0),0)</f>
        <v>93223</v>
      </c>
      <c r="Q804" s="63">
        <f>IFERROR(VLOOKUP($B804,'TB YTD'!$4:$1048576,MATCH('List of Ledgers '!Q$4,'TB YTD'!$4:$4,0),0),0)</f>
        <v>0</v>
      </c>
      <c r="R804" s="63"/>
    </row>
    <row r="805" spans="1:18" hidden="1" x14ac:dyDescent="0.25">
      <c r="A805" s="106">
        <v>757</v>
      </c>
      <c r="B805" s="8" t="s">
        <v>993</v>
      </c>
      <c r="C805" s="8" t="s">
        <v>146</v>
      </c>
      <c r="I805" s="37">
        <f>IFERROR(VLOOKUP(B805,'TB '!$A:$G,7,),0)</f>
        <v>2555.34</v>
      </c>
      <c r="J805" s="37">
        <f>IFERROR(VLOOKUP($B805,'TB '!$4:$1048576,MATCH('List of Ledgers '!J$4,'TB '!$4:$4,0),0),0)</f>
        <v>0</v>
      </c>
      <c r="K805" s="37">
        <f>IFERROR(VLOOKUP($B805,'TB '!$4:$1048576,MATCH('List of Ledgers '!K$4,'TB '!$4:$4,0),0),0)</f>
        <v>0</v>
      </c>
      <c r="L805" s="37">
        <f>IFERROR(VLOOKUP(B805,'TB '!$A:$J,10,),0)</f>
        <v>2555.34</v>
      </c>
      <c r="M805" s="71"/>
      <c r="N805" s="63">
        <f>IFERROR(VLOOKUP($B805,'TB YTD'!$4:$1048576,MATCH('List of Ledgers '!N$4,'TB YTD'!$4:$4,0),0),0)</f>
        <v>2555.34</v>
      </c>
      <c r="O805" s="63">
        <f>IFERROR(VLOOKUP($B805,'TB YTD'!$4:$1048576,MATCH('List of Ledgers '!O$4,'TB YTD'!$4:$4,0),0),0)</f>
        <v>0</v>
      </c>
      <c r="P805" s="63">
        <f>IFERROR(VLOOKUP($B805,'TB YTD'!$4:$1048576,MATCH('List of Ledgers '!P$4,'TB YTD'!$4:$4,0),0),0)</f>
        <v>0</v>
      </c>
      <c r="Q805" s="63">
        <f>IFERROR(VLOOKUP($B805,'TB YTD'!$4:$1048576,MATCH('List of Ledgers '!Q$4,'TB YTD'!$4:$4,0),0),0)</f>
        <v>2555.34</v>
      </c>
      <c r="R805" s="63"/>
    </row>
    <row r="806" spans="1:18" hidden="1" x14ac:dyDescent="0.25">
      <c r="A806" s="106">
        <v>758</v>
      </c>
      <c r="B806" s="8" t="s">
        <v>994</v>
      </c>
      <c r="C806" s="8" t="s">
        <v>146</v>
      </c>
      <c r="I806" s="37">
        <f>IFERROR(VLOOKUP(B806,'TB '!$A:$G,7,),0)</f>
        <v>1251</v>
      </c>
      <c r="J806" s="37">
        <f>IFERROR(VLOOKUP($B806,'TB '!$4:$1048576,MATCH('List of Ledgers '!J$4,'TB '!$4:$4,0),0),0)</f>
        <v>0</v>
      </c>
      <c r="K806" s="37">
        <f>IFERROR(VLOOKUP($B806,'TB '!$4:$1048576,MATCH('List of Ledgers '!K$4,'TB '!$4:$4,0),0),0)</f>
        <v>0</v>
      </c>
      <c r="L806" s="37">
        <f>IFERROR(VLOOKUP(B806,'TB '!$A:$J,10,),0)</f>
        <v>1251</v>
      </c>
      <c r="M806" s="71"/>
      <c r="N806" s="63">
        <f>IFERROR(VLOOKUP($B806,'TB YTD'!$4:$1048576,MATCH('List of Ledgers '!N$4,'TB YTD'!$4:$4,0),0),0)</f>
        <v>1251</v>
      </c>
      <c r="O806" s="63">
        <f>IFERROR(VLOOKUP($B806,'TB YTD'!$4:$1048576,MATCH('List of Ledgers '!O$4,'TB YTD'!$4:$4,0),0),0)</f>
        <v>0</v>
      </c>
      <c r="P806" s="63">
        <f>IFERROR(VLOOKUP($B806,'TB YTD'!$4:$1048576,MATCH('List of Ledgers '!P$4,'TB YTD'!$4:$4,0),0),0)</f>
        <v>0</v>
      </c>
      <c r="Q806" s="63">
        <f>IFERROR(VLOOKUP($B806,'TB YTD'!$4:$1048576,MATCH('List of Ledgers '!Q$4,'TB YTD'!$4:$4,0),0),0)</f>
        <v>1251</v>
      </c>
      <c r="R806" s="63"/>
    </row>
    <row r="807" spans="1:18" hidden="1" x14ac:dyDescent="0.25">
      <c r="A807" s="106">
        <v>759</v>
      </c>
      <c r="B807" s="8" t="s">
        <v>995</v>
      </c>
      <c r="C807" s="8" t="s">
        <v>176</v>
      </c>
      <c r="D807" s="17" t="s">
        <v>128</v>
      </c>
      <c r="E807" s="17" t="s">
        <v>131</v>
      </c>
      <c r="G807" s="17" t="s">
        <v>7</v>
      </c>
      <c r="I807" s="37">
        <f>IFERROR(VLOOKUP(B807,'TB '!$A:$G,7,),0)</f>
        <v>0</v>
      </c>
      <c r="J807" s="37">
        <f>IFERROR(VLOOKUP($B807,'TB '!$4:$1048576,MATCH('List of Ledgers '!J$4,'TB '!$4:$4,0),0),0)</f>
        <v>0</v>
      </c>
      <c r="K807" s="37">
        <f>IFERROR(VLOOKUP($B807,'TB '!$4:$1048576,MATCH('List of Ledgers '!K$4,'TB '!$4:$4,0),0),0)</f>
        <v>0</v>
      </c>
      <c r="L807" s="37">
        <f>IFERROR(VLOOKUP(B807,'TB '!$A:$J,10,),0)</f>
        <v>0</v>
      </c>
      <c r="M807" s="71"/>
      <c r="N807" s="63">
        <f>IFERROR(VLOOKUP($B807,'TB YTD'!$4:$1048576,MATCH('List of Ledgers '!N$4,'TB YTD'!$4:$4,0),0),0)</f>
        <v>0</v>
      </c>
      <c r="O807" s="63">
        <f>IFERROR(VLOOKUP($B807,'TB YTD'!$4:$1048576,MATCH('List of Ledgers '!O$4,'TB YTD'!$4:$4,0),0),0)</f>
        <v>0</v>
      </c>
      <c r="P807" s="63">
        <f>IFERROR(VLOOKUP($B807,'TB YTD'!$4:$1048576,MATCH('List of Ledgers '!P$4,'TB YTD'!$4:$4,0),0),0)</f>
        <v>0</v>
      </c>
      <c r="Q807" s="63">
        <f>IFERROR(VLOOKUP($B807,'TB YTD'!$4:$1048576,MATCH('List of Ledgers '!Q$4,'TB YTD'!$4:$4,0),0),0)</f>
        <v>0</v>
      </c>
      <c r="R807" s="63"/>
    </row>
    <row r="808" spans="1:18" hidden="1" x14ac:dyDescent="0.25">
      <c r="A808" s="106">
        <v>760</v>
      </c>
      <c r="B808" s="8" t="s">
        <v>996</v>
      </c>
      <c r="C808" s="8" t="s">
        <v>166</v>
      </c>
      <c r="D808" s="17" t="s">
        <v>151</v>
      </c>
      <c r="E808" s="17" t="s">
        <v>1291</v>
      </c>
      <c r="F808" s="12" t="s">
        <v>71</v>
      </c>
      <c r="G808" s="17" t="s">
        <v>4</v>
      </c>
      <c r="I808" s="37">
        <f>IFERROR(VLOOKUP(B808,'TB '!$A:$G,7,),0)</f>
        <v>0</v>
      </c>
      <c r="J808" s="37">
        <f>IFERROR(VLOOKUP($B808,'TB '!$4:$1048576,MATCH('List of Ledgers '!J$4,'TB '!$4:$4,0),0),0)</f>
        <v>0</v>
      </c>
      <c r="K808" s="37">
        <f>IFERROR(VLOOKUP($B808,'TB '!$4:$1048576,MATCH('List of Ledgers '!K$4,'TB '!$4:$4,0),0),0)</f>
        <v>0</v>
      </c>
      <c r="L808" s="37">
        <f>IFERROR(VLOOKUP(B808,'TB '!$A:$J,10,),0)</f>
        <v>0</v>
      </c>
      <c r="M808" s="71"/>
      <c r="N808" s="63">
        <f>IFERROR(VLOOKUP($B808,'TB YTD'!$4:$1048576,MATCH('List of Ledgers '!N$4,'TB YTD'!$4:$4,0),0),0)</f>
        <v>0</v>
      </c>
      <c r="O808" s="63">
        <f>IFERROR(VLOOKUP($B808,'TB YTD'!$4:$1048576,MATCH('List of Ledgers '!O$4,'TB YTD'!$4:$4,0),0),0)</f>
        <v>8850</v>
      </c>
      <c r="P808" s="63">
        <f>IFERROR(VLOOKUP($B808,'TB YTD'!$4:$1048576,MATCH('List of Ledgers '!P$4,'TB YTD'!$4:$4,0),0),0)</f>
        <v>0</v>
      </c>
      <c r="Q808" s="63">
        <f>IFERROR(VLOOKUP($B808,'TB YTD'!$4:$1048576,MATCH('List of Ledgers '!Q$4,'TB YTD'!$4:$4,0),0),0)</f>
        <v>8850</v>
      </c>
      <c r="R808" s="63"/>
    </row>
    <row r="809" spans="1:18" hidden="1" x14ac:dyDescent="0.25">
      <c r="A809" s="106">
        <v>761</v>
      </c>
      <c r="B809" s="8" t="s">
        <v>997</v>
      </c>
      <c r="C809" s="8" t="s">
        <v>187</v>
      </c>
      <c r="D809" s="17" t="s">
        <v>128</v>
      </c>
      <c r="E809" s="17" t="s">
        <v>134</v>
      </c>
      <c r="G809" s="17" t="s">
        <v>2</v>
      </c>
      <c r="I809" s="37">
        <f>IFERROR(VLOOKUP(B809,'TB '!$A:$G,7,),0)</f>
        <v>0</v>
      </c>
      <c r="J809" s="37">
        <f>IFERROR(VLOOKUP($B809,'TB '!$4:$1048576,MATCH('List of Ledgers '!J$4,'TB '!$4:$4,0),0),0)</f>
        <v>0</v>
      </c>
      <c r="K809" s="37">
        <f>IFERROR(VLOOKUP($B809,'TB '!$4:$1048576,MATCH('List of Ledgers '!K$4,'TB '!$4:$4,0),0),0)</f>
        <v>0</v>
      </c>
      <c r="L809" s="37">
        <f>IFERROR(VLOOKUP(B809,'TB '!$A:$J,10,),0)</f>
        <v>0</v>
      </c>
      <c r="M809" s="71"/>
      <c r="N809" s="63">
        <f>IFERROR(VLOOKUP($B809,'TB YTD'!$4:$1048576,MATCH('List of Ledgers '!N$4,'TB YTD'!$4:$4,0),0),0)</f>
        <v>0</v>
      </c>
      <c r="O809" s="63">
        <f>IFERROR(VLOOKUP($B809,'TB YTD'!$4:$1048576,MATCH('List of Ledgers '!O$4,'TB YTD'!$4:$4,0),0),0)</f>
        <v>0</v>
      </c>
      <c r="P809" s="63">
        <f>IFERROR(VLOOKUP($B809,'TB YTD'!$4:$1048576,MATCH('List of Ledgers '!P$4,'TB YTD'!$4:$4,0),0),0)</f>
        <v>0</v>
      </c>
      <c r="Q809" s="63">
        <f>IFERROR(VLOOKUP($B809,'TB YTD'!$4:$1048576,MATCH('List of Ledgers '!Q$4,'TB YTD'!$4:$4,0),0),0)</f>
        <v>0</v>
      </c>
      <c r="R809" s="63"/>
    </row>
    <row r="810" spans="1:18" hidden="1" x14ac:dyDescent="0.25">
      <c r="A810" s="106">
        <v>762</v>
      </c>
      <c r="B810" s="8" t="s">
        <v>998</v>
      </c>
      <c r="C810" s="8" t="s">
        <v>183</v>
      </c>
      <c r="D810" s="12" t="s">
        <v>128</v>
      </c>
      <c r="E810" s="12" t="s">
        <v>134</v>
      </c>
      <c r="G810" s="12" t="s">
        <v>2</v>
      </c>
      <c r="I810" s="37">
        <f>IFERROR(VLOOKUP(B810,'TB '!$A:$G,7,),0)</f>
        <v>-507408</v>
      </c>
      <c r="J810" s="37">
        <f>IFERROR(VLOOKUP($B810,'TB '!$4:$1048576,MATCH('List of Ledgers '!J$4,'TB '!$4:$4,0),0),0)</f>
        <v>0</v>
      </c>
      <c r="K810" s="37">
        <f>IFERROR(VLOOKUP($B810,'TB '!$4:$1048576,MATCH('List of Ledgers '!K$4,'TB '!$4:$4,0),0),0)</f>
        <v>0</v>
      </c>
      <c r="L810" s="37">
        <f>IFERROR(VLOOKUP(B810,'TB '!$A:$J,10,),0)</f>
        <v>-507408</v>
      </c>
      <c r="M810" s="71"/>
      <c r="N810" s="63">
        <f>IFERROR(VLOOKUP($B810,'TB YTD'!$4:$1048576,MATCH('List of Ledgers '!N$4,'TB YTD'!$4:$4,0),0),0)</f>
        <v>-30000</v>
      </c>
      <c r="O810" s="63">
        <f>IFERROR(VLOOKUP($B810,'TB YTD'!$4:$1048576,MATCH('List of Ledgers '!O$4,'TB YTD'!$4:$4,0),0),0)</f>
        <v>0</v>
      </c>
      <c r="P810" s="63">
        <f>IFERROR(VLOOKUP($B810,'TB YTD'!$4:$1048576,MATCH('List of Ledgers '!P$4,'TB YTD'!$4:$4,0),0),0)</f>
        <v>477408</v>
      </c>
      <c r="Q810" s="63">
        <f>IFERROR(VLOOKUP($B810,'TB YTD'!$4:$1048576,MATCH('List of Ledgers '!Q$4,'TB YTD'!$4:$4,0),0),0)</f>
        <v>-507408</v>
      </c>
      <c r="R810" s="63"/>
    </row>
    <row r="811" spans="1:18" hidden="1" x14ac:dyDescent="0.25">
      <c r="A811" s="106">
        <v>763</v>
      </c>
      <c r="B811" s="8" t="s">
        <v>999</v>
      </c>
      <c r="C811" s="8" t="s">
        <v>136</v>
      </c>
      <c r="D811" s="12" t="s">
        <v>128</v>
      </c>
      <c r="E811" s="12" t="s">
        <v>134</v>
      </c>
      <c r="G811" s="12" t="s">
        <v>2</v>
      </c>
      <c r="I811" s="37">
        <f>IFERROR(VLOOKUP(B811,'TB '!$A:$G,7,),0)</f>
        <v>0</v>
      </c>
      <c r="J811" s="37">
        <f>IFERROR(VLOOKUP($B811,'TB '!$4:$1048576,MATCH('List of Ledgers '!J$4,'TB '!$4:$4,0),0),0)</f>
        <v>0</v>
      </c>
      <c r="K811" s="37">
        <f>IFERROR(VLOOKUP($B811,'TB '!$4:$1048576,MATCH('List of Ledgers '!K$4,'TB '!$4:$4,0),0),0)</f>
        <v>0</v>
      </c>
      <c r="L811" s="37">
        <f>IFERROR(VLOOKUP(B811,'TB '!$A:$J,10,),0)</f>
        <v>0</v>
      </c>
      <c r="M811" s="71"/>
      <c r="N811" s="63">
        <f>IFERROR(VLOOKUP($B811,'TB YTD'!$4:$1048576,MATCH('List of Ledgers '!N$4,'TB YTD'!$4:$4,0),0),0)</f>
        <v>5192</v>
      </c>
      <c r="O811" s="63">
        <f>IFERROR(VLOOKUP($B811,'TB YTD'!$4:$1048576,MATCH('List of Ledgers '!O$4,'TB YTD'!$4:$4,0),0),0)</f>
        <v>5192</v>
      </c>
      <c r="P811" s="63">
        <f>IFERROR(VLOOKUP($B811,'TB YTD'!$4:$1048576,MATCH('List of Ledgers '!P$4,'TB YTD'!$4:$4,0),0),0)</f>
        <v>10384</v>
      </c>
      <c r="Q811" s="63">
        <f>IFERROR(VLOOKUP($B811,'TB YTD'!$4:$1048576,MATCH('List of Ledgers '!Q$4,'TB YTD'!$4:$4,0),0),0)</f>
        <v>0</v>
      </c>
      <c r="R811" s="63"/>
    </row>
    <row r="812" spans="1:18" hidden="1" x14ac:dyDescent="0.25">
      <c r="A812" s="106">
        <v>764</v>
      </c>
      <c r="B812" s="8" t="s">
        <v>1000</v>
      </c>
      <c r="C812" s="8" t="s">
        <v>1001</v>
      </c>
      <c r="I812" s="37">
        <f>IFERROR(VLOOKUP(B812,'TB '!$A:$G,7,),0)</f>
        <v>0</v>
      </c>
      <c r="J812" s="37">
        <f>IFERROR(VLOOKUP($B812,'TB '!$4:$1048576,MATCH('List of Ledgers '!J$4,'TB '!$4:$4,0),0),0)</f>
        <v>0</v>
      </c>
      <c r="K812" s="37">
        <f>IFERROR(VLOOKUP($B812,'TB '!$4:$1048576,MATCH('List of Ledgers '!K$4,'TB '!$4:$4,0),0),0)</f>
        <v>0</v>
      </c>
      <c r="L812" s="37">
        <f>IFERROR(VLOOKUP(B812,'TB '!$A:$J,10,),0)</f>
        <v>0</v>
      </c>
      <c r="M812" s="71"/>
      <c r="N812" s="63">
        <f>IFERROR(VLOOKUP($B812,'TB YTD'!$4:$1048576,MATCH('List of Ledgers '!N$4,'TB YTD'!$4:$4,0),0),0)</f>
        <v>10000</v>
      </c>
      <c r="O812" s="63">
        <f>IFERROR(VLOOKUP($B812,'TB YTD'!$4:$1048576,MATCH('List of Ledgers '!O$4,'TB YTD'!$4:$4,0),0),0)</f>
        <v>0</v>
      </c>
      <c r="P812" s="63">
        <f>IFERROR(VLOOKUP($B812,'TB YTD'!$4:$1048576,MATCH('List of Ledgers '!P$4,'TB YTD'!$4:$4,0),0),0)</f>
        <v>10000</v>
      </c>
      <c r="Q812" s="63">
        <f>IFERROR(VLOOKUP($B812,'TB YTD'!$4:$1048576,MATCH('List of Ledgers '!Q$4,'TB YTD'!$4:$4,0),0),0)</f>
        <v>0</v>
      </c>
      <c r="R812" s="63"/>
    </row>
    <row r="813" spans="1:18" hidden="1" x14ac:dyDescent="0.25">
      <c r="A813" s="106">
        <v>765</v>
      </c>
      <c r="B813" s="8" t="s">
        <v>1002</v>
      </c>
      <c r="C813" s="8" t="s">
        <v>187</v>
      </c>
      <c r="D813" s="17" t="s">
        <v>128</v>
      </c>
      <c r="E813" s="17" t="s">
        <v>134</v>
      </c>
      <c r="G813" s="17" t="s">
        <v>2</v>
      </c>
      <c r="I813" s="37">
        <f>IFERROR(VLOOKUP(B813,'TB '!$A:$G,7,),0)</f>
        <v>0</v>
      </c>
      <c r="J813" s="37">
        <f>IFERROR(VLOOKUP($B813,'TB '!$4:$1048576,MATCH('List of Ledgers '!J$4,'TB '!$4:$4,0),0),0)</f>
        <v>0</v>
      </c>
      <c r="K813" s="37">
        <f>IFERROR(VLOOKUP($B813,'TB '!$4:$1048576,MATCH('List of Ledgers '!K$4,'TB '!$4:$4,0),0),0)</f>
        <v>0</v>
      </c>
      <c r="L813" s="37">
        <f>IFERROR(VLOOKUP(B813,'TB '!$A:$J,10,),0)</f>
        <v>0</v>
      </c>
      <c r="M813" s="71"/>
      <c r="N813" s="63">
        <f>IFERROR(VLOOKUP($B813,'TB YTD'!$4:$1048576,MATCH('List of Ledgers '!N$4,'TB YTD'!$4:$4,0),0),0)</f>
        <v>0</v>
      </c>
      <c r="O813" s="63">
        <f>IFERROR(VLOOKUP($B813,'TB YTD'!$4:$1048576,MATCH('List of Ledgers '!O$4,'TB YTD'!$4:$4,0),0),0)</f>
        <v>0</v>
      </c>
      <c r="P813" s="63">
        <f>IFERROR(VLOOKUP($B813,'TB YTD'!$4:$1048576,MATCH('List of Ledgers '!P$4,'TB YTD'!$4:$4,0),0),0)</f>
        <v>0</v>
      </c>
      <c r="Q813" s="63">
        <f>IFERROR(VLOOKUP($B813,'TB YTD'!$4:$1048576,MATCH('List of Ledgers '!Q$4,'TB YTD'!$4:$4,0),0),0)</f>
        <v>0</v>
      </c>
      <c r="R813" s="63"/>
    </row>
    <row r="814" spans="1:18" hidden="1" x14ac:dyDescent="0.25">
      <c r="A814" s="106">
        <v>766</v>
      </c>
      <c r="B814" s="8" t="s">
        <v>1003</v>
      </c>
      <c r="C814" s="8" t="s">
        <v>183</v>
      </c>
      <c r="D814" s="17" t="s">
        <v>128</v>
      </c>
      <c r="E814" s="17" t="s">
        <v>134</v>
      </c>
      <c r="G814" s="17" t="s">
        <v>2</v>
      </c>
      <c r="I814" s="37">
        <f>IFERROR(VLOOKUP(B814,'TB '!$A:$G,7,),0)</f>
        <v>64900</v>
      </c>
      <c r="J814" s="37">
        <f>IFERROR(VLOOKUP($B814,'TB '!$4:$1048576,MATCH('List of Ledgers '!J$4,'TB '!$4:$4,0),0),0)</f>
        <v>0</v>
      </c>
      <c r="K814" s="37">
        <f>IFERROR(VLOOKUP($B814,'TB '!$4:$1048576,MATCH('List of Ledgers '!K$4,'TB '!$4:$4,0),0),0)</f>
        <v>0</v>
      </c>
      <c r="L814" s="37">
        <f>IFERROR(VLOOKUP(B814,'TB '!$A:$J,10,),0)</f>
        <v>64900</v>
      </c>
      <c r="M814" s="71"/>
      <c r="N814" s="63">
        <f>IFERROR(VLOOKUP($B814,'TB YTD'!$4:$1048576,MATCH('List of Ledgers '!N$4,'TB YTD'!$4:$4,0),0),0)</f>
        <v>64900</v>
      </c>
      <c r="O814" s="63">
        <f>IFERROR(VLOOKUP($B814,'TB YTD'!$4:$1048576,MATCH('List of Ledgers '!O$4,'TB YTD'!$4:$4,0),0),0)</f>
        <v>0</v>
      </c>
      <c r="P814" s="63">
        <f>IFERROR(VLOOKUP($B814,'TB YTD'!$4:$1048576,MATCH('List of Ledgers '!P$4,'TB YTD'!$4:$4,0),0),0)</f>
        <v>0</v>
      </c>
      <c r="Q814" s="63">
        <f>IFERROR(VLOOKUP($B814,'TB YTD'!$4:$1048576,MATCH('List of Ledgers '!Q$4,'TB YTD'!$4:$4,0),0),0)</f>
        <v>64900</v>
      </c>
      <c r="R814" s="63"/>
    </row>
    <row r="815" spans="1:18" hidden="1" x14ac:dyDescent="0.25">
      <c r="A815" s="106">
        <v>767</v>
      </c>
      <c r="B815" s="8" t="s">
        <v>1004</v>
      </c>
      <c r="C815" s="8" t="s">
        <v>183</v>
      </c>
      <c r="D815" s="17" t="s">
        <v>128</v>
      </c>
      <c r="E815" s="17" t="s">
        <v>134</v>
      </c>
      <c r="G815" s="17" t="s">
        <v>2</v>
      </c>
      <c r="I815" s="37">
        <f>IFERROR(VLOOKUP(B815,'TB '!$A:$G,7,),0)</f>
        <v>0</v>
      </c>
      <c r="J815" s="37">
        <f>IFERROR(VLOOKUP($B815,'TB '!$4:$1048576,MATCH('List of Ledgers '!J$4,'TB '!$4:$4,0),0),0)</f>
        <v>0</v>
      </c>
      <c r="K815" s="37">
        <f>IFERROR(VLOOKUP($B815,'TB '!$4:$1048576,MATCH('List of Ledgers '!K$4,'TB '!$4:$4,0),0),0)</f>
        <v>0</v>
      </c>
      <c r="L815" s="37">
        <f>IFERROR(VLOOKUP(B815,'TB '!$A:$J,10,),0)</f>
        <v>0</v>
      </c>
      <c r="M815" s="71"/>
      <c r="N815" s="63">
        <f>IFERROR(VLOOKUP($B815,'TB YTD'!$4:$1048576,MATCH('List of Ledgers '!N$4,'TB YTD'!$4:$4,0),0),0)</f>
        <v>0</v>
      </c>
      <c r="O815" s="63">
        <f>IFERROR(VLOOKUP($B815,'TB YTD'!$4:$1048576,MATCH('List of Ledgers '!O$4,'TB YTD'!$4:$4,0),0),0)</f>
        <v>0</v>
      </c>
      <c r="P815" s="63">
        <f>IFERROR(VLOOKUP($B815,'TB YTD'!$4:$1048576,MATCH('List of Ledgers '!P$4,'TB YTD'!$4:$4,0),0),0)</f>
        <v>0</v>
      </c>
      <c r="Q815" s="63">
        <f>IFERROR(VLOOKUP($B815,'TB YTD'!$4:$1048576,MATCH('List of Ledgers '!Q$4,'TB YTD'!$4:$4,0),0),0)</f>
        <v>0</v>
      </c>
      <c r="R815" s="63"/>
    </row>
    <row r="816" spans="1:18" hidden="1" x14ac:dyDescent="0.25">
      <c r="A816" s="106">
        <v>768</v>
      </c>
      <c r="B816" s="8" t="s">
        <v>1005</v>
      </c>
      <c r="C816" s="8" t="s">
        <v>160</v>
      </c>
      <c r="D816" s="17"/>
      <c r="E816" s="17"/>
      <c r="I816" s="37">
        <f>IFERROR(VLOOKUP(B816,'TB '!$A:$G,7,),0)</f>
        <v>24377.53</v>
      </c>
      <c r="J816" s="37">
        <f>IFERROR(VLOOKUP($B816,'TB '!$4:$1048576,MATCH('List of Ledgers '!J$4,'TB '!$4:$4,0),0),0)</f>
        <v>0</v>
      </c>
      <c r="K816" s="37">
        <f>IFERROR(VLOOKUP($B816,'TB '!$4:$1048576,MATCH('List of Ledgers '!K$4,'TB '!$4:$4,0),0),0)</f>
        <v>0</v>
      </c>
      <c r="L816" s="37">
        <f>IFERROR(VLOOKUP(B816,'TB '!$A:$J,10,),0)</f>
        <v>24377.53</v>
      </c>
      <c r="M816" s="71"/>
      <c r="N816" s="63">
        <f>IFERROR(VLOOKUP($B816,'TB YTD'!$4:$1048576,MATCH('List of Ledgers '!N$4,'TB YTD'!$4:$4,0),0),0)</f>
        <v>24377.53</v>
      </c>
      <c r="O816" s="63">
        <f>IFERROR(VLOOKUP($B816,'TB YTD'!$4:$1048576,MATCH('List of Ledgers '!O$4,'TB YTD'!$4:$4,0),0),0)</f>
        <v>0</v>
      </c>
      <c r="P816" s="63">
        <f>IFERROR(VLOOKUP($B816,'TB YTD'!$4:$1048576,MATCH('List of Ledgers '!P$4,'TB YTD'!$4:$4,0),0),0)</f>
        <v>0</v>
      </c>
      <c r="Q816" s="63">
        <f>IFERROR(VLOOKUP($B816,'TB YTD'!$4:$1048576,MATCH('List of Ledgers '!Q$4,'TB YTD'!$4:$4,0),0),0)</f>
        <v>24377.53</v>
      </c>
      <c r="R816" s="63"/>
    </row>
    <row r="817" spans="1:18" hidden="1" x14ac:dyDescent="0.25">
      <c r="A817" s="106">
        <v>769</v>
      </c>
      <c r="B817" s="151" t="s">
        <v>1006</v>
      </c>
      <c r="C817" s="151" t="s">
        <v>158</v>
      </c>
      <c r="D817" s="12" t="s">
        <v>128</v>
      </c>
      <c r="E817" s="12" t="s">
        <v>131</v>
      </c>
      <c r="G817" s="17" t="s">
        <v>4</v>
      </c>
      <c r="I817" s="37">
        <f>IFERROR(VLOOKUP(B817,'TB '!$A:$G,7,),0)</f>
        <v>0</v>
      </c>
      <c r="J817" s="37">
        <f>IFERROR(VLOOKUP($B817,'TB '!$4:$1048576,MATCH('List of Ledgers '!J$4,'TB '!$4:$4,0),0),0)</f>
        <v>0</v>
      </c>
      <c r="K817" s="37">
        <f>IFERROR(VLOOKUP($B817,'TB '!$4:$1048576,MATCH('List of Ledgers '!K$4,'TB '!$4:$4,0),0),0)</f>
        <v>0</v>
      </c>
      <c r="L817" s="37">
        <f>IFERROR(VLOOKUP(B817,'TB '!$A:$J,10,),0)</f>
        <v>0</v>
      </c>
      <c r="M817" s="71"/>
      <c r="N817" s="63">
        <f>IFERROR(VLOOKUP($B817,'TB YTD'!$4:$1048576,MATCH('List of Ledgers '!N$4,'TB YTD'!$4:$4,0),0),0)</f>
        <v>0</v>
      </c>
      <c r="O817" s="63">
        <f>IFERROR(VLOOKUP($B817,'TB YTD'!$4:$1048576,MATCH('List of Ledgers '!O$4,'TB YTD'!$4:$4,0),0),0)</f>
        <v>356603</v>
      </c>
      <c r="P817" s="63">
        <f>IFERROR(VLOOKUP($B817,'TB YTD'!$4:$1048576,MATCH('List of Ledgers '!P$4,'TB YTD'!$4:$4,0),0),0)</f>
        <v>356603</v>
      </c>
      <c r="Q817" s="63">
        <f>IFERROR(VLOOKUP($B817,'TB YTD'!$4:$1048576,MATCH('List of Ledgers '!Q$4,'TB YTD'!$4:$4,0),0),0)</f>
        <v>0</v>
      </c>
    </row>
    <row r="818" spans="1:18" hidden="1" x14ac:dyDescent="0.25">
      <c r="A818" s="106">
        <v>770</v>
      </c>
      <c r="B818" s="8" t="s">
        <v>1007</v>
      </c>
      <c r="C818" s="8" t="s">
        <v>160</v>
      </c>
      <c r="D818" s="17"/>
      <c r="E818" s="17"/>
      <c r="I818" s="37">
        <f>IFERROR(VLOOKUP(B818,'TB '!$A:$G,7,),0)</f>
        <v>1185.5899999999999</v>
      </c>
      <c r="J818" s="37">
        <f>IFERROR(VLOOKUP($B818,'TB '!$4:$1048576,MATCH('List of Ledgers '!J$4,'TB '!$4:$4,0),0),0)</f>
        <v>0</v>
      </c>
      <c r="K818" s="37">
        <f>IFERROR(VLOOKUP($B818,'TB '!$4:$1048576,MATCH('List of Ledgers '!K$4,'TB '!$4:$4,0),0),0)</f>
        <v>0</v>
      </c>
      <c r="L818" s="37">
        <f>IFERROR(VLOOKUP(B818,'TB '!$A:$J,10,),0)</f>
        <v>1185.5899999999999</v>
      </c>
      <c r="M818" s="71"/>
      <c r="N818" s="63">
        <f>IFERROR(VLOOKUP($B818,'TB YTD'!$4:$1048576,MATCH('List of Ledgers '!N$4,'TB YTD'!$4:$4,0),0),0)</f>
        <v>1185.5899999999999</v>
      </c>
      <c r="O818" s="63">
        <f>IFERROR(VLOOKUP($B818,'TB YTD'!$4:$1048576,MATCH('List of Ledgers '!O$4,'TB YTD'!$4:$4,0),0),0)</f>
        <v>0</v>
      </c>
      <c r="P818" s="63">
        <f>IFERROR(VLOOKUP($B818,'TB YTD'!$4:$1048576,MATCH('List of Ledgers '!P$4,'TB YTD'!$4:$4,0),0),0)</f>
        <v>0</v>
      </c>
      <c r="Q818" s="63">
        <f>IFERROR(VLOOKUP($B818,'TB YTD'!$4:$1048576,MATCH('List of Ledgers '!Q$4,'TB YTD'!$4:$4,0),0),0)</f>
        <v>1185.5899999999999</v>
      </c>
      <c r="R818" s="63"/>
    </row>
    <row r="819" spans="1:18" hidden="1" x14ac:dyDescent="0.25">
      <c r="A819" s="106">
        <v>771</v>
      </c>
      <c r="B819" s="8" t="s">
        <v>1008</v>
      </c>
      <c r="C819" s="8" t="s">
        <v>124</v>
      </c>
      <c r="I819" s="37">
        <f>IFERROR(VLOOKUP(B819,'TB '!$A:$G,7,),0)</f>
        <v>226431.53</v>
      </c>
      <c r="J819" s="37">
        <f>IFERROR(VLOOKUP($B819,'TB '!$4:$1048576,MATCH('List of Ledgers '!J$4,'TB '!$4:$4,0),0),0)</f>
        <v>0</v>
      </c>
      <c r="K819" s="37">
        <f>IFERROR(VLOOKUP($B819,'TB '!$4:$1048576,MATCH('List of Ledgers '!K$4,'TB '!$4:$4,0),0),0)</f>
        <v>0</v>
      </c>
      <c r="L819" s="37">
        <f>IFERROR(VLOOKUP(B819,'TB '!$A:$J,10,),0)</f>
        <v>226431.53</v>
      </c>
      <c r="M819" s="71"/>
      <c r="N819" s="63">
        <f>IFERROR(VLOOKUP($B819,'TB YTD'!$4:$1048576,MATCH('List of Ledgers '!N$4,'TB YTD'!$4:$4,0),0),0)</f>
        <v>226431.53</v>
      </c>
      <c r="O819" s="63">
        <f>IFERROR(VLOOKUP($B819,'TB YTD'!$4:$1048576,MATCH('List of Ledgers '!O$4,'TB YTD'!$4:$4,0),0),0)</f>
        <v>0</v>
      </c>
      <c r="P819" s="63">
        <f>IFERROR(VLOOKUP($B819,'TB YTD'!$4:$1048576,MATCH('List of Ledgers '!P$4,'TB YTD'!$4:$4,0),0),0)</f>
        <v>0</v>
      </c>
      <c r="Q819" s="63">
        <f>IFERROR(VLOOKUP($B819,'TB YTD'!$4:$1048576,MATCH('List of Ledgers '!Q$4,'TB YTD'!$4:$4,0),0),0)</f>
        <v>226431.53</v>
      </c>
      <c r="R819" s="63"/>
    </row>
    <row r="820" spans="1:18" hidden="1" x14ac:dyDescent="0.25">
      <c r="A820" s="106">
        <v>772</v>
      </c>
      <c r="B820" s="8" t="s">
        <v>1009</v>
      </c>
      <c r="C820" s="8" t="s">
        <v>140</v>
      </c>
      <c r="D820" s="17" t="s">
        <v>128</v>
      </c>
      <c r="E820" s="17" t="s">
        <v>131</v>
      </c>
      <c r="G820" s="17" t="s">
        <v>7</v>
      </c>
      <c r="I820" s="37">
        <f>IFERROR(VLOOKUP(B820,'TB '!$A:$G,7,),0)</f>
        <v>0</v>
      </c>
      <c r="J820" s="37">
        <f>IFERROR(VLOOKUP($B820,'TB '!$4:$1048576,MATCH('List of Ledgers '!J$4,'TB '!$4:$4,0),0),0)</f>
        <v>0</v>
      </c>
      <c r="K820" s="37">
        <f>IFERROR(VLOOKUP($B820,'TB '!$4:$1048576,MATCH('List of Ledgers '!K$4,'TB '!$4:$4,0),0),0)</f>
        <v>0</v>
      </c>
      <c r="L820" s="37">
        <f>IFERROR(VLOOKUP(B820,'TB '!$A:$J,10,),0)</f>
        <v>0</v>
      </c>
      <c r="M820" s="71"/>
      <c r="N820" s="63">
        <f>IFERROR(VLOOKUP($B820,'TB YTD'!$4:$1048576,MATCH('List of Ledgers '!N$4,'TB YTD'!$4:$4,0),0),0)</f>
        <v>0</v>
      </c>
      <c r="O820" s="63">
        <f>IFERROR(VLOOKUP($B820,'TB YTD'!$4:$1048576,MATCH('List of Ledgers '!O$4,'TB YTD'!$4:$4,0),0),0)</f>
        <v>42620</v>
      </c>
      <c r="P820" s="63">
        <f>IFERROR(VLOOKUP($B820,'TB YTD'!$4:$1048576,MATCH('List of Ledgers '!P$4,'TB YTD'!$4:$4,0),0),0)</f>
        <v>42620</v>
      </c>
      <c r="Q820" s="63">
        <f>IFERROR(VLOOKUP($B820,'TB YTD'!$4:$1048576,MATCH('List of Ledgers '!Q$4,'TB YTD'!$4:$4,0),0),0)</f>
        <v>0</v>
      </c>
      <c r="R820" s="63"/>
    </row>
    <row r="821" spans="1:18" hidden="1" x14ac:dyDescent="0.25">
      <c r="A821" s="106">
        <v>773</v>
      </c>
      <c r="B821" s="8" t="s">
        <v>1010</v>
      </c>
      <c r="C821" s="8" t="s">
        <v>140</v>
      </c>
      <c r="D821" s="17" t="s">
        <v>128</v>
      </c>
      <c r="E821" s="17" t="s">
        <v>131</v>
      </c>
      <c r="G821" s="17" t="s">
        <v>7</v>
      </c>
      <c r="I821" s="37">
        <f>IFERROR(VLOOKUP(B821,'TB '!$A:$G,7,),0)</f>
        <v>0</v>
      </c>
      <c r="J821" s="37">
        <f>IFERROR(VLOOKUP($B821,'TB '!$4:$1048576,MATCH('List of Ledgers '!J$4,'TB '!$4:$4,0),0),0)</f>
        <v>0</v>
      </c>
      <c r="K821" s="37">
        <f>IFERROR(VLOOKUP($B821,'TB '!$4:$1048576,MATCH('List of Ledgers '!K$4,'TB '!$4:$4,0),0),0)</f>
        <v>0</v>
      </c>
      <c r="L821" s="37">
        <f>IFERROR(VLOOKUP(B821,'TB '!$A:$J,10,),0)</f>
        <v>0</v>
      </c>
      <c r="M821" s="71"/>
      <c r="N821" s="63">
        <f>IFERROR(VLOOKUP($B821,'TB YTD'!$4:$1048576,MATCH('List of Ledgers '!N$4,'TB YTD'!$4:$4,0),0),0)</f>
        <v>0</v>
      </c>
      <c r="O821" s="63">
        <f>IFERROR(VLOOKUP($B821,'TB YTD'!$4:$1048576,MATCH('List of Ledgers '!O$4,'TB YTD'!$4:$4,0),0),0)</f>
        <v>0</v>
      </c>
      <c r="P821" s="63">
        <f>IFERROR(VLOOKUP($B821,'TB YTD'!$4:$1048576,MATCH('List of Ledgers '!P$4,'TB YTD'!$4:$4,0),0),0)</f>
        <v>0</v>
      </c>
      <c r="Q821" s="63">
        <f>IFERROR(VLOOKUP($B821,'TB YTD'!$4:$1048576,MATCH('List of Ledgers '!Q$4,'TB YTD'!$4:$4,0),0),0)</f>
        <v>0</v>
      </c>
      <c r="R821" s="63"/>
    </row>
    <row r="822" spans="1:18" hidden="1" x14ac:dyDescent="0.25">
      <c r="A822" s="106">
        <v>774</v>
      </c>
      <c r="B822" s="8" t="s">
        <v>1011</v>
      </c>
      <c r="C822" s="8" t="s">
        <v>140</v>
      </c>
      <c r="D822" s="17" t="s">
        <v>128</v>
      </c>
      <c r="E822" s="17" t="s">
        <v>131</v>
      </c>
      <c r="G822" s="17" t="s">
        <v>7</v>
      </c>
      <c r="I822" s="37">
        <f>IFERROR(VLOOKUP(B822,'TB '!$A:$G,7,),0)</f>
        <v>0</v>
      </c>
      <c r="J822" s="37">
        <f>IFERROR(VLOOKUP($B822,'TB '!$4:$1048576,MATCH('List of Ledgers '!J$4,'TB '!$4:$4,0),0),0)</f>
        <v>0</v>
      </c>
      <c r="K822" s="37">
        <f>IFERROR(VLOOKUP($B822,'TB '!$4:$1048576,MATCH('List of Ledgers '!K$4,'TB '!$4:$4,0),0),0)</f>
        <v>0</v>
      </c>
      <c r="L822" s="37">
        <f>IFERROR(VLOOKUP(B822,'TB '!$A:$J,10,),0)</f>
        <v>0</v>
      </c>
      <c r="M822" s="71"/>
      <c r="N822" s="63">
        <f>IFERROR(VLOOKUP($B822,'TB YTD'!$4:$1048576,MATCH('List of Ledgers '!N$4,'TB YTD'!$4:$4,0),0),0)</f>
        <v>-12744</v>
      </c>
      <c r="O822" s="63">
        <f>IFERROR(VLOOKUP($B822,'TB YTD'!$4:$1048576,MATCH('List of Ledgers '!O$4,'TB YTD'!$4:$4,0),0),0)</f>
        <v>27134</v>
      </c>
      <c r="P822" s="63">
        <f>IFERROR(VLOOKUP($B822,'TB YTD'!$4:$1048576,MATCH('List of Ledgers '!P$4,'TB YTD'!$4:$4,0),0),0)</f>
        <v>14390</v>
      </c>
      <c r="Q822" s="63">
        <f>IFERROR(VLOOKUP($B822,'TB YTD'!$4:$1048576,MATCH('List of Ledgers '!Q$4,'TB YTD'!$4:$4,0),0),0)</f>
        <v>0</v>
      </c>
      <c r="R822" s="63"/>
    </row>
    <row r="823" spans="1:18" hidden="1" x14ac:dyDescent="0.25">
      <c r="A823" s="106">
        <v>775</v>
      </c>
      <c r="B823" s="8" t="s">
        <v>1012</v>
      </c>
      <c r="C823" s="8" t="s">
        <v>189</v>
      </c>
      <c r="D823" s="17" t="s">
        <v>151</v>
      </c>
      <c r="E823" s="17" t="s">
        <v>152</v>
      </c>
      <c r="F823" s="12" t="s">
        <v>40</v>
      </c>
      <c r="G823" s="17" t="s">
        <v>7</v>
      </c>
      <c r="I823" s="37">
        <f>IFERROR(VLOOKUP(B823,'TB '!$A:$G,7,),0)</f>
        <v>0</v>
      </c>
      <c r="J823" s="37">
        <f>IFERROR(VLOOKUP($B823,'TB '!$4:$1048576,MATCH('List of Ledgers '!J$4,'TB '!$4:$4,0),0),0)</f>
        <v>0</v>
      </c>
      <c r="K823" s="37">
        <f>IFERROR(VLOOKUP($B823,'TB '!$4:$1048576,MATCH('List of Ledgers '!K$4,'TB '!$4:$4,0),0),0)</f>
        <v>0</v>
      </c>
      <c r="L823" s="37">
        <f>IFERROR(VLOOKUP(B823,'TB '!$A:$J,10,),0)</f>
        <v>0</v>
      </c>
      <c r="M823" s="71"/>
      <c r="N823" s="63">
        <f>IFERROR(VLOOKUP($B823,'TB YTD'!$4:$1048576,MATCH('List of Ledgers '!N$4,'TB YTD'!$4:$4,0),0),0)</f>
        <v>0</v>
      </c>
      <c r="O823" s="63">
        <f>IFERROR(VLOOKUP($B823,'TB YTD'!$4:$1048576,MATCH('List of Ledgers '!O$4,'TB YTD'!$4:$4,0),0),0)</f>
        <v>0</v>
      </c>
      <c r="P823" s="63">
        <f>IFERROR(VLOOKUP($B823,'TB YTD'!$4:$1048576,MATCH('List of Ledgers '!P$4,'TB YTD'!$4:$4,0),0),0)</f>
        <v>0</v>
      </c>
      <c r="Q823" s="63">
        <f>IFERROR(VLOOKUP($B823,'TB YTD'!$4:$1048576,MATCH('List of Ledgers '!Q$4,'TB YTD'!$4:$4,0),0),0)</f>
        <v>0</v>
      </c>
      <c r="R823" s="63"/>
    </row>
    <row r="824" spans="1:18" hidden="1" x14ac:dyDescent="0.25">
      <c r="A824" s="106">
        <v>776</v>
      </c>
      <c r="B824" s="8" t="s">
        <v>1013</v>
      </c>
      <c r="C824" s="8" t="s">
        <v>180</v>
      </c>
      <c r="D824" s="17" t="s">
        <v>128</v>
      </c>
      <c r="E824" s="17" t="s">
        <v>131</v>
      </c>
      <c r="G824" s="17" t="s">
        <v>2</v>
      </c>
      <c r="I824" s="37">
        <f>IFERROR(VLOOKUP(B824,'TB '!$A:$G,7,),0)</f>
        <v>0</v>
      </c>
      <c r="J824" s="37">
        <f>IFERROR(VLOOKUP($B824,'TB '!$4:$1048576,MATCH('List of Ledgers '!J$4,'TB '!$4:$4,0),0),0)</f>
        <v>0</v>
      </c>
      <c r="K824" s="37">
        <f>IFERROR(VLOOKUP($B824,'TB '!$4:$1048576,MATCH('List of Ledgers '!K$4,'TB '!$4:$4,0),0),0)</f>
        <v>0</v>
      </c>
      <c r="L824" s="37">
        <f>IFERROR(VLOOKUP(B824,'TB '!$A:$J,10,),0)</f>
        <v>0</v>
      </c>
      <c r="M824" s="71"/>
      <c r="N824" s="63">
        <f>IFERROR(VLOOKUP($B824,'TB YTD'!$4:$1048576,MATCH('List of Ledgers '!N$4,'TB YTD'!$4:$4,0),0),0)</f>
        <v>0</v>
      </c>
      <c r="O824" s="63">
        <f>IFERROR(VLOOKUP($B824,'TB YTD'!$4:$1048576,MATCH('List of Ledgers '!O$4,'TB YTD'!$4:$4,0),0),0)</f>
        <v>13127</v>
      </c>
      <c r="P824" s="63">
        <f>IFERROR(VLOOKUP($B824,'TB YTD'!$4:$1048576,MATCH('List of Ledgers '!P$4,'TB YTD'!$4:$4,0),0),0)</f>
        <v>13127</v>
      </c>
      <c r="Q824" s="63">
        <f>IFERROR(VLOOKUP($B824,'TB YTD'!$4:$1048576,MATCH('List of Ledgers '!Q$4,'TB YTD'!$4:$4,0),0),0)</f>
        <v>0</v>
      </c>
      <c r="R824" s="63"/>
    </row>
    <row r="825" spans="1:18" hidden="1" x14ac:dyDescent="0.25">
      <c r="A825" s="106">
        <v>777</v>
      </c>
      <c r="B825" s="2" t="s">
        <v>1014</v>
      </c>
      <c r="C825" s="2" t="s">
        <v>185</v>
      </c>
      <c r="D825" s="106" t="s">
        <v>128</v>
      </c>
      <c r="E825" s="17" t="s">
        <v>134</v>
      </c>
      <c r="G825" s="17" t="s">
        <v>3</v>
      </c>
      <c r="I825" s="37">
        <f>IFERROR(VLOOKUP(B825,'TB '!$A:$G,7,),0)</f>
        <v>566</v>
      </c>
      <c r="J825" s="37">
        <f>IFERROR(VLOOKUP($B825,'TB '!$4:$1048576,MATCH('List of Ledgers '!J$4,'TB '!$4:$4,0),0),0)</f>
        <v>0</v>
      </c>
      <c r="K825" s="37">
        <f>IFERROR(VLOOKUP($B825,'TB '!$4:$1048576,MATCH('List of Ledgers '!K$4,'TB '!$4:$4,0),0),0)</f>
        <v>0</v>
      </c>
      <c r="L825" s="37">
        <f>IFERROR(VLOOKUP(B825,'TB '!$A:$J,10,),0)</f>
        <v>566</v>
      </c>
      <c r="M825" s="71"/>
      <c r="N825" s="63">
        <f>IFERROR(VLOOKUP($B825,'TB YTD'!$4:$1048576,MATCH('List of Ledgers '!N$4,'TB YTD'!$4:$4,0),0),0)</f>
        <v>566</v>
      </c>
      <c r="O825" s="63">
        <f>IFERROR(VLOOKUP($B825,'TB YTD'!$4:$1048576,MATCH('List of Ledgers '!O$4,'TB YTD'!$4:$4,0),0),0)</f>
        <v>75096</v>
      </c>
      <c r="P825" s="63">
        <f>IFERROR(VLOOKUP($B825,'TB YTD'!$4:$1048576,MATCH('List of Ledgers '!P$4,'TB YTD'!$4:$4,0),0),0)</f>
        <v>75096</v>
      </c>
      <c r="Q825" s="63">
        <f>IFERROR(VLOOKUP($B825,'TB YTD'!$4:$1048576,MATCH('List of Ledgers '!Q$4,'TB YTD'!$4:$4,0),0),0)</f>
        <v>566</v>
      </c>
      <c r="R825" s="63"/>
    </row>
    <row r="826" spans="1:18" hidden="1" x14ac:dyDescent="0.25">
      <c r="A826" s="106">
        <v>778</v>
      </c>
      <c r="B826" s="2" t="s">
        <v>1015</v>
      </c>
      <c r="C826" s="2" t="s">
        <v>185</v>
      </c>
      <c r="D826" s="106" t="s">
        <v>128</v>
      </c>
      <c r="E826" s="17" t="s">
        <v>134</v>
      </c>
      <c r="G826" s="17" t="s">
        <v>3</v>
      </c>
      <c r="I826" s="37">
        <f>IFERROR(VLOOKUP(B826,'TB '!$A:$G,7,),0)</f>
        <v>107429.98</v>
      </c>
      <c r="J826" s="37">
        <f>IFERROR(VLOOKUP($B826,'TB '!$4:$1048576,MATCH('List of Ledgers '!J$4,'TB '!$4:$4,0),0),0)</f>
        <v>33553</v>
      </c>
      <c r="K826" s="37">
        <f>IFERROR(VLOOKUP($B826,'TB '!$4:$1048576,MATCH('List of Ledgers '!K$4,'TB '!$4:$4,0),0),0)</f>
        <v>26235</v>
      </c>
      <c r="L826" s="37">
        <f>IFERROR(VLOOKUP(B826,'TB '!$A:$J,10,),0)</f>
        <v>114747.98</v>
      </c>
      <c r="M826" s="71"/>
      <c r="N826" s="63">
        <f>IFERROR(VLOOKUP($B826,'TB YTD'!$4:$1048576,MATCH('List of Ledgers '!N$4,'TB YTD'!$4:$4,0),0),0)</f>
        <v>133679</v>
      </c>
      <c r="O826" s="63">
        <f>IFERROR(VLOOKUP($B826,'TB YTD'!$4:$1048576,MATCH('List of Ledgers '!O$4,'TB YTD'!$4:$4,0),0),0)</f>
        <v>333013</v>
      </c>
      <c r="P826" s="63">
        <f>IFERROR(VLOOKUP($B826,'TB YTD'!$4:$1048576,MATCH('List of Ledgers '!P$4,'TB YTD'!$4:$4,0),0),0)</f>
        <v>351944.02</v>
      </c>
      <c r="Q826" s="63">
        <f>IFERROR(VLOOKUP($B826,'TB YTD'!$4:$1048576,MATCH('List of Ledgers '!Q$4,'TB YTD'!$4:$4,0),0),0)</f>
        <v>114747.98</v>
      </c>
      <c r="R826" s="63"/>
    </row>
    <row r="827" spans="1:18" hidden="1" x14ac:dyDescent="0.25">
      <c r="A827" s="106">
        <v>779</v>
      </c>
      <c r="B827" s="2" t="s">
        <v>1016</v>
      </c>
      <c r="C827" s="2" t="s">
        <v>286</v>
      </c>
      <c r="I827" s="37">
        <f>IFERROR(VLOOKUP(B827,'TB '!$A:$G,7,),0)</f>
        <v>0</v>
      </c>
      <c r="J827" s="37">
        <f>IFERROR(VLOOKUP($B827,'TB '!$4:$1048576,MATCH('List of Ledgers '!J$4,'TB '!$4:$4,0),0),0)</f>
        <v>0</v>
      </c>
      <c r="K827" s="37">
        <f>IFERROR(VLOOKUP($B827,'TB '!$4:$1048576,MATCH('List of Ledgers '!K$4,'TB '!$4:$4,0),0),0)</f>
        <v>0</v>
      </c>
      <c r="L827" s="37">
        <f>IFERROR(VLOOKUP(B827,'TB '!$A:$J,10,),0)</f>
        <v>0</v>
      </c>
      <c r="M827" s="71"/>
      <c r="N827" s="63">
        <f>IFERROR(VLOOKUP($B827,'TB YTD'!$4:$1048576,MATCH('List of Ledgers '!N$4,'TB YTD'!$4:$4,0),0),0)</f>
        <v>135410.95000000001</v>
      </c>
      <c r="O827" s="63">
        <f>IFERROR(VLOOKUP($B827,'TB YTD'!$4:$1048576,MATCH('List of Ledgers '!O$4,'TB YTD'!$4:$4,0),0),0)</f>
        <v>11586.08</v>
      </c>
      <c r="P827" s="63">
        <f>IFERROR(VLOOKUP($B827,'TB YTD'!$4:$1048576,MATCH('List of Ledgers '!P$4,'TB YTD'!$4:$4,0),0),0)</f>
        <v>146997.03</v>
      </c>
      <c r="Q827" s="63">
        <f>IFERROR(VLOOKUP($B827,'TB YTD'!$4:$1048576,MATCH('List of Ledgers '!Q$4,'TB YTD'!$4:$4,0),0),0)</f>
        <v>0</v>
      </c>
      <c r="R827" s="63"/>
    </row>
    <row r="828" spans="1:18" hidden="1" x14ac:dyDescent="0.25">
      <c r="A828" s="106">
        <v>780</v>
      </c>
      <c r="B828" s="2" t="s">
        <v>1017</v>
      </c>
      <c r="C828" s="2" t="s">
        <v>130</v>
      </c>
      <c r="D828" s="17" t="s">
        <v>128</v>
      </c>
      <c r="E828" s="17" t="s">
        <v>131</v>
      </c>
      <c r="G828" s="17" t="s">
        <v>7</v>
      </c>
      <c r="I828" s="37">
        <f>IFERROR(VLOOKUP(B828,'TB '!$A:$G,7,),0)</f>
        <v>0</v>
      </c>
      <c r="J828" s="37">
        <f>IFERROR(VLOOKUP($B828,'TB '!$4:$1048576,MATCH('List of Ledgers '!J$4,'TB '!$4:$4,0),0),0)</f>
        <v>0</v>
      </c>
      <c r="K828" s="37">
        <f>IFERROR(VLOOKUP($B828,'TB '!$4:$1048576,MATCH('List of Ledgers '!K$4,'TB '!$4:$4,0),0),0)</f>
        <v>0</v>
      </c>
      <c r="L828" s="37">
        <f>IFERROR(VLOOKUP(B828,'TB '!$A:$J,10,),0)</f>
        <v>0</v>
      </c>
      <c r="M828" s="71"/>
      <c r="N828" s="63">
        <f>IFERROR(VLOOKUP($B828,'TB YTD'!$4:$1048576,MATCH('List of Ledgers '!N$4,'TB YTD'!$4:$4,0),0),0)</f>
        <v>0</v>
      </c>
      <c r="O828" s="63">
        <f>IFERROR(VLOOKUP($B828,'TB YTD'!$4:$1048576,MATCH('List of Ledgers '!O$4,'TB YTD'!$4:$4,0),0),0)</f>
        <v>0</v>
      </c>
      <c r="P828" s="63">
        <f>IFERROR(VLOOKUP($B828,'TB YTD'!$4:$1048576,MATCH('List of Ledgers '!P$4,'TB YTD'!$4:$4,0),0),0)</f>
        <v>0</v>
      </c>
      <c r="Q828" s="63">
        <f>IFERROR(VLOOKUP($B828,'TB YTD'!$4:$1048576,MATCH('List of Ledgers '!Q$4,'TB YTD'!$4:$4,0),0),0)</f>
        <v>0</v>
      </c>
      <c r="R828" s="63"/>
    </row>
    <row r="829" spans="1:18" hidden="1" x14ac:dyDescent="0.25">
      <c r="A829" s="106">
        <v>781</v>
      </c>
      <c r="B829" s="2" t="s">
        <v>1018</v>
      </c>
      <c r="C829" s="2" t="s">
        <v>124</v>
      </c>
      <c r="I829" s="37">
        <f>IFERROR(VLOOKUP(B829,'TB '!$A:$G,7,),0)</f>
        <v>59822.59</v>
      </c>
      <c r="J829" s="37">
        <f>IFERROR(VLOOKUP($B829,'TB '!$4:$1048576,MATCH('List of Ledgers '!J$4,'TB '!$4:$4,0),0),0)</f>
        <v>0</v>
      </c>
      <c r="K829" s="37">
        <f>IFERROR(VLOOKUP($B829,'TB '!$4:$1048576,MATCH('List of Ledgers '!K$4,'TB '!$4:$4,0),0),0)</f>
        <v>0</v>
      </c>
      <c r="L829" s="37">
        <f>IFERROR(VLOOKUP(B829,'TB '!$A:$J,10,),0)</f>
        <v>59822.59</v>
      </c>
      <c r="M829" s="71"/>
      <c r="N829" s="63">
        <f>IFERROR(VLOOKUP($B829,'TB YTD'!$4:$1048576,MATCH('List of Ledgers '!N$4,'TB YTD'!$4:$4,0),0),0)</f>
        <v>59822.59</v>
      </c>
      <c r="O829" s="63">
        <f>IFERROR(VLOOKUP($B829,'TB YTD'!$4:$1048576,MATCH('List of Ledgers '!O$4,'TB YTD'!$4:$4,0),0),0)</f>
        <v>0</v>
      </c>
      <c r="P829" s="63">
        <f>IFERROR(VLOOKUP($B829,'TB YTD'!$4:$1048576,MATCH('List of Ledgers '!P$4,'TB YTD'!$4:$4,0),0),0)</f>
        <v>0</v>
      </c>
      <c r="Q829" s="63">
        <f>IFERROR(VLOOKUP($B829,'TB YTD'!$4:$1048576,MATCH('List of Ledgers '!Q$4,'TB YTD'!$4:$4,0),0),0)</f>
        <v>59822.59</v>
      </c>
      <c r="R829" s="63"/>
    </row>
    <row r="830" spans="1:18" hidden="1" x14ac:dyDescent="0.25">
      <c r="A830" s="106">
        <v>782</v>
      </c>
      <c r="B830" s="2" t="s">
        <v>1019</v>
      </c>
      <c r="C830" s="2" t="s">
        <v>124</v>
      </c>
      <c r="D830" s="17" t="s">
        <v>128</v>
      </c>
      <c r="I830" s="37">
        <f>IFERROR(VLOOKUP(B830,'TB '!$A:$G,7,),0)</f>
        <v>64806.68</v>
      </c>
      <c r="J830" s="37">
        <f>IFERROR(VLOOKUP($B830,'TB '!$4:$1048576,MATCH('List of Ledgers '!J$4,'TB '!$4:$4,0),0),0)</f>
        <v>0</v>
      </c>
      <c r="K830" s="37">
        <f>IFERROR(VLOOKUP($B830,'TB '!$4:$1048576,MATCH('List of Ledgers '!K$4,'TB '!$4:$4,0),0),0)</f>
        <v>0</v>
      </c>
      <c r="L830" s="37">
        <f>IFERROR(VLOOKUP(B830,'TB '!$A:$J,10,),0)</f>
        <v>64806.68</v>
      </c>
      <c r="M830" s="71"/>
      <c r="N830" s="63">
        <f>IFERROR(VLOOKUP($B830,'TB YTD'!$4:$1048576,MATCH('List of Ledgers '!N$4,'TB YTD'!$4:$4,0),0),0)</f>
        <v>64806.68</v>
      </c>
      <c r="O830" s="63">
        <f>IFERROR(VLOOKUP($B830,'TB YTD'!$4:$1048576,MATCH('List of Ledgers '!O$4,'TB YTD'!$4:$4,0),0),0)</f>
        <v>0</v>
      </c>
      <c r="P830" s="63">
        <f>IFERROR(VLOOKUP($B830,'TB YTD'!$4:$1048576,MATCH('List of Ledgers '!P$4,'TB YTD'!$4:$4,0),0),0)</f>
        <v>0</v>
      </c>
      <c r="Q830" s="63">
        <f>IFERROR(VLOOKUP($B830,'TB YTD'!$4:$1048576,MATCH('List of Ledgers '!Q$4,'TB YTD'!$4:$4,0),0),0)</f>
        <v>64806.68</v>
      </c>
      <c r="R830" s="63"/>
    </row>
    <row r="831" spans="1:18" hidden="1" x14ac:dyDescent="0.25">
      <c r="A831" s="106">
        <v>783</v>
      </c>
      <c r="B831" s="2" t="s">
        <v>1020</v>
      </c>
      <c r="C831" s="2" t="s">
        <v>377</v>
      </c>
      <c r="D831" s="12" t="s">
        <v>151</v>
      </c>
      <c r="E831" s="12" t="s">
        <v>152</v>
      </c>
      <c r="F831" s="12" t="s">
        <v>1412</v>
      </c>
      <c r="G831" s="17" t="s">
        <v>7</v>
      </c>
      <c r="I831" s="37">
        <f>IFERROR(VLOOKUP(B831,'TB '!$A:$G,7,),0)</f>
        <v>0</v>
      </c>
      <c r="J831" s="37">
        <f>IFERROR(VLOOKUP($B831,'TB '!$4:$1048576,MATCH('List of Ledgers '!J$4,'TB '!$4:$4,0),0),0)</f>
        <v>0</v>
      </c>
      <c r="K831" s="37">
        <f>IFERROR(VLOOKUP($B831,'TB '!$4:$1048576,MATCH('List of Ledgers '!K$4,'TB '!$4:$4,0),0),0)</f>
        <v>0</v>
      </c>
      <c r="L831" s="37">
        <f>IFERROR(VLOOKUP(B831,'TB '!$A:$J,10,),0)</f>
        <v>0</v>
      </c>
      <c r="M831" s="71"/>
      <c r="N831" s="63">
        <f>IFERROR(VLOOKUP($B831,'TB YTD'!$4:$1048576,MATCH('List of Ledgers '!N$4,'TB YTD'!$4:$4,0),0),0)</f>
        <v>0</v>
      </c>
      <c r="O831" s="63">
        <f>IFERROR(VLOOKUP($B831,'TB YTD'!$4:$1048576,MATCH('List of Ledgers '!O$4,'TB YTD'!$4:$4,0),0),0)</f>
        <v>27894</v>
      </c>
      <c r="P831" s="63">
        <f>IFERROR(VLOOKUP($B831,'TB YTD'!$4:$1048576,MATCH('List of Ledgers '!P$4,'TB YTD'!$4:$4,0),0),0)</f>
        <v>0</v>
      </c>
      <c r="Q831" s="63">
        <f>IFERROR(VLOOKUP($B831,'TB YTD'!$4:$1048576,MATCH('List of Ledgers '!Q$4,'TB YTD'!$4:$4,0),0),0)</f>
        <v>27894</v>
      </c>
      <c r="R831" s="63"/>
    </row>
    <row r="832" spans="1:18" hidden="1" x14ac:dyDescent="0.25">
      <c r="A832" s="106">
        <v>784</v>
      </c>
      <c r="B832" s="2" t="s">
        <v>1021</v>
      </c>
      <c r="C832" s="2" t="s">
        <v>166</v>
      </c>
      <c r="D832" s="17" t="s">
        <v>151</v>
      </c>
      <c r="E832" s="17" t="s">
        <v>1291</v>
      </c>
      <c r="F832" s="12" t="s">
        <v>1290</v>
      </c>
      <c r="G832" s="17" t="s">
        <v>4</v>
      </c>
      <c r="I832" s="37">
        <f>IFERROR(VLOOKUP(B832,'TB '!$A:$G,7,),0)</f>
        <v>0</v>
      </c>
      <c r="J832" s="37">
        <f>IFERROR(VLOOKUP($B832,'TB '!$4:$1048576,MATCH('List of Ledgers '!J$4,'TB '!$4:$4,0),0),0)</f>
        <v>29277.29</v>
      </c>
      <c r="K832" s="37">
        <f>IFERROR(VLOOKUP($B832,'TB '!$4:$1048576,MATCH('List of Ledgers '!K$4,'TB '!$4:$4,0),0),0)</f>
        <v>0</v>
      </c>
      <c r="L832" s="37">
        <f>IFERROR(VLOOKUP(B832,'TB '!$A:$J,10,),0)</f>
        <v>29277.29</v>
      </c>
      <c r="M832" s="71"/>
      <c r="N832" s="63">
        <f>IFERROR(VLOOKUP($B832,'TB YTD'!$4:$1048576,MATCH('List of Ledgers '!N$4,'TB YTD'!$4:$4,0),0),0)</f>
        <v>0</v>
      </c>
      <c r="O832" s="63">
        <f>IFERROR(VLOOKUP($B832,'TB YTD'!$4:$1048576,MATCH('List of Ledgers '!O$4,'TB YTD'!$4:$4,0),0),0)</f>
        <v>37167.29</v>
      </c>
      <c r="P832" s="63">
        <f>IFERROR(VLOOKUP($B832,'TB YTD'!$4:$1048576,MATCH('List of Ledgers '!P$4,'TB YTD'!$4:$4,0),0),0)</f>
        <v>0</v>
      </c>
      <c r="Q832" s="63">
        <f>IFERROR(VLOOKUP($B832,'TB YTD'!$4:$1048576,MATCH('List of Ledgers '!Q$4,'TB YTD'!$4:$4,0),0),0)</f>
        <v>37167.29</v>
      </c>
    </row>
    <row r="833" spans="1:19" hidden="1" x14ac:dyDescent="0.25">
      <c r="A833" s="106">
        <v>785</v>
      </c>
      <c r="B833" s="2" t="s">
        <v>1022</v>
      </c>
      <c r="C833" s="2" t="s">
        <v>271</v>
      </c>
      <c r="D833" s="17" t="s">
        <v>151</v>
      </c>
      <c r="E833" s="17" t="s">
        <v>272</v>
      </c>
      <c r="F833" s="12" t="s">
        <v>273</v>
      </c>
      <c r="G833" s="17" t="s">
        <v>7</v>
      </c>
      <c r="I833" s="37">
        <f>IFERROR(VLOOKUP(B833,'TB '!$A:$G,7,),0)</f>
        <v>0</v>
      </c>
      <c r="J833" s="37">
        <f>IFERROR(VLOOKUP($B833,'TB '!$4:$1048576,MATCH('List of Ledgers '!J$4,'TB '!$4:$4,0),0),0)</f>
        <v>0</v>
      </c>
      <c r="K833" s="37">
        <f>IFERROR(VLOOKUP($B833,'TB '!$4:$1048576,MATCH('List of Ledgers '!K$4,'TB '!$4:$4,0),0),0)</f>
        <v>0</v>
      </c>
      <c r="L833" s="37">
        <f>IFERROR(VLOOKUP(B833,'TB '!$A:$J,10,),0)</f>
        <v>0</v>
      </c>
      <c r="M833" s="71"/>
      <c r="N833" s="63">
        <f>IFERROR(VLOOKUP($B833,'TB YTD'!$4:$1048576,MATCH('List of Ledgers '!N$4,'TB YTD'!$4:$4,0),0),0)</f>
        <v>0</v>
      </c>
      <c r="O833" s="63">
        <f>IFERROR(VLOOKUP($B833,'TB YTD'!$4:$1048576,MATCH('List of Ledgers '!O$4,'TB YTD'!$4:$4,0),0),0)</f>
        <v>0</v>
      </c>
      <c r="P833" s="63">
        <f>IFERROR(VLOOKUP($B833,'TB YTD'!$4:$1048576,MATCH('List of Ledgers '!P$4,'TB YTD'!$4:$4,0),0),0)</f>
        <v>0</v>
      </c>
      <c r="Q833" s="63">
        <f>IFERROR(VLOOKUP($B833,'TB YTD'!$4:$1048576,MATCH('List of Ledgers '!Q$4,'TB YTD'!$4:$4,0),0),0)</f>
        <v>0</v>
      </c>
      <c r="R833" s="63"/>
    </row>
    <row r="834" spans="1:19" hidden="1" x14ac:dyDescent="0.25">
      <c r="A834" s="106">
        <v>786</v>
      </c>
      <c r="B834" s="2" t="s">
        <v>1023</v>
      </c>
      <c r="C834" s="2" t="s">
        <v>130</v>
      </c>
      <c r="D834" s="17" t="s">
        <v>128</v>
      </c>
      <c r="E834" s="17" t="s">
        <v>131</v>
      </c>
      <c r="G834" s="17" t="s">
        <v>7</v>
      </c>
      <c r="I834" s="37">
        <f>IFERROR(VLOOKUP(B834,'TB '!$A:$G,7,),0)</f>
        <v>0</v>
      </c>
      <c r="J834" s="37">
        <f>IFERROR(VLOOKUP($B834,'TB '!$4:$1048576,MATCH('List of Ledgers '!J$4,'TB '!$4:$4,0),0),0)</f>
        <v>0</v>
      </c>
      <c r="K834" s="37">
        <f>IFERROR(VLOOKUP($B834,'TB '!$4:$1048576,MATCH('List of Ledgers '!K$4,'TB '!$4:$4,0),0),0)</f>
        <v>0</v>
      </c>
      <c r="L834" s="37">
        <f>IFERROR(VLOOKUP(B834,'TB '!$A:$J,10,),0)</f>
        <v>0</v>
      </c>
      <c r="M834" s="71"/>
      <c r="N834" s="63">
        <f>IFERROR(VLOOKUP($B834,'TB YTD'!$4:$1048576,MATCH('List of Ledgers '!N$4,'TB YTD'!$4:$4,0),0),0)</f>
        <v>0</v>
      </c>
      <c r="O834" s="63">
        <f>IFERROR(VLOOKUP($B834,'TB YTD'!$4:$1048576,MATCH('List of Ledgers '!O$4,'TB YTD'!$4:$4,0),0),0)</f>
        <v>5014424</v>
      </c>
      <c r="P834" s="63">
        <f>IFERROR(VLOOKUP($B834,'TB YTD'!$4:$1048576,MATCH('List of Ledgers '!P$4,'TB YTD'!$4:$4,0),0),0)</f>
        <v>5014424</v>
      </c>
      <c r="Q834" s="63">
        <f>IFERROR(VLOOKUP($B834,'TB YTD'!$4:$1048576,MATCH('List of Ledgers '!Q$4,'TB YTD'!$4:$4,0),0),0)</f>
        <v>0</v>
      </c>
      <c r="R834" s="63"/>
    </row>
    <row r="835" spans="1:19" hidden="1" x14ac:dyDescent="0.25">
      <c r="A835" s="106">
        <v>787</v>
      </c>
      <c r="B835" s="2" t="s">
        <v>1024</v>
      </c>
      <c r="C835" s="2" t="s">
        <v>876</v>
      </c>
      <c r="D835" s="17" t="s">
        <v>151</v>
      </c>
      <c r="E835" s="17" t="s">
        <v>152</v>
      </c>
      <c r="F835" s="12" t="s">
        <v>57</v>
      </c>
      <c r="G835" s="17" t="s">
        <v>8</v>
      </c>
      <c r="I835" s="37">
        <f>IFERROR(VLOOKUP(B835,'TB '!$A:$G,7,),0)</f>
        <v>0</v>
      </c>
      <c r="J835" s="37">
        <f>IFERROR(VLOOKUP($B835,'TB '!$4:$1048576,MATCH('List of Ledgers '!J$4,'TB '!$4:$4,0),0),0)</f>
        <v>9810</v>
      </c>
      <c r="K835" s="37">
        <f>IFERROR(VLOOKUP($B835,'TB '!$4:$1048576,MATCH('List of Ledgers '!K$4,'TB '!$4:$4,0),0),0)</f>
        <v>0</v>
      </c>
      <c r="L835" s="37">
        <f>IFERROR(VLOOKUP(B835,'TB '!$A:$J,10,),0)</f>
        <v>9810</v>
      </c>
      <c r="M835" s="71"/>
      <c r="N835" s="63">
        <f>IFERROR(VLOOKUP($B835,'TB YTD'!$4:$1048576,MATCH('List of Ledgers '!N$4,'TB YTD'!$4:$4,0),0),0)</f>
        <v>0</v>
      </c>
      <c r="O835" s="63">
        <f>IFERROR(VLOOKUP($B835,'TB YTD'!$4:$1048576,MATCH('List of Ledgers '!O$4,'TB YTD'!$4:$4,0),0),0)</f>
        <v>2043284.5</v>
      </c>
      <c r="P835" s="63">
        <f>IFERROR(VLOOKUP($B835,'TB YTD'!$4:$1048576,MATCH('List of Ledgers '!P$4,'TB YTD'!$4:$4,0),0),0)</f>
        <v>0</v>
      </c>
      <c r="Q835" s="63">
        <f>IFERROR(VLOOKUP($B835,'TB YTD'!$4:$1048576,MATCH('List of Ledgers '!Q$4,'TB YTD'!$4:$4,0),0),0)</f>
        <v>2043284.5</v>
      </c>
      <c r="R835" s="63"/>
      <c r="S835" s="50"/>
    </row>
    <row r="836" spans="1:19" hidden="1" x14ac:dyDescent="0.25">
      <c r="A836" s="106">
        <v>788</v>
      </c>
      <c r="B836" s="2" t="s">
        <v>1025</v>
      </c>
      <c r="C836" s="2" t="s">
        <v>154</v>
      </c>
      <c r="D836" s="17" t="s">
        <v>151</v>
      </c>
      <c r="E836" s="17" t="s">
        <v>152</v>
      </c>
      <c r="F836" s="12" t="s">
        <v>57</v>
      </c>
      <c r="G836" s="17" t="s">
        <v>4</v>
      </c>
      <c r="I836" s="37">
        <f>IFERROR(VLOOKUP(B836,'TB '!$A:$G,7,),0)</f>
        <v>0</v>
      </c>
      <c r="J836" s="37">
        <f>IFERROR(VLOOKUP($B836,'TB '!$4:$1048576,MATCH('List of Ledgers '!J$4,'TB '!$4:$4,0),0),0)</f>
        <v>0</v>
      </c>
      <c r="K836" s="37">
        <f>IFERROR(VLOOKUP($B836,'TB '!$4:$1048576,MATCH('List of Ledgers '!K$4,'TB '!$4:$4,0),0),0)</f>
        <v>0</v>
      </c>
      <c r="L836" s="37">
        <f>IFERROR(VLOOKUP(B836,'TB '!$A:$J,10,),0)</f>
        <v>0</v>
      </c>
      <c r="M836" s="71"/>
      <c r="N836" s="63">
        <f>IFERROR(VLOOKUP($B836,'TB YTD'!$4:$1048576,MATCH('List of Ledgers '!N$4,'TB YTD'!$4:$4,0),0),0)</f>
        <v>0</v>
      </c>
      <c r="O836" s="63">
        <f>IFERROR(VLOOKUP($B836,'TB YTD'!$4:$1048576,MATCH('List of Ledgers '!O$4,'TB YTD'!$4:$4,0),0),0)</f>
        <v>0</v>
      </c>
      <c r="P836" s="63">
        <f>IFERROR(VLOOKUP($B836,'TB YTD'!$4:$1048576,MATCH('List of Ledgers '!P$4,'TB YTD'!$4:$4,0),0),0)</f>
        <v>0</v>
      </c>
      <c r="Q836" s="63">
        <f>IFERROR(VLOOKUP($B836,'TB YTD'!$4:$1048576,MATCH('List of Ledgers '!Q$4,'TB YTD'!$4:$4,0),0),0)</f>
        <v>0</v>
      </c>
      <c r="R836" s="63"/>
    </row>
    <row r="837" spans="1:19" hidden="1" x14ac:dyDescent="0.25">
      <c r="A837" s="106">
        <v>789</v>
      </c>
      <c r="B837" s="2" t="s">
        <v>1026</v>
      </c>
      <c r="C837" s="2" t="s">
        <v>275</v>
      </c>
      <c r="D837" s="17" t="s">
        <v>151</v>
      </c>
      <c r="E837" s="17" t="s">
        <v>152</v>
      </c>
      <c r="F837" s="12" t="s">
        <v>14</v>
      </c>
      <c r="G837" s="17" t="s">
        <v>7</v>
      </c>
      <c r="I837" s="37">
        <f>IFERROR(VLOOKUP(B837,'TB '!$A:$G,7,),0)</f>
        <v>0</v>
      </c>
      <c r="J837" s="37">
        <f>IFERROR(VLOOKUP($B837,'TB '!$4:$1048576,MATCH('List of Ledgers '!J$4,'TB '!$4:$4,0),0),0)</f>
        <v>0</v>
      </c>
      <c r="K837" s="37">
        <f>IFERROR(VLOOKUP($B837,'TB '!$4:$1048576,MATCH('List of Ledgers '!K$4,'TB '!$4:$4,0),0),0)</f>
        <v>0</v>
      </c>
      <c r="L837" s="37">
        <f>IFERROR(VLOOKUP(B837,'TB '!$A:$J,10,),0)</f>
        <v>0</v>
      </c>
      <c r="M837" s="71"/>
      <c r="N837" s="63">
        <f>IFERROR(VLOOKUP($B837,'TB YTD'!$4:$1048576,MATCH('List of Ledgers '!N$4,'TB YTD'!$4:$4,0),0),0)</f>
        <v>0</v>
      </c>
      <c r="O837" s="63">
        <f>IFERROR(VLOOKUP($B837,'TB YTD'!$4:$1048576,MATCH('List of Ledgers '!O$4,'TB YTD'!$4:$4,0),0),0)</f>
        <v>10711</v>
      </c>
      <c r="P837" s="63">
        <f>IFERROR(VLOOKUP($B837,'TB YTD'!$4:$1048576,MATCH('List of Ledgers '!P$4,'TB YTD'!$4:$4,0),0),0)</f>
        <v>0</v>
      </c>
      <c r="Q837" s="63">
        <f>IFERROR(VLOOKUP($B837,'TB YTD'!$4:$1048576,MATCH('List of Ledgers '!Q$4,'TB YTD'!$4:$4,0),0),0)</f>
        <v>10711</v>
      </c>
      <c r="R837" s="63"/>
    </row>
    <row r="838" spans="1:19" hidden="1" x14ac:dyDescent="0.25">
      <c r="A838" s="106">
        <v>790</v>
      </c>
      <c r="B838" s="2" t="s">
        <v>1027</v>
      </c>
      <c r="C838" s="2" t="s">
        <v>876</v>
      </c>
      <c r="D838" s="17" t="s">
        <v>151</v>
      </c>
      <c r="E838" s="17" t="s">
        <v>152</v>
      </c>
      <c r="F838" s="12" t="s">
        <v>16</v>
      </c>
      <c r="G838" s="17" t="s">
        <v>8</v>
      </c>
      <c r="I838" s="37">
        <f>IFERROR(VLOOKUP(B838,'TB '!$A:$G,7,),0)</f>
        <v>0</v>
      </c>
      <c r="J838" s="37">
        <f>IFERROR(VLOOKUP($B838,'TB '!$4:$1048576,MATCH('List of Ledgers '!J$4,'TB '!$4:$4,0),0),0)</f>
        <v>4000</v>
      </c>
      <c r="K838" s="37">
        <f>IFERROR(VLOOKUP($B838,'TB '!$4:$1048576,MATCH('List of Ledgers '!K$4,'TB '!$4:$4,0),0),0)</f>
        <v>0</v>
      </c>
      <c r="L838" s="37">
        <f>IFERROR(VLOOKUP(B838,'TB '!$A:$J,10,),0)</f>
        <v>4000</v>
      </c>
      <c r="M838" s="71"/>
      <c r="N838" s="63">
        <f>IFERROR(VLOOKUP($B838,'TB YTD'!$4:$1048576,MATCH('List of Ledgers '!N$4,'TB YTD'!$4:$4,0),0),0)</f>
        <v>0</v>
      </c>
      <c r="O838" s="63">
        <f>IFERROR(VLOOKUP($B838,'TB YTD'!$4:$1048576,MATCH('List of Ledgers '!O$4,'TB YTD'!$4:$4,0),0),0)</f>
        <v>273050</v>
      </c>
      <c r="P838" s="63">
        <f>IFERROR(VLOOKUP($B838,'TB YTD'!$4:$1048576,MATCH('List of Ledgers '!P$4,'TB YTD'!$4:$4,0),0),0)</f>
        <v>0</v>
      </c>
      <c r="Q838" s="63">
        <f>IFERROR(VLOOKUP($B838,'TB YTD'!$4:$1048576,MATCH('List of Ledgers '!Q$4,'TB YTD'!$4:$4,0),0),0)</f>
        <v>273050</v>
      </c>
      <c r="R838" s="63"/>
    </row>
    <row r="839" spans="1:19" hidden="1" x14ac:dyDescent="0.25">
      <c r="A839" s="106">
        <v>791</v>
      </c>
      <c r="B839" s="2" t="s">
        <v>1028</v>
      </c>
      <c r="C839" s="2" t="s">
        <v>876</v>
      </c>
      <c r="D839" s="17" t="s">
        <v>151</v>
      </c>
      <c r="E839" s="17" t="s">
        <v>152</v>
      </c>
      <c r="F839" s="12" t="s">
        <v>21</v>
      </c>
      <c r="G839" s="17" t="s">
        <v>9</v>
      </c>
      <c r="I839" s="37">
        <f>IFERROR(VLOOKUP(B839,'TB '!$A:$G,7,),0)</f>
        <v>0</v>
      </c>
      <c r="J839" s="37">
        <f>IFERROR(VLOOKUP($B839,'TB '!$4:$1048576,MATCH('List of Ledgers '!J$4,'TB '!$4:$4,0),0),0)</f>
        <v>0</v>
      </c>
      <c r="K839" s="37">
        <f>IFERROR(VLOOKUP($B839,'TB '!$4:$1048576,MATCH('List of Ledgers '!K$4,'TB '!$4:$4,0),0),0)</f>
        <v>0</v>
      </c>
      <c r="L839" s="37">
        <f>IFERROR(VLOOKUP(B839,'TB '!$A:$J,10,),0)</f>
        <v>0</v>
      </c>
      <c r="M839" s="71"/>
      <c r="N839" s="63">
        <f>IFERROR(VLOOKUP($B839,'TB YTD'!$4:$1048576,MATCH('List of Ledgers '!N$4,'TB YTD'!$4:$4,0),0),0)</f>
        <v>0</v>
      </c>
      <c r="O839" s="63">
        <f>IFERROR(VLOOKUP($B839,'TB YTD'!$4:$1048576,MATCH('List of Ledgers '!O$4,'TB YTD'!$4:$4,0),0),0)</f>
        <v>421904</v>
      </c>
      <c r="P839" s="63">
        <f>IFERROR(VLOOKUP($B839,'TB YTD'!$4:$1048576,MATCH('List of Ledgers '!P$4,'TB YTD'!$4:$4,0),0),0)</f>
        <v>0</v>
      </c>
      <c r="Q839" s="63">
        <f>IFERROR(VLOOKUP($B839,'TB YTD'!$4:$1048576,MATCH('List of Ledgers '!Q$4,'TB YTD'!$4:$4,0),0),0)</f>
        <v>421904</v>
      </c>
      <c r="R839" s="63"/>
    </row>
    <row r="840" spans="1:19" hidden="1" x14ac:dyDescent="0.25">
      <c r="A840" s="106">
        <v>792</v>
      </c>
      <c r="B840" s="2" t="s">
        <v>1029</v>
      </c>
      <c r="C840" s="2" t="s">
        <v>876</v>
      </c>
      <c r="D840" s="17" t="s">
        <v>151</v>
      </c>
      <c r="E840" s="17" t="s">
        <v>152</v>
      </c>
      <c r="F840" s="12" t="s">
        <v>16</v>
      </c>
      <c r="G840" s="17" t="s">
        <v>8</v>
      </c>
      <c r="I840" s="37">
        <f>IFERROR(VLOOKUP(B840,'TB '!$A:$G,7,),0)</f>
        <v>0</v>
      </c>
      <c r="J840" s="37">
        <f>IFERROR(VLOOKUP($B840,'TB '!$4:$1048576,MATCH('List of Ledgers '!J$4,'TB '!$4:$4,0),0),0)</f>
        <v>0</v>
      </c>
      <c r="K840" s="37">
        <f>IFERROR(VLOOKUP($B840,'TB '!$4:$1048576,MATCH('List of Ledgers '!K$4,'TB '!$4:$4,0),0),0)</f>
        <v>0</v>
      </c>
      <c r="L840" s="37">
        <f>IFERROR(VLOOKUP(B840,'TB '!$A:$J,10,),0)</f>
        <v>0</v>
      </c>
      <c r="M840" s="71"/>
      <c r="N840" s="63">
        <f>IFERROR(VLOOKUP($B840,'TB YTD'!$4:$1048576,MATCH('List of Ledgers '!N$4,'TB YTD'!$4:$4,0),0),0)</f>
        <v>0</v>
      </c>
      <c r="O840" s="63">
        <f>IFERROR(VLOOKUP($B840,'TB YTD'!$4:$1048576,MATCH('List of Ledgers '!O$4,'TB YTD'!$4:$4,0),0),0)</f>
        <v>0</v>
      </c>
      <c r="P840" s="63">
        <f>IFERROR(VLOOKUP($B840,'TB YTD'!$4:$1048576,MATCH('List of Ledgers '!P$4,'TB YTD'!$4:$4,0),0),0)</f>
        <v>0</v>
      </c>
      <c r="Q840" s="63">
        <f>IFERROR(VLOOKUP($B840,'TB YTD'!$4:$1048576,MATCH('List of Ledgers '!Q$4,'TB YTD'!$4:$4,0),0),0)</f>
        <v>0</v>
      </c>
      <c r="R840" s="63"/>
    </row>
    <row r="841" spans="1:19" hidden="1" x14ac:dyDescent="0.25">
      <c r="A841" s="165">
        <v>793</v>
      </c>
      <c r="B841" s="2" t="s">
        <v>1030</v>
      </c>
      <c r="C841" s="2" t="s">
        <v>140</v>
      </c>
      <c r="D841" s="17" t="s">
        <v>128</v>
      </c>
      <c r="E841" s="17" t="s">
        <v>131</v>
      </c>
      <c r="G841" s="12" t="s">
        <v>7</v>
      </c>
      <c r="I841" s="37">
        <f>IFERROR(VLOOKUP(B841,'TB '!$A:$G,7,),0)</f>
        <v>0</v>
      </c>
      <c r="J841" s="37">
        <f>IFERROR(VLOOKUP($B841,'TB '!$4:$1048576,MATCH('List of Ledgers '!J$4,'TB '!$4:$4,0),0),0)</f>
        <v>0</v>
      </c>
      <c r="K841" s="37">
        <f>IFERROR(VLOOKUP($B841,'TB '!$4:$1048576,MATCH('List of Ledgers '!K$4,'TB '!$4:$4,0),0),0)</f>
        <v>0</v>
      </c>
      <c r="L841" s="37">
        <f>IFERROR(VLOOKUP(B841,'TB '!$A:$J,10,),0)</f>
        <v>0</v>
      </c>
      <c r="N841" s="63">
        <f>IFERROR(VLOOKUP($B841,'TB YTD'!$4:$1048576,MATCH('List of Ledgers '!N$4,'TB YTD'!$4:$4,0),0),0)</f>
        <v>0</v>
      </c>
      <c r="O841" s="63">
        <f>IFERROR(VLOOKUP($B841,'TB YTD'!$4:$1048576,MATCH('List of Ledgers '!O$4,'TB YTD'!$4:$4,0),0),0)</f>
        <v>21240</v>
      </c>
      <c r="P841" s="63">
        <f>IFERROR(VLOOKUP($B841,'TB YTD'!$4:$1048576,MATCH('List of Ledgers '!P$4,'TB YTD'!$4:$4,0),0),0)</f>
        <v>21240</v>
      </c>
      <c r="Q841" s="63">
        <f>IFERROR(VLOOKUP($B841,'TB YTD'!$4:$1048576,MATCH('List of Ledgers '!Q$4,'TB YTD'!$4:$4,0),0),0)</f>
        <v>0</v>
      </c>
    </row>
    <row r="842" spans="1:19" hidden="1" x14ac:dyDescent="0.25">
      <c r="A842" s="165">
        <v>794</v>
      </c>
      <c r="B842" s="2" t="s">
        <v>1031</v>
      </c>
      <c r="C842" s="2" t="s">
        <v>1032</v>
      </c>
      <c r="D842" s="17" t="s">
        <v>128</v>
      </c>
      <c r="E842" s="17" t="s">
        <v>131</v>
      </c>
      <c r="G842" s="17" t="s">
        <v>9</v>
      </c>
      <c r="I842" s="37">
        <f>IFERROR(VLOOKUP(B842,'TB '!$A:$G,7,),0)</f>
        <v>0</v>
      </c>
      <c r="J842" s="37">
        <f>IFERROR(VLOOKUP($B842,'TB '!$4:$1048576,MATCH('List of Ledgers '!J$4,'TB '!$4:$4,0),0),0)</f>
        <v>2572500</v>
      </c>
      <c r="K842" s="37">
        <f>IFERROR(VLOOKUP($B842,'TB '!$4:$1048576,MATCH('List of Ledgers '!K$4,'TB '!$4:$4,0),0),0)</f>
        <v>2572500</v>
      </c>
      <c r="L842" s="37">
        <f>IFERROR(VLOOKUP(B842,'TB '!$A:$J,10,),0)</f>
        <v>0</v>
      </c>
      <c r="N842" s="63">
        <f>IFERROR(VLOOKUP($B842,'TB YTD'!$4:$1048576,MATCH('List of Ledgers '!N$4,'TB YTD'!$4:$4,0),0),0)</f>
        <v>0</v>
      </c>
      <c r="O842" s="63">
        <f>IFERROR(VLOOKUP($B842,'TB YTD'!$4:$1048576,MATCH('List of Ledgers '!O$4,'TB YTD'!$4:$4,0),0),0)</f>
        <v>5255775</v>
      </c>
      <c r="P842" s="63">
        <f>IFERROR(VLOOKUP($B842,'TB YTD'!$4:$1048576,MATCH('List of Ledgers '!P$4,'TB YTD'!$4:$4,0),0),0)</f>
        <v>5255775</v>
      </c>
      <c r="Q842" s="63">
        <f>IFERROR(VLOOKUP($B842,'TB YTD'!$4:$1048576,MATCH('List of Ledgers '!Q$4,'TB YTD'!$4:$4,0),0),0)</f>
        <v>0</v>
      </c>
    </row>
    <row r="843" spans="1:19" hidden="1" x14ac:dyDescent="0.25">
      <c r="A843" s="165">
        <v>795</v>
      </c>
      <c r="B843" s="2" t="s">
        <v>1033</v>
      </c>
      <c r="C843" s="2" t="s">
        <v>1034</v>
      </c>
      <c r="D843" s="17" t="s">
        <v>151</v>
      </c>
      <c r="E843" s="17" t="s">
        <v>152</v>
      </c>
      <c r="F843" s="12" t="s">
        <v>63</v>
      </c>
      <c r="G843" s="17" t="s">
        <v>9</v>
      </c>
      <c r="I843" s="37">
        <f>IFERROR(VLOOKUP(B843,'TB '!$A:$G,7,),0)</f>
        <v>0</v>
      </c>
      <c r="J843" s="37">
        <f>IFERROR(VLOOKUP($B843,'TB '!$4:$1048576,MATCH('List of Ledgers '!J$4,'TB '!$4:$4,0),0),0)</f>
        <v>328467</v>
      </c>
      <c r="K843" s="37">
        <f>IFERROR(VLOOKUP($B843,'TB '!$4:$1048576,MATCH('List of Ledgers '!K$4,'TB '!$4:$4,0),0),0)</f>
        <v>0</v>
      </c>
      <c r="L843" s="37">
        <f>IFERROR(VLOOKUP(B843,'TB '!$A:$J,10,),0)</f>
        <v>328467</v>
      </c>
      <c r="N843" s="63">
        <f>IFERROR(VLOOKUP($B843,'TB YTD'!$4:$1048576,MATCH('List of Ledgers '!N$4,'TB YTD'!$4:$4,0),0),0)</f>
        <v>0</v>
      </c>
      <c r="O843" s="63">
        <f>IFERROR(VLOOKUP($B843,'TB YTD'!$4:$1048576,MATCH('List of Ledgers '!O$4,'TB YTD'!$4:$4,0),0),0)</f>
        <v>1202500</v>
      </c>
      <c r="P843" s="63">
        <f>IFERROR(VLOOKUP($B843,'TB YTD'!$4:$1048576,MATCH('List of Ledgers '!P$4,'TB YTD'!$4:$4,0),0),0)</f>
        <v>0</v>
      </c>
      <c r="Q843" s="63">
        <f>IFERROR(VLOOKUP($B843,'TB YTD'!$4:$1048576,MATCH('List of Ledgers '!Q$4,'TB YTD'!$4:$4,0),0),0)</f>
        <v>1202500</v>
      </c>
    </row>
    <row r="844" spans="1:19" hidden="1" x14ac:dyDescent="0.25">
      <c r="A844" s="165">
        <f>A843+1</f>
        <v>796</v>
      </c>
      <c r="B844" s="2" t="s">
        <v>1257</v>
      </c>
      <c r="C844" s="2" t="s">
        <v>1079</v>
      </c>
      <c r="D844" s="17" t="s">
        <v>128</v>
      </c>
      <c r="E844" s="17" t="s">
        <v>134</v>
      </c>
      <c r="G844" s="17" t="s">
        <v>9</v>
      </c>
      <c r="I844" s="37">
        <f>IFERROR(VLOOKUP(B844,'TB '!$A:$G,7,),0)</f>
        <v>818194</v>
      </c>
      <c r="J844" s="37">
        <f>IFERROR(VLOOKUP($B844,'TB '!$4:$1048576,MATCH('List of Ledgers '!J$4,'TB '!$4:$4,0),0),0)</f>
        <v>10949086</v>
      </c>
      <c r="K844" s="37">
        <f>IFERROR(VLOOKUP($B844,'TB '!$4:$1048576,MATCH('List of Ledgers '!K$4,'TB '!$4:$4,0),0),0)</f>
        <v>0</v>
      </c>
      <c r="L844" s="37">
        <f>IFERROR(VLOOKUP(B844,'TB '!$A:$J,10,),0)</f>
        <v>11767280</v>
      </c>
      <c r="M844" s="71"/>
      <c r="N844" s="63">
        <f>IFERROR(VLOOKUP($B844,'TB YTD'!$4:$1048576,MATCH('List of Ledgers '!N$4,'TB YTD'!$4:$4,0),0),0)</f>
        <v>0</v>
      </c>
      <c r="O844" s="63">
        <f>IFERROR(VLOOKUP($B844,'TB YTD'!$4:$1048576,MATCH('List of Ledgers '!O$4,'TB YTD'!$4:$4,0),0),0)</f>
        <v>28373141.050000001</v>
      </c>
      <c r="P844" s="63">
        <f>IFERROR(VLOOKUP($B844,'TB YTD'!$4:$1048576,MATCH('List of Ledgers '!P$4,'TB YTD'!$4:$4,0),0),0)</f>
        <v>16605861.050000001</v>
      </c>
      <c r="Q844" s="63">
        <f>IFERROR(VLOOKUP($B844,'TB YTD'!$4:$1048576,MATCH('List of Ledgers '!Q$4,'TB YTD'!$4:$4,0),0),0)</f>
        <v>11767280</v>
      </c>
      <c r="R844" s="63"/>
    </row>
    <row r="845" spans="1:19" hidden="1" x14ac:dyDescent="0.25">
      <c r="A845" s="165">
        <v>796</v>
      </c>
      <c r="B845" s="2" t="s">
        <v>1035</v>
      </c>
      <c r="C845" s="2" t="s">
        <v>876</v>
      </c>
      <c r="D845" s="17" t="s">
        <v>151</v>
      </c>
      <c r="E845" s="17" t="s">
        <v>152</v>
      </c>
      <c r="F845" s="12" t="s">
        <v>44</v>
      </c>
      <c r="G845" s="17" t="s">
        <v>9</v>
      </c>
      <c r="I845" s="37">
        <f>IFERROR(VLOOKUP(B845,'TB '!$A:$G,7,),0)</f>
        <v>0</v>
      </c>
      <c r="J845" s="37">
        <f>IFERROR(VLOOKUP($B845,'TB '!$4:$1048576,MATCH('List of Ledgers '!J$4,'TB '!$4:$4,0),0),0)</f>
        <v>7582.09</v>
      </c>
      <c r="K845" s="37">
        <f>IFERROR(VLOOKUP($B845,'TB '!$4:$1048576,MATCH('List of Ledgers '!K$4,'TB '!$4:$4,0),0),0)</f>
        <v>0</v>
      </c>
      <c r="L845" s="37">
        <f>IFERROR(VLOOKUP(B845,'TB '!$A:$J,10,),0)</f>
        <v>7582.09</v>
      </c>
      <c r="N845" s="63">
        <f>IFERROR(VLOOKUP($B845,'TB YTD'!$4:$1048576,MATCH('List of Ledgers '!N$4,'TB YTD'!$4:$4,0),0),0)</f>
        <v>0</v>
      </c>
      <c r="O845" s="63">
        <f>IFERROR(VLOOKUP($B845,'TB YTD'!$4:$1048576,MATCH('List of Ledgers '!O$4,'TB YTD'!$4:$4,0),0),0)</f>
        <v>44500.639999999999</v>
      </c>
      <c r="P845" s="63">
        <f>IFERROR(VLOOKUP($B845,'TB YTD'!$4:$1048576,MATCH('List of Ledgers '!P$4,'TB YTD'!$4:$4,0),0),0)</f>
        <v>0</v>
      </c>
      <c r="Q845" s="63">
        <f>IFERROR(VLOOKUP($B845,'TB YTD'!$4:$1048576,MATCH('List of Ledgers '!Q$4,'TB YTD'!$4:$4,0),0),0)</f>
        <v>44500.639999999999</v>
      </c>
      <c r="S845" s="50"/>
    </row>
    <row r="846" spans="1:19" hidden="1" x14ac:dyDescent="0.25">
      <c r="A846" s="165">
        <f>A845+1</f>
        <v>797</v>
      </c>
      <c r="B846" s="2" t="s">
        <v>1258</v>
      </c>
      <c r="C846" s="2" t="s">
        <v>1058</v>
      </c>
      <c r="D846" s="17" t="s">
        <v>151</v>
      </c>
      <c r="E846" s="17" t="s">
        <v>152</v>
      </c>
      <c r="F846" s="12" t="s">
        <v>65</v>
      </c>
      <c r="G846" s="17" t="s">
        <v>9</v>
      </c>
      <c r="I846" s="37">
        <f>IFERROR(VLOOKUP(B846,'TB '!$A:$G,7,),0)</f>
        <v>0</v>
      </c>
      <c r="J846" s="37">
        <f>IFERROR(VLOOKUP($B846,'TB '!$4:$1048576,MATCH('List of Ledgers '!J$4,'TB '!$4:$4,0),0),0)</f>
        <v>2290</v>
      </c>
      <c r="K846" s="37">
        <f>IFERROR(VLOOKUP($B846,'TB '!$4:$1048576,MATCH('List of Ledgers '!K$4,'TB '!$4:$4,0),0),0)</f>
        <v>0</v>
      </c>
      <c r="L846" s="37">
        <f>IFERROR(VLOOKUP(B846,'TB '!$A:$J,10,),0)</f>
        <v>2290</v>
      </c>
      <c r="M846" s="71"/>
      <c r="N846" s="63">
        <f>IFERROR(VLOOKUP($B846,'TB YTD'!$4:$1048576,MATCH('List of Ledgers '!N$4,'TB YTD'!$4:$4,0),0),0)</f>
        <v>0</v>
      </c>
      <c r="O846" s="63">
        <f>IFERROR(VLOOKUP($B846,'TB YTD'!$4:$1048576,MATCH('List of Ledgers '!O$4,'TB YTD'!$4:$4,0),0),0)</f>
        <v>9671</v>
      </c>
      <c r="P846" s="63">
        <f>IFERROR(VLOOKUP($B846,'TB YTD'!$4:$1048576,MATCH('List of Ledgers '!P$4,'TB YTD'!$4:$4,0),0),0)</f>
        <v>0</v>
      </c>
      <c r="Q846" s="63">
        <f>IFERROR(VLOOKUP($B846,'TB YTD'!$4:$1048576,MATCH('List of Ledgers '!Q$4,'TB YTD'!$4:$4,0),0),0)</f>
        <v>9671</v>
      </c>
      <c r="R846" s="63"/>
    </row>
    <row r="847" spans="1:19" hidden="1" x14ac:dyDescent="0.25">
      <c r="A847" s="165">
        <f>A846+1</f>
        <v>798</v>
      </c>
      <c r="B847" s="2" t="s">
        <v>1267</v>
      </c>
      <c r="C847" s="2" t="s">
        <v>275</v>
      </c>
      <c r="D847" s="17" t="s">
        <v>151</v>
      </c>
      <c r="E847" s="17" t="s">
        <v>152</v>
      </c>
      <c r="F847" s="12" t="s">
        <v>59</v>
      </c>
      <c r="G847" s="17" t="s">
        <v>7</v>
      </c>
      <c r="I847" s="37">
        <f>IFERROR(VLOOKUP(B847,'TB '!$A:$G,7,),0)</f>
        <v>0</v>
      </c>
      <c r="J847" s="37">
        <f>IFERROR(VLOOKUP($B847,'TB '!$4:$1048576,MATCH('List of Ledgers '!J$4,'TB '!$4:$4,0),0),0)</f>
        <v>0</v>
      </c>
      <c r="K847" s="37">
        <f>IFERROR(VLOOKUP($B847,'TB '!$4:$1048576,MATCH('List of Ledgers '!K$4,'TB '!$4:$4,0),0),0)</f>
        <v>0</v>
      </c>
      <c r="L847" s="37">
        <f>IFERROR(VLOOKUP(B847,'TB '!$A:$J,10,),0)</f>
        <v>0</v>
      </c>
      <c r="M847" s="71"/>
      <c r="N847" s="63">
        <f>IFERROR(VLOOKUP($B847,'TB YTD'!$4:$1048576,MATCH('List of Ledgers '!N$4,'TB YTD'!$4:$4,0),0),0)</f>
        <v>0</v>
      </c>
      <c r="O847" s="63">
        <f>IFERROR(VLOOKUP($B847,'TB YTD'!$4:$1048576,MATCH('List of Ledgers '!O$4,'TB YTD'!$4:$4,0),0),0)</f>
        <v>1723</v>
      </c>
      <c r="P847" s="63">
        <f>IFERROR(VLOOKUP($B847,'TB YTD'!$4:$1048576,MATCH('List of Ledgers '!P$4,'TB YTD'!$4:$4,0),0),0)</f>
        <v>0</v>
      </c>
      <c r="Q847" s="63">
        <f>IFERROR(VLOOKUP($B847,'TB YTD'!$4:$1048576,MATCH('List of Ledgers '!Q$4,'TB YTD'!$4:$4,0),0),0)</f>
        <v>1723</v>
      </c>
      <c r="R847" s="63"/>
    </row>
    <row r="848" spans="1:19" hidden="1" x14ac:dyDescent="0.25">
      <c r="A848" s="165">
        <v>798</v>
      </c>
      <c r="B848" s="2" t="s">
        <v>1036</v>
      </c>
      <c r="C848" s="2" t="s">
        <v>1032</v>
      </c>
      <c r="D848" s="17" t="s">
        <v>128</v>
      </c>
      <c r="E848" s="17" t="s">
        <v>131</v>
      </c>
      <c r="G848" s="17" t="s">
        <v>9</v>
      </c>
      <c r="I848" s="37">
        <f>IFERROR(VLOOKUP(B848,'TB '!$A:$G,7,),0)</f>
        <v>0</v>
      </c>
      <c r="J848" s="37">
        <f>IFERROR(VLOOKUP($B848,'TB '!$4:$1048576,MATCH('List of Ledgers '!J$4,'TB '!$4:$4,0),0),0)</f>
        <v>0</v>
      </c>
      <c r="K848" s="37">
        <f>IFERROR(VLOOKUP($B848,'TB '!$4:$1048576,MATCH('List of Ledgers '!K$4,'TB '!$4:$4,0),0),0)</f>
        <v>0</v>
      </c>
      <c r="L848" s="37">
        <f>IFERROR(VLOOKUP(B848,'TB '!$A:$J,10,),0)</f>
        <v>0</v>
      </c>
      <c r="N848" s="63">
        <f>IFERROR(VLOOKUP($B848,'TB YTD'!$4:$1048576,MATCH('List of Ledgers '!N$4,'TB YTD'!$4:$4,0),0),0)</f>
        <v>0</v>
      </c>
      <c r="O848" s="63">
        <f>IFERROR(VLOOKUP($B848,'TB YTD'!$4:$1048576,MATCH('List of Ledgers '!O$4,'TB YTD'!$4:$4,0),0),0)</f>
        <v>651000</v>
      </c>
      <c r="P848" s="63">
        <f>IFERROR(VLOOKUP($B848,'TB YTD'!$4:$1048576,MATCH('List of Ledgers '!P$4,'TB YTD'!$4:$4,0),0),0)</f>
        <v>651000</v>
      </c>
      <c r="Q848" s="63">
        <f>IFERROR(VLOOKUP($B848,'TB YTD'!$4:$1048576,MATCH('List of Ledgers '!Q$4,'TB YTD'!$4:$4,0),0),0)</f>
        <v>0</v>
      </c>
    </row>
    <row r="849" spans="1:18" hidden="1" x14ac:dyDescent="0.25">
      <c r="A849" s="165">
        <f>A848+1</f>
        <v>799</v>
      </c>
      <c r="B849" s="2" t="s">
        <v>1227</v>
      </c>
      <c r="C849" s="2" t="s">
        <v>1032</v>
      </c>
      <c r="D849" s="17" t="s">
        <v>128</v>
      </c>
      <c r="E849" s="17" t="s">
        <v>131</v>
      </c>
      <c r="G849" s="17" t="s">
        <v>9</v>
      </c>
      <c r="I849" s="37">
        <f>IFERROR(VLOOKUP(B849,'TB '!$A:$G,7,),0)</f>
        <v>0</v>
      </c>
      <c r="J849" s="37">
        <f>IFERROR(VLOOKUP($B849,'TB '!$4:$1048576,MATCH('List of Ledgers '!J$4,'TB '!$4:$4,0),0),0)</f>
        <v>3627173</v>
      </c>
      <c r="K849" s="37">
        <f>IFERROR(VLOOKUP($B849,'TB '!$4:$1048576,MATCH('List of Ledgers '!K$4,'TB '!$4:$4,0),0),0)</f>
        <v>3627173</v>
      </c>
      <c r="L849" s="37">
        <f>IFERROR(VLOOKUP(B849,'TB '!$A:$J,10,),0)</f>
        <v>0</v>
      </c>
      <c r="M849" s="71"/>
      <c r="N849" s="63">
        <f>IFERROR(VLOOKUP($B849,'TB YTD'!$4:$1048576,MATCH('List of Ledgers '!N$4,'TB YTD'!$4:$4,0),0),0)</f>
        <v>0</v>
      </c>
      <c r="O849" s="63">
        <f>IFERROR(VLOOKUP($B849,'TB YTD'!$4:$1048576,MATCH('List of Ledgers '!O$4,'TB YTD'!$4:$4,0),0),0)</f>
        <v>6390774</v>
      </c>
      <c r="P849" s="63">
        <f>IFERROR(VLOOKUP($B849,'TB YTD'!$4:$1048576,MATCH('List of Ledgers '!P$4,'TB YTD'!$4:$4,0),0),0)</f>
        <v>6390774</v>
      </c>
      <c r="Q849" s="63">
        <f>IFERROR(VLOOKUP($B849,'TB YTD'!$4:$1048576,MATCH('List of Ledgers '!Q$4,'TB YTD'!$4:$4,0),0),0)</f>
        <v>0</v>
      </c>
      <c r="R849" s="63"/>
    </row>
    <row r="850" spans="1:18" hidden="1" x14ac:dyDescent="0.25">
      <c r="A850" s="165">
        <v>799</v>
      </c>
      <c r="B850" s="2" t="s">
        <v>1037</v>
      </c>
      <c r="C850" s="2" t="s">
        <v>733</v>
      </c>
      <c r="D850" s="17" t="s">
        <v>151</v>
      </c>
      <c r="E850" s="17" t="s">
        <v>362</v>
      </c>
      <c r="F850" s="12" t="s">
        <v>93</v>
      </c>
      <c r="G850" s="17" t="s">
        <v>9</v>
      </c>
      <c r="I850" s="37">
        <f>IFERROR(VLOOKUP(B850,'TB '!$A:$G,7,),0)</f>
        <v>0</v>
      </c>
      <c r="J850" s="37">
        <f>IFERROR(VLOOKUP($B850,'TB '!$4:$1048576,MATCH('List of Ledgers '!J$4,'TB '!$4:$4,0),0),0)</f>
        <v>0</v>
      </c>
      <c r="K850" s="37">
        <f>IFERROR(VLOOKUP($B850,'TB '!$4:$1048576,MATCH('List of Ledgers '!K$4,'TB '!$4:$4,0),0),0)</f>
        <v>286217</v>
      </c>
      <c r="L850" s="37">
        <f>IFERROR(VLOOKUP(B850,'TB '!$A:$J,10,),0)</f>
        <v>-286217</v>
      </c>
      <c r="N850" s="63">
        <f>IFERROR(VLOOKUP($B850,'TB YTD'!$4:$1048576,MATCH('List of Ledgers '!N$4,'TB YTD'!$4:$4,0),0),0)</f>
        <v>0</v>
      </c>
      <c r="O850" s="63">
        <f>IFERROR(VLOOKUP($B850,'TB YTD'!$4:$1048576,MATCH('List of Ledgers '!O$4,'TB YTD'!$4:$4,0),0),0)</f>
        <v>0</v>
      </c>
      <c r="P850" s="63">
        <f>IFERROR(VLOOKUP($B850,'TB YTD'!$4:$1048576,MATCH('List of Ledgers '!P$4,'TB YTD'!$4:$4,0),0),0)</f>
        <v>676011</v>
      </c>
      <c r="Q850" s="63">
        <f>IFERROR(VLOOKUP($B850,'TB YTD'!$4:$1048576,MATCH('List of Ledgers '!Q$4,'TB YTD'!$4:$4,0),0),0)</f>
        <v>-676011</v>
      </c>
    </row>
    <row r="851" spans="1:18" hidden="1" x14ac:dyDescent="0.25">
      <c r="A851" s="165">
        <f>A850+1</f>
        <v>800</v>
      </c>
      <c r="B851" s="2" t="s">
        <v>1260</v>
      </c>
      <c r="C851" s="2" t="s">
        <v>1079</v>
      </c>
      <c r="D851" s="17" t="s">
        <v>128</v>
      </c>
      <c r="E851" s="17" t="s">
        <v>134</v>
      </c>
      <c r="G851" s="17" t="s">
        <v>9</v>
      </c>
      <c r="I851" s="37">
        <f>IFERROR(VLOOKUP(B851,'TB '!$A:$G,7,),0)</f>
        <v>-53418.33</v>
      </c>
      <c r="J851" s="37">
        <f>IFERROR(VLOOKUP($B851,'TB '!$4:$1048576,MATCH('List of Ledgers '!J$4,'TB '!$4:$4,0),0),0)</f>
        <v>4670837</v>
      </c>
      <c r="K851" s="37">
        <f>IFERROR(VLOOKUP($B851,'TB '!$4:$1048576,MATCH('List of Ledgers '!K$4,'TB '!$4:$4,0),0),0)</f>
        <v>0</v>
      </c>
      <c r="L851" s="37">
        <f>IFERROR(VLOOKUP(B851,'TB '!$A:$J,10,),0)</f>
        <v>4617418.67</v>
      </c>
      <c r="M851" s="71"/>
      <c r="N851" s="63">
        <f>IFERROR(VLOOKUP($B851,'TB YTD'!$4:$1048576,MATCH('List of Ledgers '!N$4,'TB YTD'!$4:$4,0),0),0)</f>
        <v>0</v>
      </c>
      <c r="O851" s="63">
        <f>IFERROR(VLOOKUP($B851,'TB YTD'!$4:$1048576,MATCH('List of Ledgers '!O$4,'TB YTD'!$4:$4,0),0),0)</f>
        <v>7503678</v>
      </c>
      <c r="P851" s="63">
        <f>IFERROR(VLOOKUP($B851,'TB YTD'!$4:$1048576,MATCH('List of Ledgers '!P$4,'TB YTD'!$4:$4,0),0),0)</f>
        <v>2886259.33</v>
      </c>
      <c r="Q851" s="63">
        <f>IFERROR(VLOOKUP($B851,'TB YTD'!$4:$1048576,MATCH('List of Ledgers '!Q$4,'TB YTD'!$4:$4,0),0),0)</f>
        <v>4617418.67</v>
      </c>
      <c r="R851" s="63"/>
    </row>
    <row r="852" spans="1:18" hidden="1" x14ac:dyDescent="0.25">
      <c r="A852" s="165">
        <v>800</v>
      </c>
      <c r="B852" s="2" t="s">
        <v>1038</v>
      </c>
      <c r="C852" s="2" t="s">
        <v>437</v>
      </c>
      <c r="I852" s="37">
        <f>IFERROR(VLOOKUP(B852,'TB '!$A:$G,7,),0)</f>
        <v>-3329</v>
      </c>
      <c r="J852" s="37">
        <f>IFERROR(VLOOKUP($B852,'TB '!$4:$1048576,MATCH('List of Ledgers '!J$4,'TB '!$4:$4,0),0),0)</f>
        <v>0</v>
      </c>
      <c r="K852" s="37">
        <f>IFERROR(VLOOKUP($B852,'TB '!$4:$1048576,MATCH('List of Ledgers '!K$4,'TB '!$4:$4,0),0),0)</f>
        <v>0</v>
      </c>
      <c r="L852" s="37">
        <f>IFERROR(VLOOKUP(B852,'TB '!$A:$J,10,),0)</f>
        <v>-3329</v>
      </c>
      <c r="N852" s="63">
        <f>IFERROR(VLOOKUP($B852,'TB YTD'!$4:$1048576,MATCH('List of Ledgers '!N$4,'TB YTD'!$4:$4,0),0),0)</f>
        <v>0</v>
      </c>
      <c r="O852" s="63">
        <f>IFERROR(VLOOKUP($B852,'TB YTD'!$4:$1048576,MATCH('List of Ledgers '!O$4,'TB YTD'!$4:$4,0),0),0)</f>
        <v>5000000</v>
      </c>
      <c r="P852" s="63">
        <f>IFERROR(VLOOKUP($B852,'TB YTD'!$4:$1048576,MATCH('List of Ledgers '!P$4,'TB YTD'!$4:$4,0),0),0)</f>
        <v>5003329</v>
      </c>
      <c r="Q852" s="63">
        <f>IFERROR(VLOOKUP($B852,'TB YTD'!$4:$1048576,MATCH('List of Ledgers '!Q$4,'TB YTD'!$4:$4,0),0),0)</f>
        <v>-3329</v>
      </c>
    </row>
    <row r="853" spans="1:18" hidden="1" x14ac:dyDescent="0.25">
      <c r="A853" s="165">
        <v>801</v>
      </c>
      <c r="B853" s="2" t="s">
        <v>1039</v>
      </c>
      <c r="C853" s="2" t="s">
        <v>437</v>
      </c>
      <c r="I853" s="37">
        <f>IFERROR(VLOOKUP(B853,'TB '!$A:$G,7,),0)</f>
        <v>-3329</v>
      </c>
      <c r="J853" s="37">
        <f>IFERROR(VLOOKUP($B853,'TB '!$4:$1048576,MATCH('List of Ledgers '!J$4,'TB '!$4:$4,0),0),0)</f>
        <v>0</v>
      </c>
      <c r="K853" s="37">
        <f>IFERROR(VLOOKUP($B853,'TB '!$4:$1048576,MATCH('List of Ledgers '!K$4,'TB '!$4:$4,0),0),0)</f>
        <v>0</v>
      </c>
      <c r="L853" s="37">
        <f>IFERROR(VLOOKUP(B853,'TB '!$A:$J,10,),0)</f>
        <v>-3329</v>
      </c>
      <c r="N853" s="63">
        <f>IFERROR(VLOOKUP($B853,'TB YTD'!$4:$1048576,MATCH('List of Ledgers '!N$4,'TB YTD'!$4:$4,0),0),0)</f>
        <v>0</v>
      </c>
      <c r="O853" s="63">
        <f>IFERROR(VLOOKUP($B853,'TB YTD'!$4:$1048576,MATCH('List of Ledgers '!O$4,'TB YTD'!$4:$4,0),0),0)</f>
        <v>5000000</v>
      </c>
      <c r="P853" s="63">
        <f>IFERROR(VLOOKUP($B853,'TB YTD'!$4:$1048576,MATCH('List of Ledgers '!P$4,'TB YTD'!$4:$4,0),0),0)</f>
        <v>5003329</v>
      </c>
      <c r="Q853" s="63">
        <f>IFERROR(VLOOKUP($B853,'TB YTD'!$4:$1048576,MATCH('List of Ledgers '!Q$4,'TB YTD'!$4:$4,0),0),0)</f>
        <v>-3329</v>
      </c>
    </row>
    <row r="854" spans="1:18" hidden="1" x14ac:dyDescent="0.25">
      <c r="A854" s="165">
        <v>802</v>
      </c>
      <c r="B854" s="2" t="s">
        <v>1040</v>
      </c>
      <c r="C854" s="2" t="s">
        <v>437</v>
      </c>
      <c r="I854" s="37">
        <f>IFERROR(VLOOKUP(B854,'TB '!$A:$G,7,),0)</f>
        <v>-2663</v>
      </c>
      <c r="J854" s="37">
        <f>IFERROR(VLOOKUP($B854,'TB '!$4:$1048576,MATCH('List of Ledgers '!J$4,'TB '!$4:$4,0),0),0)</f>
        <v>0</v>
      </c>
      <c r="K854" s="37">
        <f>IFERROR(VLOOKUP($B854,'TB '!$4:$1048576,MATCH('List of Ledgers '!K$4,'TB '!$4:$4,0),0),0)</f>
        <v>0</v>
      </c>
      <c r="L854" s="37">
        <f>IFERROR(VLOOKUP(B854,'TB '!$A:$J,10,),0)</f>
        <v>-2663</v>
      </c>
      <c r="N854" s="63">
        <f>IFERROR(VLOOKUP($B854,'TB YTD'!$4:$1048576,MATCH('List of Ledgers '!N$4,'TB YTD'!$4:$4,0),0),0)</f>
        <v>0</v>
      </c>
      <c r="O854" s="63">
        <f>IFERROR(VLOOKUP($B854,'TB YTD'!$4:$1048576,MATCH('List of Ledgers '!O$4,'TB YTD'!$4:$4,0),0),0)</f>
        <v>4000000</v>
      </c>
      <c r="P854" s="63">
        <f>IFERROR(VLOOKUP($B854,'TB YTD'!$4:$1048576,MATCH('List of Ledgers '!P$4,'TB YTD'!$4:$4,0),0),0)</f>
        <v>4002663</v>
      </c>
      <c r="Q854" s="63">
        <f>IFERROR(VLOOKUP($B854,'TB YTD'!$4:$1048576,MATCH('List of Ledgers '!Q$4,'TB YTD'!$4:$4,0),0),0)</f>
        <v>-2663</v>
      </c>
    </row>
    <row r="855" spans="1:18" hidden="1" x14ac:dyDescent="0.25">
      <c r="A855" s="165">
        <v>803</v>
      </c>
      <c r="B855" s="2" t="s">
        <v>1041</v>
      </c>
      <c r="C855" s="2" t="s">
        <v>437</v>
      </c>
      <c r="I855" s="37">
        <f>IFERROR(VLOOKUP(B855,'TB '!$A:$G,7,),0)</f>
        <v>-56</v>
      </c>
      <c r="J855" s="37">
        <f>IFERROR(VLOOKUP($B855,'TB '!$4:$1048576,MATCH('List of Ledgers '!J$4,'TB '!$4:$4,0),0),0)</f>
        <v>0</v>
      </c>
      <c r="K855" s="37">
        <f>IFERROR(VLOOKUP($B855,'TB '!$4:$1048576,MATCH('List of Ledgers '!K$4,'TB '!$4:$4,0),0),0)</f>
        <v>0</v>
      </c>
      <c r="L855" s="37">
        <f>IFERROR(VLOOKUP(B855,'TB '!$A:$J,10,),0)</f>
        <v>-56</v>
      </c>
      <c r="N855" s="63">
        <f>IFERROR(VLOOKUP($B855,'TB YTD'!$4:$1048576,MATCH('List of Ledgers '!N$4,'TB YTD'!$4:$4,0),0),0)</f>
        <v>0</v>
      </c>
      <c r="O855" s="63">
        <f>IFERROR(VLOOKUP($B855,'TB YTD'!$4:$1048576,MATCH('List of Ledgers '!O$4,'TB YTD'!$4:$4,0),0),0)</f>
        <v>1000000</v>
      </c>
      <c r="P855" s="63">
        <f>IFERROR(VLOOKUP($B855,'TB YTD'!$4:$1048576,MATCH('List of Ledgers '!P$4,'TB YTD'!$4:$4,0),0),0)</f>
        <v>1000056</v>
      </c>
      <c r="Q855" s="63">
        <f>IFERROR(VLOOKUP($B855,'TB YTD'!$4:$1048576,MATCH('List of Ledgers '!Q$4,'TB YTD'!$4:$4,0),0),0)</f>
        <v>-56</v>
      </c>
    </row>
    <row r="856" spans="1:18" hidden="1" x14ac:dyDescent="0.25">
      <c r="A856" s="165">
        <v>804</v>
      </c>
      <c r="B856" s="2" t="s">
        <v>1042</v>
      </c>
      <c r="C856" s="2" t="s">
        <v>437</v>
      </c>
      <c r="I856" s="37">
        <f>IFERROR(VLOOKUP(B856,'TB '!$A:$G,7,),0)</f>
        <v>0</v>
      </c>
      <c r="J856" s="37">
        <f>IFERROR(VLOOKUP($B856,'TB '!$4:$1048576,MATCH('List of Ledgers '!J$4,'TB '!$4:$4,0),0),0)</f>
        <v>0</v>
      </c>
      <c r="K856" s="37">
        <f>IFERROR(VLOOKUP($B856,'TB '!$4:$1048576,MATCH('List of Ledgers '!K$4,'TB '!$4:$4,0),0),0)</f>
        <v>0</v>
      </c>
      <c r="L856" s="37">
        <f>IFERROR(VLOOKUP(B856,'TB '!$A:$J,10,),0)</f>
        <v>0</v>
      </c>
      <c r="N856" s="63">
        <f>IFERROR(VLOOKUP($B856,'TB YTD'!$4:$1048576,MATCH('List of Ledgers '!N$4,'TB YTD'!$4:$4,0),0),0)</f>
        <v>0</v>
      </c>
      <c r="O856" s="63">
        <f>IFERROR(VLOOKUP($B856,'TB YTD'!$4:$1048576,MATCH('List of Ledgers '!O$4,'TB YTD'!$4:$4,0),0),0)</f>
        <v>1000000</v>
      </c>
      <c r="P856" s="63">
        <f>IFERROR(VLOOKUP($B856,'TB YTD'!$4:$1048576,MATCH('List of Ledgers '!P$4,'TB YTD'!$4:$4,0),0),0)</f>
        <v>1000000</v>
      </c>
      <c r="Q856" s="63">
        <f>IFERROR(VLOOKUP($B856,'TB YTD'!$4:$1048576,MATCH('List of Ledgers '!Q$4,'TB YTD'!$4:$4,0),0),0)</f>
        <v>0</v>
      </c>
    </row>
    <row r="857" spans="1:18" hidden="1" x14ac:dyDescent="0.25">
      <c r="A857" s="165">
        <v>805</v>
      </c>
      <c r="B857" s="2" t="s">
        <v>1043</v>
      </c>
      <c r="C857" s="2" t="s">
        <v>437</v>
      </c>
      <c r="I857" s="37">
        <f>IFERROR(VLOOKUP(B857,'TB '!$A:$G,7,),0)</f>
        <v>0</v>
      </c>
      <c r="J857" s="37">
        <f>IFERROR(VLOOKUP($B857,'TB '!$4:$1048576,MATCH('List of Ledgers '!J$4,'TB '!$4:$4,0),0),0)</f>
        <v>0</v>
      </c>
      <c r="K857" s="37">
        <f>IFERROR(VLOOKUP($B857,'TB '!$4:$1048576,MATCH('List of Ledgers '!K$4,'TB '!$4:$4,0),0),0)</f>
        <v>0</v>
      </c>
      <c r="L857" s="37">
        <f>IFERROR(VLOOKUP(B857,'TB '!$A:$J,10,),0)</f>
        <v>0</v>
      </c>
      <c r="N857" s="63">
        <f>IFERROR(VLOOKUP($B857,'TB YTD'!$4:$1048576,MATCH('List of Ledgers '!N$4,'TB YTD'!$4:$4,0),0),0)</f>
        <v>0</v>
      </c>
      <c r="O857" s="63">
        <f>IFERROR(VLOOKUP($B857,'TB YTD'!$4:$1048576,MATCH('List of Ledgers '!O$4,'TB YTD'!$4:$4,0),0),0)</f>
        <v>1000000</v>
      </c>
      <c r="P857" s="63">
        <f>IFERROR(VLOOKUP($B857,'TB YTD'!$4:$1048576,MATCH('List of Ledgers '!P$4,'TB YTD'!$4:$4,0),0),0)</f>
        <v>1000000</v>
      </c>
      <c r="Q857" s="63">
        <f>IFERROR(VLOOKUP($B857,'TB YTD'!$4:$1048576,MATCH('List of Ledgers '!Q$4,'TB YTD'!$4:$4,0),0),0)</f>
        <v>0</v>
      </c>
    </row>
    <row r="858" spans="1:18" hidden="1" x14ac:dyDescent="0.25">
      <c r="A858" s="165">
        <v>806</v>
      </c>
      <c r="B858" s="2" t="s">
        <v>1044</v>
      </c>
      <c r="C858" s="2" t="s">
        <v>437</v>
      </c>
      <c r="I858" s="37">
        <f>IFERROR(VLOOKUP(B858,'TB '!$A:$G,7,),0)</f>
        <v>0</v>
      </c>
      <c r="J858" s="37">
        <f>IFERROR(VLOOKUP($B858,'TB '!$4:$1048576,MATCH('List of Ledgers '!J$4,'TB '!$4:$4,0),0),0)</f>
        <v>0</v>
      </c>
      <c r="K858" s="37">
        <f>IFERROR(VLOOKUP($B858,'TB '!$4:$1048576,MATCH('List of Ledgers '!K$4,'TB '!$4:$4,0),0),0)</f>
        <v>0</v>
      </c>
      <c r="L858" s="37">
        <f>IFERROR(VLOOKUP(B858,'TB '!$A:$J,10,),0)</f>
        <v>0</v>
      </c>
      <c r="N858" s="63">
        <f>IFERROR(VLOOKUP($B858,'TB YTD'!$4:$1048576,MATCH('List of Ledgers '!N$4,'TB YTD'!$4:$4,0),0),0)</f>
        <v>0</v>
      </c>
      <c r="O858" s="63">
        <f>IFERROR(VLOOKUP($B858,'TB YTD'!$4:$1048576,MATCH('List of Ledgers '!O$4,'TB YTD'!$4:$4,0),0),0)</f>
        <v>1000000</v>
      </c>
      <c r="P858" s="63">
        <f>IFERROR(VLOOKUP($B858,'TB YTD'!$4:$1048576,MATCH('List of Ledgers '!P$4,'TB YTD'!$4:$4,0),0),0)</f>
        <v>1000000</v>
      </c>
      <c r="Q858" s="63">
        <f>IFERROR(VLOOKUP($B858,'TB YTD'!$4:$1048576,MATCH('List of Ledgers '!Q$4,'TB YTD'!$4:$4,0),0),0)</f>
        <v>0</v>
      </c>
    </row>
    <row r="859" spans="1:18" hidden="1" x14ac:dyDescent="0.25">
      <c r="A859" s="165">
        <v>807</v>
      </c>
      <c r="B859" s="2" t="s">
        <v>1045</v>
      </c>
      <c r="C859" s="2" t="s">
        <v>437</v>
      </c>
      <c r="I859" s="37">
        <f>IFERROR(VLOOKUP(B859,'TB '!$A:$G,7,),0)</f>
        <v>0</v>
      </c>
      <c r="J859" s="37">
        <f>IFERROR(VLOOKUP($B859,'TB '!$4:$1048576,MATCH('List of Ledgers '!J$4,'TB '!$4:$4,0),0),0)</f>
        <v>0</v>
      </c>
      <c r="K859" s="37">
        <f>IFERROR(VLOOKUP($B859,'TB '!$4:$1048576,MATCH('List of Ledgers '!K$4,'TB '!$4:$4,0),0),0)</f>
        <v>0</v>
      </c>
      <c r="L859" s="37">
        <f>IFERROR(VLOOKUP(B859,'TB '!$A:$J,10,),0)</f>
        <v>0</v>
      </c>
      <c r="N859" s="63">
        <f>IFERROR(VLOOKUP($B859,'TB YTD'!$4:$1048576,MATCH('List of Ledgers '!N$4,'TB YTD'!$4:$4,0),0),0)</f>
        <v>0</v>
      </c>
      <c r="O859" s="63">
        <f>IFERROR(VLOOKUP($B859,'TB YTD'!$4:$1048576,MATCH('List of Ledgers '!O$4,'TB YTD'!$4:$4,0),0),0)</f>
        <v>1000000</v>
      </c>
      <c r="P859" s="63">
        <f>IFERROR(VLOOKUP($B859,'TB YTD'!$4:$1048576,MATCH('List of Ledgers '!P$4,'TB YTD'!$4:$4,0),0),0)</f>
        <v>1000000</v>
      </c>
      <c r="Q859" s="63">
        <f>IFERROR(VLOOKUP($B859,'TB YTD'!$4:$1048576,MATCH('List of Ledgers '!Q$4,'TB YTD'!$4:$4,0),0),0)</f>
        <v>0</v>
      </c>
    </row>
    <row r="860" spans="1:18" hidden="1" x14ac:dyDescent="0.25">
      <c r="A860" s="165">
        <v>808</v>
      </c>
      <c r="B860" s="2" t="s">
        <v>1046</v>
      </c>
      <c r="C860" s="2" t="s">
        <v>437</v>
      </c>
      <c r="I860" s="37">
        <f>IFERROR(VLOOKUP(B860,'TB '!$A:$G,7,),0)</f>
        <v>0</v>
      </c>
      <c r="J860" s="37">
        <f>IFERROR(VLOOKUP($B860,'TB '!$4:$1048576,MATCH('List of Ledgers '!J$4,'TB '!$4:$4,0),0),0)</f>
        <v>0</v>
      </c>
      <c r="K860" s="37">
        <f>IFERROR(VLOOKUP($B860,'TB '!$4:$1048576,MATCH('List of Ledgers '!K$4,'TB '!$4:$4,0),0),0)</f>
        <v>0</v>
      </c>
      <c r="L860" s="37">
        <f>IFERROR(VLOOKUP(B860,'TB '!$A:$J,10,),0)</f>
        <v>0</v>
      </c>
      <c r="N860" s="63">
        <f>IFERROR(VLOOKUP($B860,'TB YTD'!$4:$1048576,MATCH('List of Ledgers '!N$4,'TB YTD'!$4:$4,0),0),0)</f>
        <v>0</v>
      </c>
      <c r="O860" s="63">
        <f>IFERROR(VLOOKUP($B860,'TB YTD'!$4:$1048576,MATCH('List of Ledgers '!O$4,'TB YTD'!$4:$4,0),0),0)</f>
        <v>1000000</v>
      </c>
      <c r="P860" s="63">
        <f>IFERROR(VLOOKUP($B860,'TB YTD'!$4:$1048576,MATCH('List of Ledgers '!P$4,'TB YTD'!$4:$4,0),0),0)</f>
        <v>1000000</v>
      </c>
      <c r="Q860" s="63">
        <f>IFERROR(VLOOKUP($B860,'TB YTD'!$4:$1048576,MATCH('List of Ledgers '!Q$4,'TB YTD'!$4:$4,0),0),0)</f>
        <v>0</v>
      </c>
    </row>
    <row r="861" spans="1:18" hidden="1" x14ac:dyDescent="0.25">
      <c r="A861" s="165">
        <v>809</v>
      </c>
      <c r="B861" s="2" t="s">
        <v>1047</v>
      </c>
      <c r="C861" s="2" t="s">
        <v>437</v>
      </c>
      <c r="I861" s="37">
        <f>IFERROR(VLOOKUP(B861,'TB '!$A:$G,7,),0)</f>
        <v>0</v>
      </c>
      <c r="J861" s="37">
        <f>IFERROR(VLOOKUP($B861,'TB '!$4:$1048576,MATCH('List of Ledgers '!J$4,'TB '!$4:$4,0),0),0)</f>
        <v>0</v>
      </c>
      <c r="K861" s="37">
        <f>IFERROR(VLOOKUP($B861,'TB '!$4:$1048576,MATCH('List of Ledgers '!K$4,'TB '!$4:$4,0),0),0)</f>
        <v>0</v>
      </c>
      <c r="L861" s="37">
        <f>IFERROR(VLOOKUP(B861,'TB '!$A:$J,10,),0)</f>
        <v>0</v>
      </c>
      <c r="N861" s="63">
        <f>IFERROR(VLOOKUP($B861,'TB YTD'!$4:$1048576,MATCH('List of Ledgers '!N$4,'TB YTD'!$4:$4,0),0),0)</f>
        <v>0</v>
      </c>
      <c r="O861" s="63">
        <f>IFERROR(VLOOKUP($B861,'TB YTD'!$4:$1048576,MATCH('List of Ledgers '!O$4,'TB YTD'!$4:$4,0),0),0)</f>
        <v>1000000</v>
      </c>
      <c r="P861" s="63">
        <f>IFERROR(VLOOKUP($B861,'TB YTD'!$4:$1048576,MATCH('List of Ledgers '!P$4,'TB YTD'!$4:$4,0),0),0)</f>
        <v>1000000</v>
      </c>
      <c r="Q861" s="63">
        <f>IFERROR(VLOOKUP($B861,'TB YTD'!$4:$1048576,MATCH('List of Ledgers '!Q$4,'TB YTD'!$4:$4,0),0),0)</f>
        <v>0</v>
      </c>
    </row>
    <row r="862" spans="1:18" hidden="1" x14ac:dyDescent="0.25">
      <c r="A862" s="165">
        <v>810</v>
      </c>
      <c r="B862" s="2" t="s">
        <v>1048</v>
      </c>
      <c r="C862" s="2" t="s">
        <v>437</v>
      </c>
      <c r="I862" s="37">
        <f>IFERROR(VLOOKUP(B862,'TB '!$A:$G,7,),0)</f>
        <v>0</v>
      </c>
      <c r="J862" s="37">
        <f>IFERROR(VLOOKUP($B862,'TB '!$4:$1048576,MATCH('List of Ledgers '!J$4,'TB '!$4:$4,0),0),0)</f>
        <v>0</v>
      </c>
      <c r="K862" s="37">
        <f>IFERROR(VLOOKUP($B862,'TB '!$4:$1048576,MATCH('List of Ledgers '!K$4,'TB '!$4:$4,0),0),0)</f>
        <v>0</v>
      </c>
      <c r="L862" s="37">
        <f>IFERROR(VLOOKUP(B862,'TB '!$A:$J,10,),0)</f>
        <v>0</v>
      </c>
      <c r="N862" s="63">
        <f>IFERROR(VLOOKUP($B862,'TB YTD'!$4:$1048576,MATCH('List of Ledgers '!N$4,'TB YTD'!$4:$4,0),0),0)</f>
        <v>0</v>
      </c>
      <c r="O862" s="63">
        <f>IFERROR(VLOOKUP($B862,'TB YTD'!$4:$1048576,MATCH('List of Ledgers '!O$4,'TB YTD'!$4:$4,0),0),0)</f>
        <v>1000000</v>
      </c>
      <c r="P862" s="63">
        <f>IFERROR(VLOOKUP($B862,'TB YTD'!$4:$1048576,MATCH('List of Ledgers '!P$4,'TB YTD'!$4:$4,0),0),0)</f>
        <v>1000000</v>
      </c>
      <c r="Q862" s="63">
        <f>IFERROR(VLOOKUP($B862,'TB YTD'!$4:$1048576,MATCH('List of Ledgers '!Q$4,'TB YTD'!$4:$4,0),0),0)</f>
        <v>0</v>
      </c>
    </row>
    <row r="863" spans="1:18" hidden="1" x14ac:dyDescent="0.25">
      <c r="A863" s="165">
        <v>811</v>
      </c>
      <c r="B863" s="2" t="s">
        <v>1049</v>
      </c>
      <c r="C863" s="2" t="s">
        <v>437</v>
      </c>
      <c r="I863" s="37">
        <f>IFERROR(VLOOKUP(B863,'TB '!$A:$G,7,),0)</f>
        <v>0</v>
      </c>
      <c r="J863" s="37">
        <f>IFERROR(VLOOKUP($B863,'TB '!$4:$1048576,MATCH('List of Ledgers '!J$4,'TB '!$4:$4,0),0),0)</f>
        <v>0</v>
      </c>
      <c r="K863" s="37">
        <f>IFERROR(VLOOKUP($B863,'TB '!$4:$1048576,MATCH('List of Ledgers '!K$4,'TB '!$4:$4,0),0),0)</f>
        <v>0</v>
      </c>
      <c r="L863" s="37">
        <f>IFERROR(VLOOKUP(B863,'TB '!$A:$J,10,),0)</f>
        <v>0</v>
      </c>
      <c r="N863" s="63">
        <f>IFERROR(VLOOKUP($B863,'TB YTD'!$4:$1048576,MATCH('List of Ledgers '!N$4,'TB YTD'!$4:$4,0),0),0)</f>
        <v>0</v>
      </c>
      <c r="O863" s="63">
        <f>IFERROR(VLOOKUP($B863,'TB YTD'!$4:$1048576,MATCH('List of Ledgers '!O$4,'TB YTD'!$4:$4,0),0),0)</f>
        <v>1000000</v>
      </c>
      <c r="P863" s="63">
        <f>IFERROR(VLOOKUP($B863,'TB YTD'!$4:$1048576,MATCH('List of Ledgers '!P$4,'TB YTD'!$4:$4,0),0),0)</f>
        <v>1000000</v>
      </c>
      <c r="Q863" s="63">
        <f>IFERROR(VLOOKUP($B863,'TB YTD'!$4:$1048576,MATCH('List of Ledgers '!Q$4,'TB YTD'!$4:$4,0),0),0)</f>
        <v>0</v>
      </c>
    </row>
    <row r="864" spans="1:18" hidden="1" x14ac:dyDescent="0.25">
      <c r="A864" s="165">
        <v>812</v>
      </c>
      <c r="B864" s="2" t="s">
        <v>1050</v>
      </c>
      <c r="C864" s="2" t="s">
        <v>140</v>
      </c>
      <c r="D864" s="17" t="s">
        <v>128</v>
      </c>
      <c r="E864" s="17" t="s">
        <v>131</v>
      </c>
      <c r="G864" s="12" t="s">
        <v>7</v>
      </c>
      <c r="I864" s="37">
        <f>IFERROR(VLOOKUP(B864,'TB '!$A:$G,7,),0)</f>
        <v>0</v>
      </c>
      <c r="J864" s="37">
        <f>IFERROR(VLOOKUP($B864,'TB '!$4:$1048576,MATCH('List of Ledgers '!J$4,'TB '!$4:$4,0),0),0)</f>
        <v>0</v>
      </c>
      <c r="K864" s="37">
        <f>IFERROR(VLOOKUP($B864,'TB '!$4:$1048576,MATCH('List of Ledgers '!K$4,'TB '!$4:$4,0),0),0)</f>
        <v>0</v>
      </c>
      <c r="L864" s="37">
        <f>IFERROR(VLOOKUP(B864,'TB '!$A:$J,10,),0)</f>
        <v>0</v>
      </c>
      <c r="N864" s="63">
        <f>IFERROR(VLOOKUP($B864,'TB YTD'!$4:$1048576,MATCH('List of Ledgers '!N$4,'TB YTD'!$4:$4,0),0),0)</f>
        <v>0</v>
      </c>
      <c r="O864" s="63">
        <f>IFERROR(VLOOKUP($B864,'TB YTD'!$4:$1048576,MATCH('List of Ledgers '!O$4,'TB YTD'!$4:$4,0),0),0)</f>
        <v>8364</v>
      </c>
      <c r="P864" s="63">
        <f>IFERROR(VLOOKUP($B864,'TB YTD'!$4:$1048576,MATCH('List of Ledgers '!P$4,'TB YTD'!$4:$4,0),0),0)</f>
        <v>8364</v>
      </c>
      <c r="Q864" s="63">
        <f>IFERROR(VLOOKUP($B864,'TB YTD'!$4:$1048576,MATCH('List of Ledgers '!Q$4,'TB YTD'!$4:$4,0),0),0)</f>
        <v>0</v>
      </c>
    </row>
    <row r="865" spans="1:19" hidden="1" x14ac:dyDescent="0.25">
      <c r="A865" s="165">
        <v>813</v>
      </c>
      <c r="B865" s="2" t="s">
        <v>1051</v>
      </c>
      <c r="C865" s="2" t="s">
        <v>1052</v>
      </c>
      <c r="D865" s="17" t="s">
        <v>128</v>
      </c>
      <c r="E865" s="17" t="s">
        <v>131</v>
      </c>
      <c r="G865" s="12" t="s">
        <v>4</v>
      </c>
      <c r="I865" s="37">
        <f>IFERROR(VLOOKUP(B865,'TB '!$A:$G,7,),0)</f>
        <v>19798</v>
      </c>
      <c r="J865" s="37">
        <f>IFERROR(VLOOKUP($B865,'TB '!$4:$1048576,MATCH('List of Ledgers '!J$4,'TB '!$4:$4,0),0),0)</f>
        <v>790001</v>
      </c>
      <c r="K865" s="37">
        <f>IFERROR(VLOOKUP($B865,'TB '!$4:$1048576,MATCH('List of Ledgers '!K$4,'TB '!$4:$4,0),0),0)</f>
        <v>809799</v>
      </c>
      <c r="L865" s="37">
        <f>IFERROR(VLOOKUP(B865,'TB '!$A:$J,10,),0)</f>
        <v>0</v>
      </c>
      <c r="N865" s="63">
        <f>IFERROR(VLOOKUP($B865,'TB YTD'!$4:$1048576,MATCH('List of Ledgers '!N$4,'TB YTD'!$4:$4,0),0),0)</f>
        <v>0</v>
      </c>
      <c r="O865" s="63">
        <f>IFERROR(VLOOKUP($B865,'TB YTD'!$4:$1048576,MATCH('List of Ledgers '!O$4,'TB YTD'!$4:$4,0),0),0)</f>
        <v>30071711</v>
      </c>
      <c r="P865" s="63">
        <f>IFERROR(VLOOKUP($B865,'TB YTD'!$4:$1048576,MATCH('List of Ledgers '!P$4,'TB YTD'!$4:$4,0),0),0)</f>
        <v>30071711</v>
      </c>
      <c r="Q865" s="63">
        <f>IFERROR(VLOOKUP($B865,'TB YTD'!$4:$1048576,MATCH('List of Ledgers '!Q$4,'TB YTD'!$4:$4,0),0),0)</f>
        <v>0</v>
      </c>
    </row>
    <row r="866" spans="1:19" hidden="1" x14ac:dyDescent="0.25">
      <c r="A866" s="165">
        <v>814</v>
      </c>
      <c r="B866" s="2" t="s">
        <v>1053</v>
      </c>
      <c r="C866" s="2" t="s">
        <v>1052</v>
      </c>
      <c r="D866" s="17" t="s">
        <v>128</v>
      </c>
      <c r="E866" s="17" t="s">
        <v>131</v>
      </c>
      <c r="G866" s="12" t="s">
        <v>4</v>
      </c>
      <c r="I866" s="37">
        <f>IFERROR(VLOOKUP(B866,'TB '!$A:$G,7,),0)</f>
        <v>0</v>
      </c>
      <c r="J866" s="37">
        <f>IFERROR(VLOOKUP($B866,'TB '!$4:$1048576,MATCH('List of Ledgers '!J$4,'TB '!$4:$4,0),0),0)</f>
        <v>0</v>
      </c>
      <c r="K866" s="37">
        <f>IFERROR(VLOOKUP($B866,'TB '!$4:$1048576,MATCH('List of Ledgers '!K$4,'TB '!$4:$4,0),0),0)</f>
        <v>0</v>
      </c>
      <c r="L866" s="37">
        <f>IFERROR(VLOOKUP(B866,'TB '!$A:$J,10,),0)</f>
        <v>0</v>
      </c>
      <c r="N866" s="63">
        <f>IFERROR(VLOOKUP($B866,'TB YTD'!$4:$1048576,MATCH('List of Ledgers '!N$4,'TB YTD'!$4:$4,0),0),0)</f>
        <v>0</v>
      </c>
      <c r="O866" s="63">
        <f>IFERROR(VLOOKUP($B866,'TB YTD'!$4:$1048576,MATCH('List of Ledgers '!O$4,'TB YTD'!$4:$4,0),0),0)</f>
        <v>0</v>
      </c>
      <c r="P866" s="63">
        <f>IFERROR(VLOOKUP($B866,'TB YTD'!$4:$1048576,MATCH('List of Ledgers '!P$4,'TB YTD'!$4:$4,0),0),0)</f>
        <v>0</v>
      </c>
      <c r="Q866" s="63">
        <f>IFERROR(VLOOKUP($B866,'TB YTD'!$4:$1048576,MATCH('List of Ledgers '!Q$4,'TB YTD'!$4:$4,0),0),0)</f>
        <v>0</v>
      </c>
    </row>
    <row r="867" spans="1:19" hidden="1" x14ac:dyDescent="0.25">
      <c r="A867" s="165">
        <v>815</v>
      </c>
      <c r="B867" s="2" t="s">
        <v>1054</v>
      </c>
      <c r="C867" s="2" t="s">
        <v>1032</v>
      </c>
      <c r="D867" s="17" t="s">
        <v>128</v>
      </c>
      <c r="E867" s="17" t="s">
        <v>131</v>
      </c>
      <c r="G867" s="17" t="s">
        <v>9</v>
      </c>
      <c r="I867" s="37">
        <f>IFERROR(VLOOKUP(B867,'TB '!$A:$G,7,),0)</f>
        <v>0</v>
      </c>
      <c r="J867" s="37">
        <f>IFERROR(VLOOKUP($B867,'TB '!$4:$1048576,MATCH('List of Ledgers '!J$4,'TB '!$4:$4,0),0),0)</f>
        <v>609000</v>
      </c>
      <c r="K867" s="37">
        <f>IFERROR(VLOOKUP($B867,'TB '!$4:$1048576,MATCH('List of Ledgers '!K$4,'TB '!$4:$4,0),0),0)</f>
        <v>609000</v>
      </c>
      <c r="L867" s="37">
        <f>IFERROR(VLOOKUP(B867,'TB '!$A:$J,10,),0)</f>
        <v>0</v>
      </c>
      <c r="N867" s="63">
        <f>IFERROR(VLOOKUP($B867,'TB YTD'!$4:$1048576,MATCH('List of Ledgers '!N$4,'TB YTD'!$4:$4,0),0),0)</f>
        <v>0</v>
      </c>
      <c r="O867" s="63">
        <f>IFERROR(VLOOKUP($B867,'TB YTD'!$4:$1048576,MATCH('List of Ledgers '!O$4,'TB YTD'!$4:$4,0),0),0)</f>
        <v>2416050</v>
      </c>
      <c r="P867" s="63">
        <f>IFERROR(VLOOKUP($B867,'TB YTD'!$4:$1048576,MATCH('List of Ledgers '!P$4,'TB YTD'!$4:$4,0),0),0)</f>
        <v>2416050</v>
      </c>
      <c r="Q867" s="63">
        <f>IFERROR(VLOOKUP($B867,'TB YTD'!$4:$1048576,MATCH('List of Ledgers '!Q$4,'TB YTD'!$4:$4,0),0),0)</f>
        <v>0</v>
      </c>
    </row>
    <row r="868" spans="1:19" hidden="1" x14ac:dyDescent="0.25">
      <c r="A868" s="165">
        <v>816</v>
      </c>
      <c r="B868" s="2" t="s">
        <v>1055</v>
      </c>
      <c r="C868" s="2" t="s">
        <v>1034</v>
      </c>
      <c r="D868" s="17" t="s">
        <v>151</v>
      </c>
      <c r="E868" s="17" t="s">
        <v>152</v>
      </c>
      <c r="F868" s="12" t="s">
        <v>63</v>
      </c>
      <c r="G868" s="17" t="s">
        <v>9</v>
      </c>
      <c r="I868" s="37">
        <f>IFERROR(VLOOKUP(B868,'TB '!$A:$G,7,),0)</f>
        <v>0</v>
      </c>
      <c r="J868" s="37">
        <f>IFERROR(VLOOKUP($B868,'TB '!$4:$1048576,MATCH('List of Ledgers '!J$4,'TB '!$4:$4,0),0),0)</f>
        <v>83517</v>
      </c>
      <c r="K868" s="37">
        <f>IFERROR(VLOOKUP($B868,'TB '!$4:$1048576,MATCH('List of Ledgers '!K$4,'TB '!$4:$4,0),0),0)</f>
        <v>0</v>
      </c>
      <c r="L868" s="37">
        <f>IFERROR(VLOOKUP(B868,'TB '!$A:$J,10,),0)</f>
        <v>83517</v>
      </c>
      <c r="N868" s="63">
        <f>IFERROR(VLOOKUP($B868,'TB YTD'!$4:$1048576,MATCH('List of Ledgers '!N$4,'TB YTD'!$4:$4,0),0),0)</f>
        <v>0</v>
      </c>
      <c r="O868" s="63">
        <f>IFERROR(VLOOKUP($B868,'TB YTD'!$4:$1048576,MATCH('List of Ledgers '!O$4,'TB YTD'!$4:$4,0),0),0)</f>
        <v>318967</v>
      </c>
      <c r="P868" s="63">
        <f>IFERROR(VLOOKUP($B868,'TB YTD'!$4:$1048576,MATCH('List of Ledgers '!P$4,'TB YTD'!$4:$4,0),0),0)</f>
        <v>0</v>
      </c>
      <c r="Q868" s="63">
        <f>IFERROR(VLOOKUP($B868,'TB YTD'!$4:$1048576,MATCH('List of Ledgers '!Q$4,'TB YTD'!$4:$4,0),0),0)</f>
        <v>318967</v>
      </c>
    </row>
    <row r="869" spans="1:19" hidden="1" x14ac:dyDescent="0.25">
      <c r="A869" s="165">
        <v>817</v>
      </c>
      <c r="B869" s="2" t="s">
        <v>1056</v>
      </c>
      <c r="C869" s="2" t="s">
        <v>730</v>
      </c>
      <c r="D869" s="17" t="s">
        <v>151</v>
      </c>
      <c r="E869" s="17" t="s">
        <v>362</v>
      </c>
      <c r="F869" s="12" t="s">
        <v>93</v>
      </c>
      <c r="G869" s="12" t="s">
        <v>4</v>
      </c>
      <c r="I869" s="37">
        <f>IFERROR(VLOOKUP(B869,'TB '!$A:$G,7,),0)</f>
        <v>0</v>
      </c>
      <c r="J869" s="37">
        <f>IFERROR(VLOOKUP($B869,'TB '!$4:$1048576,MATCH('List of Ledgers '!J$4,'TB '!$4:$4,0),0),0)</f>
        <v>0</v>
      </c>
      <c r="K869" s="37">
        <f>IFERROR(VLOOKUP($B869,'TB '!$4:$1048576,MATCH('List of Ledgers '!K$4,'TB '!$4:$4,0),0),0)</f>
        <v>0</v>
      </c>
      <c r="L869" s="37">
        <f>IFERROR(VLOOKUP(B869,'TB '!$A:$J,10,),0)</f>
        <v>0</v>
      </c>
      <c r="N869" s="63">
        <f>IFERROR(VLOOKUP($B869,'TB YTD'!$4:$1048576,MATCH('List of Ledgers '!N$4,'TB YTD'!$4:$4,0),0),0)</f>
        <v>0</v>
      </c>
      <c r="O869" s="63">
        <f>IFERROR(VLOOKUP($B869,'TB YTD'!$4:$1048576,MATCH('List of Ledgers '!O$4,'TB YTD'!$4:$4,0),0),0)</f>
        <v>0</v>
      </c>
      <c r="P869" s="63">
        <f>IFERROR(VLOOKUP($B869,'TB YTD'!$4:$1048576,MATCH('List of Ledgers '!P$4,'TB YTD'!$4:$4,0),0),0)</f>
        <v>0</v>
      </c>
      <c r="Q869" s="63">
        <f>IFERROR(VLOOKUP($B869,'TB YTD'!$4:$1048576,MATCH('List of Ledgers '!Q$4,'TB YTD'!$4:$4,0),0),0)</f>
        <v>0</v>
      </c>
    </row>
    <row r="870" spans="1:19" hidden="1" x14ac:dyDescent="0.25">
      <c r="A870" s="165">
        <v>818</v>
      </c>
      <c r="B870" s="2" t="s">
        <v>1057</v>
      </c>
      <c r="C870" s="2" t="s">
        <v>1058</v>
      </c>
      <c r="D870" s="17" t="s">
        <v>151</v>
      </c>
      <c r="E870" s="17" t="s">
        <v>152</v>
      </c>
      <c r="F870" s="12" t="s">
        <v>67</v>
      </c>
      <c r="G870" s="17" t="s">
        <v>9</v>
      </c>
      <c r="I870" s="37">
        <f>IFERROR(VLOOKUP(B870,'TB '!$A:$G,7,),0)</f>
        <v>0</v>
      </c>
      <c r="J870" s="37">
        <f>IFERROR(VLOOKUP($B870,'TB '!$4:$1048576,MATCH('List of Ledgers '!J$4,'TB '!$4:$4,0),0),0)</f>
        <v>0</v>
      </c>
      <c r="K870" s="37">
        <f>IFERROR(VLOOKUP($B870,'TB '!$4:$1048576,MATCH('List of Ledgers '!K$4,'TB '!$4:$4,0),0),0)</f>
        <v>0</v>
      </c>
      <c r="L870" s="37">
        <f>IFERROR(VLOOKUP(B870,'TB '!$A:$J,10,),0)</f>
        <v>0</v>
      </c>
      <c r="N870" s="63">
        <f>IFERROR(VLOOKUP($B870,'TB YTD'!$4:$1048576,MATCH('List of Ledgers '!N$4,'TB YTD'!$4:$4,0),0),0)</f>
        <v>0</v>
      </c>
      <c r="O870" s="63">
        <f>IFERROR(VLOOKUP($B870,'TB YTD'!$4:$1048576,MATCH('List of Ledgers '!O$4,'TB YTD'!$4:$4,0),0),0)</f>
        <v>0</v>
      </c>
      <c r="P870" s="63">
        <f>IFERROR(VLOOKUP($B870,'TB YTD'!$4:$1048576,MATCH('List of Ledgers '!P$4,'TB YTD'!$4:$4,0),0),0)</f>
        <v>0</v>
      </c>
      <c r="Q870" s="63">
        <f>IFERROR(VLOOKUP($B870,'TB YTD'!$4:$1048576,MATCH('List of Ledgers '!Q$4,'TB YTD'!$4:$4,0),0),0)</f>
        <v>0</v>
      </c>
    </row>
    <row r="871" spans="1:19" hidden="1" x14ac:dyDescent="0.25">
      <c r="A871" s="165">
        <v>819</v>
      </c>
      <c r="B871" s="2" t="s">
        <v>1059</v>
      </c>
      <c r="C871" s="2" t="s">
        <v>140</v>
      </c>
      <c r="D871" s="17" t="s">
        <v>128</v>
      </c>
      <c r="E871" s="17" t="s">
        <v>131</v>
      </c>
      <c r="G871" s="12" t="s">
        <v>7</v>
      </c>
      <c r="I871" s="37">
        <f>IFERROR(VLOOKUP(B871,'TB '!$A:$G,7,),0)</f>
        <v>0</v>
      </c>
      <c r="J871" s="37">
        <f>IFERROR(VLOOKUP($B871,'TB '!$4:$1048576,MATCH('List of Ledgers '!J$4,'TB '!$4:$4,0),0),0)</f>
        <v>0</v>
      </c>
      <c r="K871" s="37">
        <f>IFERROR(VLOOKUP($B871,'TB '!$4:$1048576,MATCH('List of Ledgers '!K$4,'TB '!$4:$4,0),0),0)</f>
        <v>0</v>
      </c>
      <c r="L871" s="37">
        <f>IFERROR(VLOOKUP(B871,'TB '!$A:$J,10,),0)</f>
        <v>0</v>
      </c>
      <c r="N871" s="63">
        <f>IFERROR(VLOOKUP($B871,'TB YTD'!$4:$1048576,MATCH('List of Ledgers '!N$4,'TB YTD'!$4:$4,0),0),0)</f>
        <v>0</v>
      </c>
      <c r="O871" s="63">
        <f>IFERROR(VLOOKUP($B871,'TB YTD'!$4:$1048576,MATCH('List of Ledgers '!O$4,'TB YTD'!$4:$4,0),0),0)</f>
        <v>6799</v>
      </c>
      <c r="P871" s="63">
        <f>IFERROR(VLOOKUP($B871,'TB YTD'!$4:$1048576,MATCH('List of Ledgers '!P$4,'TB YTD'!$4:$4,0),0),0)</f>
        <v>6799</v>
      </c>
      <c r="Q871" s="63">
        <f>IFERROR(VLOOKUP($B871,'TB YTD'!$4:$1048576,MATCH('List of Ledgers '!Q$4,'TB YTD'!$4:$4,0),0),0)</f>
        <v>0</v>
      </c>
    </row>
    <row r="872" spans="1:19" hidden="1" x14ac:dyDescent="0.25">
      <c r="A872" s="165">
        <f>A871+1</f>
        <v>820</v>
      </c>
      <c r="B872" s="2" t="s">
        <v>1247</v>
      </c>
      <c r="C872" s="2" t="s">
        <v>1032</v>
      </c>
      <c r="D872" s="17" t="s">
        <v>128</v>
      </c>
      <c r="E872" s="17" t="s">
        <v>131</v>
      </c>
      <c r="G872" s="17" t="s">
        <v>9</v>
      </c>
      <c r="I872" s="37">
        <f>IFERROR(VLOOKUP(B872,'TB '!$A:$G,7,),0)</f>
        <v>0</v>
      </c>
      <c r="J872" s="37">
        <f>IFERROR(VLOOKUP($B872,'TB '!$4:$1048576,MATCH('List of Ledgers '!J$4,'TB '!$4:$4,0),0),0)</f>
        <v>1128897</v>
      </c>
      <c r="K872" s="37">
        <f>IFERROR(VLOOKUP($B872,'TB '!$4:$1048576,MATCH('List of Ledgers '!K$4,'TB '!$4:$4,0),0),0)</f>
        <v>1128897</v>
      </c>
      <c r="L872" s="37">
        <f>IFERROR(VLOOKUP(B872,'TB '!$A:$J,10,),0)</f>
        <v>0</v>
      </c>
      <c r="M872" s="71"/>
      <c r="N872" s="63">
        <f>IFERROR(VLOOKUP($B872,'TB YTD'!$4:$1048576,MATCH('List of Ledgers '!N$4,'TB YTD'!$4:$4,0),0),0)</f>
        <v>0</v>
      </c>
      <c r="O872" s="63">
        <f>IFERROR(VLOOKUP($B872,'TB YTD'!$4:$1048576,MATCH('List of Ledgers '!O$4,'TB YTD'!$4:$4,0),0),0)</f>
        <v>1635653</v>
      </c>
      <c r="P872" s="63">
        <f>IFERROR(VLOOKUP($B872,'TB YTD'!$4:$1048576,MATCH('List of Ledgers '!P$4,'TB YTD'!$4:$4,0),0),0)</f>
        <v>1635653</v>
      </c>
      <c r="Q872" s="63">
        <f>IFERROR(VLOOKUP($B872,'TB YTD'!$4:$1048576,MATCH('List of Ledgers '!Q$4,'TB YTD'!$4:$4,0),0),0)</f>
        <v>0</v>
      </c>
      <c r="R872" s="63"/>
    </row>
    <row r="873" spans="1:19" hidden="1" x14ac:dyDescent="0.25">
      <c r="A873" s="165">
        <f>A872+1</f>
        <v>821</v>
      </c>
      <c r="B873" s="2" t="s">
        <v>1252</v>
      </c>
      <c r="C873" s="2" t="s">
        <v>1032</v>
      </c>
      <c r="D873" s="17" t="s">
        <v>128</v>
      </c>
      <c r="E873" s="17" t="s">
        <v>131</v>
      </c>
      <c r="G873" s="17" t="s">
        <v>9</v>
      </c>
      <c r="I873" s="37">
        <f>IFERROR(VLOOKUP(B873,'TB '!$A:$G,7,),0)</f>
        <v>0</v>
      </c>
      <c r="J873" s="37">
        <f>IFERROR(VLOOKUP($B873,'TB '!$4:$1048576,MATCH('List of Ledgers '!J$4,'TB '!$4:$4,0),0),0)</f>
        <v>0</v>
      </c>
      <c r="K873" s="37">
        <f>IFERROR(VLOOKUP($B873,'TB '!$4:$1048576,MATCH('List of Ledgers '!K$4,'TB '!$4:$4,0),0),0)</f>
        <v>0</v>
      </c>
      <c r="L873" s="37">
        <f>IFERROR(VLOOKUP(B873,'TB '!$A:$J,10,),0)</f>
        <v>0</v>
      </c>
      <c r="M873" s="71"/>
      <c r="N873" s="63">
        <f>IFERROR(VLOOKUP($B873,'TB YTD'!$4:$1048576,MATCH('List of Ledgers '!N$4,'TB YTD'!$4:$4,0),0),0)</f>
        <v>0</v>
      </c>
      <c r="O873" s="63">
        <f>IFERROR(VLOOKUP($B873,'TB YTD'!$4:$1048576,MATCH('List of Ledgers '!O$4,'TB YTD'!$4:$4,0),0),0)</f>
        <v>24600</v>
      </c>
      <c r="P873" s="63">
        <f>IFERROR(VLOOKUP($B873,'TB YTD'!$4:$1048576,MATCH('List of Ledgers '!P$4,'TB YTD'!$4:$4,0),0),0)</f>
        <v>24600</v>
      </c>
      <c r="Q873" s="63">
        <f>IFERROR(VLOOKUP($B873,'TB YTD'!$4:$1048576,MATCH('List of Ledgers '!Q$4,'TB YTD'!$4:$4,0),0),0)</f>
        <v>0</v>
      </c>
      <c r="R873" s="63"/>
    </row>
    <row r="874" spans="1:19" hidden="1" x14ac:dyDescent="0.25">
      <c r="A874" s="165">
        <v>820</v>
      </c>
      <c r="B874" s="2" t="s">
        <v>1060</v>
      </c>
      <c r="C874" s="2" t="s">
        <v>1032</v>
      </c>
      <c r="D874" s="17" t="s">
        <v>128</v>
      </c>
      <c r="E874" s="17" t="s">
        <v>131</v>
      </c>
      <c r="G874" s="17" t="s">
        <v>9</v>
      </c>
      <c r="I874" s="37">
        <f>IFERROR(VLOOKUP(B874,'TB '!$A:$G,7,),0)</f>
        <v>-2069</v>
      </c>
      <c r="J874" s="37">
        <f>IFERROR(VLOOKUP($B874,'TB '!$4:$1048576,MATCH('List of Ledgers '!J$4,'TB '!$4:$4,0),0),0)</f>
        <v>2069</v>
      </c>
      <c r="K874" s="37">
        <f>IFERROR(VLOOKUP($B874,'TB '!$4:$1048576,MATCH('List of Ledgers '!K$4,'TB '!$4:$4,0),0),0)</f>
        <v>0</v>
      </c>
      <c r="L874" s="37">
        <f>IFERROR(VLOOKUP(B874,'TB '!$A:$J,10,),0)</f>
        <v>0</v>
      </c>
      <c r="N874" s="63">
        <f>IFERROR(VLOOKUP($B874,'TB YTD'!$4:$1048576,MATCH('List of Ledgers '!N$4,'TB YTD'!$4:$4,0),0),0)</f>
        <v>0</v>
      </c>
      <c r="O874" s="63">
        <f>IFERROR(VLOOKUP($B874,'TB YTD'!$4:$1048576,MATCH('List of Ledgers '!O$4,'TB YTD'!$4:$4,0),0),0)</f>
        <v>4749362</v>
      </c>
      <c r="P874" s="63">
        <f>IFERROR(VLOOKUP($B874,'TB YTD'!$4:$1048576,MATCH('List of Ledgers '!P$4,'TB YTD'!$4:$4,0),0),0)</f>
        <v>4749362</v>
      </c>
      <c r="Q874" s="63">
        <f>IFERROR(VLOOKUP($B874,'TB YTD'!$4:$1048576,MATCH('List of Ledgers '!Q$4,'TB YTD'!$4:$4,0),0),0)</f>
        <v>0</v>
      </c>
    </row>
    <row r="875" spans="1:19" hidden="1" x14ac:dyDescent="0.25">
      <c r="A875" s="165">
        <v>821</v>
      </c>
      <c r="B875" s="2" t="s">
        <v>1061</v>
      </c>
      <c r="C875" s="2" t="s">
        <v>876</v>
      </c>
      <c r="D875" s="17" t="s">
        <v>151</v>
      </c>
      <c r="E875" s="17" t="s">
        <v>152</v>
      </c>
      <c r="F875" s="12" t="s">
        <v>62</v>
      </c>
      <c r="G875" s="17" t="s">
        <v>9</v>
      </c>
      <c r="I875" s="37">
        <f>IFERROR(VLOOKUP(B875,'TB '!$A:$G,7,),0)</f>
        <v>0</v>
      </c>
      <c r="J875" s="37">
        <f>IFERROR(VLOOKUP($B875,'TB '!$4:$1048576,MATCH('List of Ledgers '!J$4,'TB '!$4:$4,0),0),0)</f>
        <v>500</v>
      </c>
      <c r="K875" s="37">
        <f>IFERROR(VLOOKUP($B875,'TB '!$4:$1048576,MATCH('List of Ledgers '!K$4,'TB '!$4:$4,0),0),0)</f>
        <v>0</v>
      </c>
      <c r="L875" s="37">
        <f>IFERROR(VLOOKUP(B875,'TB '!$A:$J,10,),0)</f>
        <v>500</v>
      </c>
      <c r="N875" s="63">
        <f>IFERROR(VLOOKUP($B875,'TB YTD'!$4:$1048576,MATCH('List of Ledgers '!N$4,'TB YTD'!$4:$4,0),0),0)</f>
        <v>0</v>
      </c>
      <c r="O875" s="63">
        <f>IFERROR(VLOOKUP($B875,'TB YTD'!$4:$1048576,MATCH('List of Ledgers '!O$4,'TB YTD'!$4:$4,0),0),0)</f>
        <v>4180</v>
      </c>
      <c r="P875" s="63">
        <f>IFERROR(VLOOKUP($B875,'TB YTD'!$4:$1048576,MATCH('List of Ledgers '!P$4,'TB YTD'!$4:$4,0),0),0)</f>
        <v>0</v>
      </c>
      <c r="Q875" s="63">
        <f>IFERROR(VLOOKUP($B875,'TB YTD'!$4:$1048576,MATCH('List of Ledgers '!Q$4,'TB YTD'!$4:$4,0),0),0)</f>
        <v>4180</v>
      </c>
      <c r="S875" s="50"/>
    </row>
    <row r="876" spans="1:19" hidden="1" x14ac:dyDescent="0.25">
      <c r="A876" s="165">
        <v>822</v>
      </c>
      <c r="B876" s="2" t="s">
        <v>1062</v>
      </c>
      <c r="C876" s="8" t="s">
        <v>284</v>
      </c>
      <c r="I876" s="37">
        <f>IFERROR(VLOOKUP(B876,'TB '!$A:$G,7,),0)</f>
        <v>9800</v>
      </c>
      <c r="J876" s="37">
        <f>IFERROR(VLOOKUP($B876,'TB '!$4:$1048576,MATCH('List of Ledgers '!J$4,'TB '!$4:$4,0),0),0)</f>
        <v>11938</v>
      </c>
      <c r="K876" s="37">
        <f>IFERROR(VLOOKUP($B876,'TB '!$4:$1048576,MATCH('List of Ledgers '!K$4,'TB '!$4:$4,0),0),0)</f>
        <v>13958</v>
      </c>
      <c r="L876" s="37">
        <f>IFERROR(VLOOKUP(B876,'TB '!$A:$J,10,),0)</f>
        <v>7780</v>
      </c>
      <c r="N876" s="63">
        <f>IFERROR(VLOOKUP($B876,'TB YTD'!$4:$1048576,MATCH('List of Ledgers '!N$4,'TB YTD'!$4:$4,0),0),0)</f>
        <v>0</v>
      </c>
      <c r="O876" s="63">
        <f>IFERROR(VLOOKUP($B876,'TB YTD'!$4:$1048576,MATCH('List of Ledgers '!O$4,'TB YTD'!$4:$4,0),0),0)</f>
        <v>83399.55</v>
      </c>
      <c r="P876" s="63">
        <f>IFERROR(VLOOKUP($B876,'TB YTD'!$4:$1048576,MATCH('List of Ledgers '!P$4,'TB YTD'!$4:$4,0),0),0)</f>
        <v>75619.55</v>
      </c>
      <c r="Q876" s="63">
        <f>IFERROR(VLOOKUP($B876,'TB YTD'!$4:$1048576,MATCH('List of Ledgers '!Q$4,'TB YTD'!$4:$4,0),0),0)</f>
        <v>7780</v>
      </c>
    </row>
    <row r="877" spans="1:19" hidden="1" x14ac:dyDescent="0.25">
      <c r="A877" s="165">
        <v>823</v>
      </c>
      <c r="B877" s="2" t="s">
        <v>1063</v>
      </c>
      <c r="C877" s="2" t="s">
        <v>1058</v>
      </c>
      <c r="D877" s="17" t="s">
        <v>151</v>
      </c>
      <c r="E877" s="17" t="s">
        <v>152</v>
      </c>
      <c r="F877" s="12" t="s">
        <v>58</v>
      </c>
      <c r="G877" s="17" t="s">
        <v>9</v>
      </c>
      <c r="I877" s="37">
        <f>IFERROR(VLOOKUP(B877,'TB '!$A:$G,7,),0)</f>
        <v>0</v>
      </c>
      <c r="J877" s="37">
        <f>IFERROR(VLOOKUP($B877,'TB '!$4:$1048576,MATCH('List of Ledgers '!J$4,'TB '!$4:$4,0),0),0)</f>
        <v>0</v>
      </c>
      <c r="K877" s="37">
        <f>IFERROR(VLOOKUP($B877,'TB '!$4:$1048576,MATCH('List of Ledgers '!K$4,'TB '!$4:$4,0),0),0)</f>
        <v>0</v>
      </c>
      <c r="L877" s="37">
        <f>IFERROR(VLOOKUP(B877,'TB '!$A:$J,10,),0)</f>
        <v>0</v>
      </c>
      <c r="N877" s="63">
        <f>IFERROR(VLOOKUP($B877,'TB YTD'!$4:$1048576,MATCH('List of Ledgers '!N$4,'TB YTD'!$4:$4,0),0),0)</f>
        <v>0</v>
      </c>
      <c r="O877" s="63">
        <f>IFERROR(VLOOKUP($B877,'TB YTD'!$4:$1048576,MATCH('List of Ledgers '!O$4,'TB YTD'!$4:$4,0),0),0)</f>
        <v>0</v>
      </c>
      <c r="P877" s="63">
        <f>IFERROR(VLOOKUP($B877,'TB YTD'!$4:$1048576,MATCH('List of Ledgers '!P$4,'TB YTD'!$4:$4,0),0),0)</f>
        <v>0</v>
      </c>
      <c r="Q877" s="63">
        <f>IFERROR(VLOOKUP($B877,'TB YTD'!$4:$1048576,MATCH('List of Ledgers '!Q$4,'TB YTD'!$4:$4,0),0),0)</f>
        <v>0</v>
      </c>
    </row>
    <row r="878" spans="1:19" hidden="1" x14ac:dyDescent="0.25">
      <c r="A878" s="165">
        <v>824</v>
      </c>
      <c r="B878" s="2" t="s">
        <v>1064</v>
      </c>
      <c r="C878" s="2" t="s">
        <v>530</v>
      </c>
      <c r="I878" s="37">
        <f>IFERROR(VLOOKUP(B878,'TB '!$A:$G,7,),0)</f>
        <v>-2500</v>
      </c>
      <c r="J878" s="37">
        <f>IFERROR(VLOOKUP($B878,'TB '!$4:$1048576,MATCH('List of Ledgers '!J$4,'TB '!$4:$4,0),0),0)</f>
        <v>2300</v>
      </c>
      <c r="K878" s="37">
        <f>IFERROR(VLOOKUP($B878,'TB '!$4:$1048576,MATCH('List of Ledgers '!K$4,'TB '!$4:$4,0),0),0)</f>
        <v>600</v>
      </c>
      <c r="L878" s="37">
        <f>IFERROR(VLOOKUP(B878,'TB '!$A:$J,10,),0)</f>
        <v>-800</v>
      </c>
      <c r="N878" s="63">
        <f>IFERROR(VLOOKUP($B878,'TB YTD'!$4:$1048576,MATCH('List of Ledgers '!N$4,'TB YTD'!$4:$4,0),0),0)</f>
        <v>0</v>
      </c>
      <c r="O878" s="63">
        <f>IFERROR(VLOOKUP($B878,'TB YTD'!$4:$1048576,MATCH('List of Ledgers '!O$4,'TB YTD'!$4:$4,0),0),0)</f>
        <v>2300</v>
      </c>
      <c r="P878" s="63">
        <f>IFERROR(VLOOKUP($B878,'TB YTD'!$4:$1048576,MATCH('List of Ledgers '!P$4,'TB YTD'!$4:$4,0),0),0)</f>
        <v>3100</v>
      </c>
      <c r="Q878" s="63">
        <f>IFERROR(VLOOKUP($B878,'TB YTD'!$4:$1048576,MATCH('List of Ledgers '!Q$4,'TB YTD'!$4:$4,0),0),0)</f>
        <v>-800</v>
      </c>
    </row>
    <row r="879" spans="1:19" hidden="1" x14ac:dyDescent="0.25">
      <c r="A879" s="165">
        <v>825</v>
      </c>
      <c r="B879" s="2" t="s">
        <v>1065</v>
      </c>
      <c r="C879" s="2" t="s">
        <v>1032</v>
      </c>
      <c r="D879" s="17" t="s">
        <v>128</v>
      </c>
      <c r="E879" s="17" t="s">
        <v>131</v>
      </c>
      <c r="G879" s="17" t="s">
        <v>9</v>
      </c>
      <c r="I879" s="37">
        <f>IFERROR(VLOOKUP(B879,'TB '!$A:$G,7,),0)</f>
        <v>0</v>
      </c>
      <c r="J879" s="37">
        <f>IFERROR(VLOOKUP($B879,'TB '!$4:$1048576,MATCH('List of Ledgers '!J$4,'TB '!$4:$4,0),0),0)</f>
        <v>0</v>
      </c>
      <c r="K879" s="37">
        <f>IFERROR(VLOOKUP($B879,'TB '!$4:$1048576,MATCH('List of Ledgers '!K$4,'TB '!$4:$4,0),0),0)</f>
        <v>0</v>
      </c>
      <c r="L879" s="37">
        <f>IFERROR(VLOOKUP(B879,'TB '!$A:$J,10,),0)</f>
        <v>0</v>
      </c>
      <c r="N879" s="63">
        <f>IFERROR(VLOOKUP($B879,'TB YTD'!$4:$1048576,MATCH('List of Ledgers '!N$4,'TB YTD'!$4:$4,0),0),0)</f>
        <v>0</v>
      </c>
      <c r="O879" s="63">
        <f>IFERROR(VLOOKUP($B879,'TB YTD'!$4:$1048576,MATCH('List of Ledgers '!O$4,'TB YTD'!$4:$4,0),0),0)</f>
        <v>4736</v>
      </c>
      <c r="P879" s="63">
        <f>IFERROR(VLOOKUP($B879,'TB YTD'!$4:$1048576,MATCH('List of Ledgers '!P$4,'TB YTD'!$4:$4,0),0),0)</f>
        <v>4736</v>
      </c>
      <c r="Q879" s="63">
        <f>IFERROR(VLOOKUP($B879,'TB YTD'!$4:$1048576,MATCH('List of Ledgers '!Q$4,'TB YTD'!$4:$4,0),0),0)</f>
        <v>0</v>
      </c>
    </row>
    <row r="880" spans="1:19" hidden="1" x14ac:dyDescent="0.25">
      <c r="A880" s="165">
        <f>A879+1</f>
        <v>826</v>
      </c>
      <c r="B880" s="2" t="s">
        <v>1254</v>
      </c>
      <c r="C880" s="2" t="s">
        <v>1032</v>
      </c>
      <c r="D880" s="17" t="s">
        <v>128</v>
      </c>
      <c r="E880" s="17" t="s">
        <v>131</v>
      </c>
      <c r="G880" s="17" t="s">
        <v>9</v>
      </c>
      <c r="I880" s="37">
        <f>IFERROR(VLOOKUP(B880,'TB '!$A:$G,7,),0)</f>
        <v>0</v>
      </c>
      <c r="J880" s="37">
        <f>IFERROR(VLOOKUP($B880,'TB '!$4:$1048576,MATCH('List of Ledgers '!J$4,'TB '!$4:$4,0),0),0)</f>
        <v>0</v>
      </c>
      <c r="K880" s="37">
        <f>IFERROR(VLOOKUP($B880,'TB '!$4:$1048576,MATCH('List of Ledgers '!K$4,'TB '!$4:$4,0),0),0)</f>
        <v>0</v>
      </c>
      <c r="L880" s="37">
        <f>IFERROR(VLOOKUP(B880,'TB '!$A:$J,10,),0)</f>
        <v>0</v>
      </c>
      <c r="M880" s="71"/>
      <c r="N880" s="63">
        <f>IFERROR(VLOOKUP($B880,'TB YTD'!$4:$1048576,MATCH('List of Ledgers '!N$4,'TB YTD'!$4:$4,0),0),0)</f>
        <v>0</v>
      </c>
      <c r="O880" s="63">
        <f>IFERROR(VLOOKUP($B880,'TB YTD'!$4:$1048576,MATCH('List of Ledgers '!O$4,'TB YTD'!$4:$4,0),0),0)</f>
        <v>6500</v>
      </c>
      <c r="P880" s="63">
        <f>IFERROR(VLOOKUP($B880,'TB YTD'!$4:$1048576,MATCH('List of Ledgers '!P$4,'TB YTD'!$4:$4,0),0),0)</f>
        <v>6500</v>
      </c>
      <c r="Q880" s="63">
        <f>IFERROR(VLOOKUP($B880,'TB YTD'!$4:$1048576,MATCH('List of Ledgers '!Q$4,'TB YTD'!$4:$4,0),0),0)</f>
        <v>0</v>
      </c>
      <c r="R880" s="63"/>
    </row>
    <row r="881" spans="1:18" hidden="1" x14ac:dyDescent="0.25">
      <c r="A881" s="165">
        <v>826</v>
      </c>
      <c r="B881" s="2" t="s">
        <v>1066</v>
      </c>
      <c r="C881" s="2" t="s">
        <v>1067</v>
      </c>
      <c r="I881" s="37">
        <f>IFERROR(VLOOKUP(B881,'TB '!$A:$G,7,),0)</f>
        <v>0</v>
      </c>
      <c r="J881" s="37">
        <f>IFERROR(VLOOKUP($B881,'TB '!$4:$1048576,MATCH('List of Ledgers '!J$4,'TB '!$4:$4,0),0),0)</f>
        <v>0</v>
      </c>
      <c r="K881" s="37">
        <f>IFERROR(VLOOKUP($B881,'TB '!$4:$1048576,MATCH('List of Ledgers '!K$4,'TB '!$4:$4,0),0),0)</f>
        <v>0</v>
      </c>
      <c r="L881" s="37">
        <f>IFERROR(VLOOKUP(B881,'TB '!$A:$J,10,),0)</f>
        <v>0</v>
      </c>
      <c r="N881" s="63">
        <f>IFERROR(VLOOKUP($B881,'TB YTD'!$4:$1048576,MATCH('List of Ledgers '!N$4,'TB YTD'!$4:$4,0),0),0)</f>
        <v>0</v>
      </c>
      <c r="O881" s="63">
        <f>IFERROR(VLOOKUP($B881,'TB YTD'!$4:$1048576,MATCH('List of Ledgers '!O$4,'TB YTD'!$4:$4,0),0),0)</f>
        <v>0</v>
      </c>
      <c r="P881" s="63">
        <f>IFERROR(VLOOKUP($B881,'TB YTD'!$4:$1048576,MATCH('List of Ledgers '!P$4,'TB YTD'!$4:$4,0),0),0)</f>
        <v>0</v>
      </c>
      <c r="Q881" s="63">
        <f>IFERROR(VLOOKUP($B881,'TB YTD'!$4:$1048576,MATCH('List of Ledgers '!Q$4,'TB YTD'!$4:$4,0),0),0)</f>
        <v>0</v>
      </c>
    </row>
    <row r="882" spans="1:18" hidden="1" x14ac:dyDescent="0.25">
      <c r="A882" s="165">
        <v>827</v>
      </c>
      <c r="B882" s="2" t="s">
        <v>1068</v>
      </c>
      <c r="C882" s="2" t="s">
        <v>1032</v>
      </c>
      <c r="D882" s="17" t="s">
        <v>128</v>
      </c>
      <c r="E882" s="17" t="s">
        <v>131</v>
      </c>
      <c r="G882" s="17" t="s">
        <v>9</v>
      </c>
      <c r="I882" s="37">
        <f>IFERROR(VLOOKUP(B882,'TB '!$A:$G,7,),0)</f>
        <v>0</v>
      </c>
      <c r="J882" s="37">
        <f>IFERROR(VLOOKUP($B882,'TB '!$4:$1048576,MATCH('List of Ledgers '!J$4,'TB '!$4:$4,0),0),0)</f>
        <v>0</v>
      </c>
      <c r="K882" s="37">
        <f>IFERROR(VLOOKUP($B882,'TB '!$4:$1048576,MATCH('List of Ledgers '!K$4,'TB '!$4:$4,0),0),0)</f>
        <v>0</v>
      </c>
      <c r="L882" s="37">
        <f>IFERROR(VLOOKUP(B882,'TB '!$A:$J,10,),0)</f>
        <v>0</v>
      </c>
      <c r="N882" s="63">
        <f>IFERROR(VLOOKUP($B882,'TB YTD'!$4:$1048576,MATCH('List of Ledgers '!N$4,'TB YTD'!$4:$4,0),0),0)</f>
        <v>0</v>
      </c>
      <c r="O882" s="63">
        <f>IFERROR(VLOOKUP($B882,'TB YTD'!$4:$1048576,MATCH('List of Ledgers '!O$4,'TB YTD'!$4:$4,0),0),0)</f>
        <v>6342</v>
      </c>
      <c r="P882" s="63">
        <f>IFERROR(VLOOKUP($B882,'TB YTD'!$4:$1048576,MATCH('List of Ledgers '!P$4,'TB YTD'!$4:$4,0),0),0)</f>
        <v>6342</v>
      </c>
      <c r="Q882" s="63">
        <f>IFERROR(VLOOKUP($B882,'TB YTD'!$4:$1048576,MATCH('List of Ledgers '!Q$4,'TB YTD'!$4:$4,0),0),0)</f>
        <v>0</v>
      </c>
    </row>
    <row r="883" spans="1:18" hidden="1" x14ac:dyDescent="0.25">
      <c r="A883" s="165">
        <f>A882+1</f>
        <v>828</v>
      </c>
      <c r="B883" s="2" t="s">
        <v>1255</v>
      </c>
      <c r="C883" s="2" t="s">
        <v>1032</v>
      </c>
      <c r="D883" s="17" t="s">
        <v>128</v>
      </c>
      <c r="E883" s="17" t="s">
        <v>131</v>
      </c>
      <c r="G883" s="17" t="s">
        <v>9</v>
      </c>
      <c r="I883" s="37">
        <f>IFERROR(VLOOKUP(B883,'TB '!$A:$G,7,),0)</f>
        <v>0</v>
      </c>
      <c r="J883" s="37">
        <f>IFERROR(VLOOKUP($B883,'TB '!$4:$1048576,MATCH('List of Ledgers '!J$4,'TB '!$4:$4,0),0),0)</f>
        <v>21660</v>
      </c>
      <c r="K883" s="37">
        <f>IFERROR(VLOOKUP($B883,'TB '!$4:$1048576,MATCH('List of Ledgers '!K$4,'TB '!$4:$4,0),0),0)</f>
        <v>21660</v>
      </c>
      <c r="L883" s="37">
        <f>IFERROR(VLOOKUP(B883,'TB '!$A:$J,10,),0)</f>
        <v>0</v>
      </c>
      <c r="M883" s="71"/>
      <c r="N883" s="63">
        <f>IFERROR(VLOOKUP($B883,'TB YTD'!$4:$1048576,MATCH('List of Ledgers '!N$4,'TB YTD'!$4:$4,0),0),0)</f>
        <v>0</v>
      </c>
      <c r="O883" s="63">
        <f>IFERROR(VLOOKUP($B883,'TB YTD'!$4:$1048576,MATCH('List of Ledgers '!O$4,'TB YTD'!$4:$4,0),0),0)</f>
        <v>104585</v>
      </c>
      <c r="P883" s="63">
        <f>IFERROR(VLOOKUP($B883,'TB YTD'!$4:$1048576,MATCH('List of Ledgers '!P$4,'TB YTD'!$4:$4,0),0),0)</f>
        <v>104585</v>
      </c>
      <c r="Q883" s="63">
        <f>IFERROR(VLOOKUP($B883,'TB YTD'!$4:$1048576,MATCH('List of Ledgers '!Q$4,'TB YTD'!$4:$4,0),0),0)</f>
        <v>0</v>
      </c>
      <c r="R883" s="63"/>
    </row>
    <row r="884" spans="1:18" hidden="1" x14ac:dyDescent="0.25">
      <c r="A884" s="165">
        <v>828</v>
      </c>
      <c r="B884" s="2" t="s">
        <v>1069</v>
      </c>
      <c r="C884" s="2" t="s">
        <v>1032</v>
      </c>
      <c r="D884" s="17" t="s">
        <v>128</v>
      </c>
      <c r="E884" s="17" t="s">
        <v>131</v>
      </c>
      <c r="G884" s="17" t="s">
        <v>9</v>
      </c>
      <c r="I884" s="37">
        <f>IFERROR(VLOOKUP(B884,'TB '!$A:$G,7,),0)</f>
        <v>0</v>
      </c>
      <c r="J884" s="37">
        <f>IFERROR(VLOOKUP($B884,'TB '!$4:$1048576,MATCH('List of Ledgers '!J$4,'TB '!$4:$4,0),0),0)</f>
        <v>33205</v>
      </c>
      <c r="K884" s="37">
        <f>IFERROR(VLOOKUP($B884,'TB '!$4:$1048576,MATCH('List of Ledgers '!K$4,'TB '!$4:$4,0),0),0)</f>
        <v>33205</v>
      </c>
      <c r="L884" s="37">
        <f>IFERROR(VLOOKUP(B884,'TB '!$A:$J,10,),0)</f>
        <v>0</v>
      </c>
      <c r="N884" s="63">
        <f>IFERROR(VLOOKUP($B884,'TB YTD'!$4:$1048576,MATCH('List of Ledgers '!N$4,'TB YTD'!$4:$4,0),0),0)</f>
        <v>0</v>
      </c>
      <c r="O884" s="63">
        <f>IFERROR(VLOOKUP($B884,'TB YTD'!$4:$1048576,MATCH('List of Ledgers '!O$4,'TB YTD'!$4:$4,0),0),0)</f>
        <v>95601</v>
      </c>
      <c r="P884" s="63">
        <f>IFERROR(VLOOKUP($B884,'TB YTD'!$4:$1048576,MATCH('List of Ledgers '!P$4,'TB YTD'!$4:$4,0),0),0)</f>
        <v>95601</v>
      </c>
      <c r="Q884" s="63">
        <f>IFERROR(VLOOKUP($B884,'TB YTD'!$4:$1048576,MATCH('List of Ledgers '!Q$4,'TB YTD'!$4:$4,0),0),0)</f>
        <v>0</v>
      </c>
    </row>
    <row r="885" spans="1:18" hidden="1" x14ac:dyDescent="0.25">
      <c r="A885" s="165">
        <f>A884+1</f>
        <v>829</v>
      </c>
      <c r="B885" s="2" t="s">
        <v>1275</v>
      </c>
      <c r="C885" s="2" t="s">
        <v>1032</v>
      </c>
      <c r="D885" s="17" t="s">
        <v>128</v>
      </c>
      <c r="E885" s="17" t="s">
        <v>131</v>
      </c>
      <c r="G885" s="17" t="s">
        <v>9</v>
      </c>
      <c r="I885" s="37">
        <f>IFERROR(VLOOKUP(B885,'TB '!$A:$G,7,),0)</f>
        <v>8785</v>
      </c>
      <c r="J885" s="37">
        <f>IFERROR(VLOOKUP($B885,'TB '!$4:$1048576,MATCH('List of Ledgers '!J$4,'TB '!$4:$4,0),0),0)</f>
        <v>9987215</v>
      </c>
      <c r="K885" s="37">
        <f>IFERROR(VLOOKUP($B885,'TB '!$4:$1048576,MATCH('List of Ledgers '!K$4,'TB '!$4:$4,0),0),0)</f>
        <v>9996000</v>
      </c>
      <c r="L885" s="37">
        <f>IFERROR(VLOOKUP(B885,'TB '!$A:$J,10,),0)</f>
        <v>0</v>
      </c>
      <c r="M885" s="71"/>
      <c r="N885" s="63">
        <f>IFERROR(VLOOKUP($B885,'TB YTD'!$4:$1048576,MATCH('List of Ledgers '!N$4,'TB YTD'!$4:$4,0),0),0)</f>
        <v>0</v>
      </c>
      <c r="O885" s="63">
        <f>IFERROR(VLOOKUP($B885,'TB YTD'!$4:$1048576,MATCH('List of Ledgers '!O$4,'TB YTD'!$4:$4,0),0),0)</f>
        <v>24470460</v>
      </c>
      <c r="P885" s="63">
        <f>IFERROR(VLOOKUP($B885,'TB YTD'!$4:$1048576,MATCH('List of Ledgers '!P$4,'TB YTD'!$4:$4,0),0),0)</f>
        <v>24470460</v>
      </c>
      <c r="Q885" s="63">
        <f>IFERROR(VLOOKUP($B885,'TB YTD'!$4:$1048576,MATCH('List of Ledgers '!Q$4,'TB YTD'!$4:$4,0),0),0)</f>
        <v>0</v>
      </c>
      <c r="R885" s="63"/>
    </row>
    <row r="886" spans="1:18" hidden="1" x14ac:dyDescent="0.25">
      <c r="A886" s="165">
        <f>A885+1</f>
        <v>830</v>
      </c>
      <c r="B886" s="2" t="s">
        <v>1259</v>
      </c>
      <c r="C886" s="2" t="s">
        <v>356</v>
      </c>
      <c r="D886" s="17" t="s">
        <v>128</v>
      </c>
      <c r="E886" s="17" t="s">
        <v>131</v>
      </c>
      <c r="G886" s="17" t="s">
        <v>7</v>
      </c>
      <c r="I886" s="37">
        <f>IFERROR(VLOOKUP(B886,'TB '!$A:$G,7,),0)</f>
        <v>0</v>
      </c>
      <c r="J886" s="37">
        <f>IFERROR(VLOOKUP($B886,'TB '!$4:$1048576,MATCH('List of Ledgers '!J$4,'TB '!$4:$4,0),0),0)</f>
        <v>0</v>
      </c>
      <c r="K886" s="37">
        <f>IFERROR(VLOOKUP($B886,'TB '!$4:$1048576,MATCH('List of Ledgers '!K$4,'TB '!$4:$4,0),0),0)</f>
        <v>0</v>
      </c>
      <c r="L886" s="37">
        <f>IFERROR(VLOOKUP(B886,'TB '!$A:$J,10,),0)</f>
        <v>0</v>
      </c>
      <c r="M886" s="71"/>
      <c r="N886" s="63">
        <f>IFERROR(VLOOKUP($B886,'TB YTD'!$4:$1048576,MATCH('List of Ledgers '!N$4,'TB YTD'!$4:$4,0),0),0)</f>
        <v>0</v>
      </c>
      <c r="O886" s="63">
        <f>IFERROR(VLOOKUP($B886,'TB YTD'!$4:$1048576,MATCH('List of Ledgers '!O$4,'TB YTD'!$4:$4,0),0),0)</f>
        <v>34810</v>
      </c>
      <c r="P886" s="63">
        <f>IFERROR(VLOOKUP($B886,'TB YTD'!$4:$1048576,MATCH('List of Ledgers '!P$4,'TB YTD'!$4:$4,0),0),0)</f>
        <v>34810</v>
      </c>
      <c r="Q886" s="63">
        <f>IFERROR(VLOOKUP($B886,'TB YTD'!$4:$1048576,MATCH('List of Ledgers '!Q$4,'TB YTD'!$4:$4,0),0),0)</f>
        <v>0</v>
      </c>
      <c r="R886" s="63"/>
    </row>
    <row r="887" spans="1:18" hidden="1" x14ac:dyDescent="0.25">
      <c r="A887" s="165">
        <v>829</v>
      </c>
      <c r="B887" s="2" t="s">
        <v>1070</v>
      </c>
      <c r="C887" s="2" t="s">
        <v>1032</v>
      </c>
      <c r="D887" s="17" t="s">
        <v>128</v>
      </c>
      <c r="E887" s="17" t="s">
        <v>131</v>
      </c>
      <c r="G887" s="17" t="s">
        <v>9</v>
      </c>
      <c r="I887" s="37">
        <f>IFERROR(VLOOKUP(B887,'TB '!$A:$G,7,),0)</f>
        <v>-4843178</v>
      </c>
      <c r="J887" s="37">
        <f>IFERROR(VLOOKUP($B887,'TB '!$4:$1048576,MATCH('List of Ledgers '!J$4,'TB '!$4:$4,0),0),0)</f>
        <v>2349878</v>
      </c>
      <c r="K887" s="37">
        <f>IFERROR(VLOOKUP($B887,'TB '!$4:$1048576,MATCH('List of Ledgers '!K$4,'TB '!$4:$4,0),0),0)</f>
        <v>0</v>
      </c>
      <c r="L887" s="37">
        <f>IFERROR(VLOOKUP(B887,'TB '!$A:$J,10,),0)</f>
        <v>-2493300</v>
      </c>
      <c r="N887" s="63">
        <f>IFERROR(VLOOKUP($B887,'TB YTD'!$4:$1048576,MATCH('List of Ledgers '!N$4,'TB YTD'!$4:$4,0),0),0)</f>
        <v>0</v>
      </c>
      <c r="O887" s="63">
        <f>IFERROR(VLOOKUP($B887,'TB YTD'!$4:$1048576,MATCH('List of Ledgers '!O$4,'TB YTD'!$4:$4,0),0),0)</f>
        <v>4628400</v>
      </c>
      <c r="P887" s="63">
        <f>IFERROR(VLOOKUP($B887,'TB YTD'!$4:$1048576,MATCH('List of Ledgers '!P$4,'TB YTD'!$4:$4,0),0),0)</f>
        <v>7121700</v>
      </c>
      <c r="Q887" s="63">
        <f>IFERROR(VLOOKUP($B887,'TB YTD'!$4:$1048576,MATCH('List of Ledgers '!Q$4,'TB YTD'!$4:$4,0),0),0)</f>
        <v>-2493300</v>
      </c>
    </row>
    <row r="888" spans="1:18" hidden="1" x14ac:dyDescent="0.25">
      <c r="A888" s="165">
        <v>830</v>
      </c>
      <c r="B888" s="2" t="s">
        <v>1071</v>
      </c>
      <c r="C888" s="2" t="s">
        <v>1032</v>
      </c>
      <c r="D888" s="17" t="s">
        <v>128</v>
      </c>
      <c r="E888" s="17" t="s">
        <v>131</v>
      </c>
      <c r="G888" s="17" t="s">
        <v>9</v>
      </c>
      <c r="I888" s="37">
        <f>IFERROR(VLOOKUP(B888,'TB '!$A:$G,7,),0)</f>
        <v>0</v>
      </c>
      <c r="J888" s="37">
        <f>IFERROR(VLOOKUP($B888,'TB '!$4:$1048576,MATCH('List of Ledgers '!J$4,'TB '!$4:$4,0),0),0)</f>
        <v>551250</v>
      </c>
      <c r="K888" s="37">
        <f>IFERROR(VLOOKUP($B888,'TB '!$4:$1048576,MATCH('List of Ledgers '!K$4,'TB '!$4:$4,0),0),0)</f>
        <v>551250</v>
      </c>
      <c r="L888" s="37">
        <f>IFERROR(VLOOKUP(B888,'TB '!$A:$J,10,),0)</f>
        <v>0</v>
      </c>
      <c r="N888" s="63">
        <f>IFERROR(VLOOKUP($B888,'TB YTD'!$4:$1048576,MATCH('List of Ledgers '!N$4,'TB YTD'!$4:$4,0),0),0)</f>
        <v>0</v>
      </c>
      <c r="O888" s="63">
        <f>IFERROR(VLOOKUP($B888,'TB YTD'!$4:$1048576,MATCH('List of Ledgers '!O$4,'TB YTD'!$4:$4,0),0),0)</f>
        <v>1030050</v>
      </c>
      <c r="P888" s="63">
        <f>IFERROR(VLOOKUP($B888,'TB YTD'!$4:$1048576,MATCH('List of Ledgers '!P$4,'TB YTD'!$4:$4,0),0),0)</f>
        <v>1030050</v>
      </c>
      <c r="Q888" s="63">
        <f>IFERROR(VLOOKUP($B888,'TB YTD'!$4:$1048576,MATCH('List of Ledgers '!Q$4,'TB YTD'!$4:$4,0),0),0)</f>
        <v>0</v>
      </c>
    </row>
    <row r="889" spans="1:18" hidden="1" x14ac:dyDescent="0.25">
      <c r="A889" s="165">
        <f>A888+1</f>
        <v>831</v>
      </c>
      <c r="B889" s="2" t="s">
        <v>1261</v>
      </c>
      <c r="C889" s="2" t="s">
        <v>1032</v>
      </c>
      <c r="D889" s="17" t="s">
        <v>128</v>
      </c>
      <c r="E889" s="17" t="s">
        <v>131</v>
      </c>
      <c r="G889" s="17" t="s">
        <v>9</v>
      </c>
      <c r="I889" s="37">
        <f>IFERROR(VLOOKUP(B889,'TB '!$A:$G,7,),0)</f>
        <v>0</v>
      </c>
      <c r="J889" s="37">
        <f>IFERROR(VLOOKUP($B889,'TB '!$4:$1048576,MATCH('List of Ledgers '!J$4,'TB '!$4:$4,0),0),0)</f>
        <v>0</v>
      </c>
      <c r="K889" s="37">
        <f>IFERROR(VLOOKUP($B889,'TB '!$4:$1048576,MATCH('List of Ledgers '!K$4,'TB '!$4:$4,0),0),0)</f>
        <v>0</v>
      </c>
      <c r="L889" s="37">
        <f>IFERROR(VLOOKUP(B889,'TB '!$A:$J,10,),0)</f>
        <v>0</v>
      </c>
      <c r="M889" s="71"/>
      <c r="N889" s="63">
        <f>IFERROR(VLOOKUP($B889,'TB YTD'!$4:$1048576,MATCH('List of Ledgers '!N$4,'TB YTD'!$4:$4,0),0),0)</f>
        <v>0</v>
      </c>
      <c r="O889" s="63">
        <f>IFERROR(VLOOKUP($B889,'TB YTD'!$4:$1048576,MATCH('List of Ledgers '!O$4,'TB YTD'!$4:$4,0),0),0)</f>
        <v>148000</v>
      </c>
      <c r="P889" s="63">
        <f>IFERROR(VLOOKUP($B889,'TB YTD'!$4:$1048576,MATCH('List of Ledgers '!P$4,'TB YTD'!$4:$4,0),0),0)</f>
        <v>148000</v>
      </c>
      <c r="Q889" s="63">
        <f>IFERROR(VLOOKUP($B889,'TB YTD'!$4:$1048576,MATCH('List of Ledgers '!Q$4,'TB YTD'!$4:$4,0),0),0)</f>
        <v>0</v>
      </c>
      <c r="R889" s="63"/>
    </row>
    <row r="890" spans="1:18" hidden="1" x14ac:dyDescent="0.25">
      <c r="A890" s="165">
        <f>A889+1</f>
        <v>832</v>
      </c>
      <c r="B890" s="2" t="s">
        <v>1262</v>
      </c>
      <c r="C890" s="2" t="s">
        <v>910</v>
      </c>
      <c r="D890" s="17"/>
      <c r="E890" s="17"/>
      <c r="I890" s="37">
        <f>IFERROR(VLOOKUP(B890,'TB '!$A:$G,7,),0)</f>
        <v>0</v>
      </c>
      <c r="J890" s="37">
        <f>IFERROR(VLOOKUP($B890,'TB '!$4:$1048576,MATCH('List of Ledgers '!J$4,'TB '!$4:$4,0),0),0)</f>
        <v>0</v>
      </c>
      <c r="K890" s="37">
        <f>IFERROR(VLOOKUP($B890,'TB '!$4:$1048576,MATCH('List of Ledgers '!K$4,'TB '!$4:$4,0),0),0)</f>
        <v>0</v>
      </c>
      <c r="L890" s="37">
        <f>IFERROR(VLOOKUP(B890,'TB '!$A:$J,10,),0)</f>
        <v>0</v>
      </c>
      <c r="M890" s="71"/>
      <c r="N890" s="63">
        <f>IFERROR(VLOOKUP($B890,'TB YTD'!$4:$1048576,MATCH('List of Ledgers '!N$4,'TB YTD'!$4:$4,0),0),0)</f>
        <v>0</v>
      </c>
      <c r="O890" s="63">
        <f>IFERROR(VLOOKUP($B890,'TB YTD'!$4:$1048576,MATCH('List of Ledgers '!O$4,'TB YTD'!$4:$4,0),0),0)</f>
        <v>0</v>
      </c>
      <c r="P890" s="63">
        <f>IFERROR(VLOOKUP($B890,'TB YTD'!$4:$1048576,MATCH('List of Ledgers '!P$4,'TB YTD'!$4:$4,0),0),0)</f>
        <v>0</v>
      </c>
      <c r="Q890" s="63">
        <f>IFERROR(VLOOKUP($B890,'TB YTD'!$4:$1048576,MATCH('List of Ledgers '!Q$4,'TB YTD'!$4:$4,0),0),0)</f>
        <v>0</v>
      </c>
      <c r="R890" s="63"/>
    </row>
    <row r="891" spans="1:18" hidden="1" x14ac:dyDescent="0.25">
      <c r="A891" s="165">
        <v>831</v>
      </c>
      <c r="B891" s="2" t="s">
        <v>1072</v>
      </c>
      <c r="C891" s="2" t="s">
        <v>1032</v>
      </c>
      <c r="D891" s="17" t="s">
        <v>128</v>
      </c>
      <c r="E891" s="17" t="s">
        <v>131</v>
      </c>
      <c r="G891" s="17" t="s">
        <v>9</v>
      </c>
      <c r="I891" s="37">
        <f>IFERROR(VLOOKUP(B891,'TB '!$A:$G,7,),0)</f>
        <v>0</v>
      </c>
      <c r="J891" s="37">
        <f>IFERROR(VLOOKUP($B891,'TB '!$4:$1048576,MATCH('List of Ledgers '!J$4,'TB '!$4:$4,0),0),0)</f>
        <v>44972</v>
      </c>
      <c r="K891" s="37">
        <f>IFERROR(VLOOKUP($B891,'TB '!$4:$1048576,MATCH('List of Ledgers '!K$4,'TB '!$4:$4,0),0),0)</f>
        <v>44972</v>
      </c>
      <c r="L891" s="37">
        <f>IFERROR(VLOOKUP(B891,'TB '!$A:$J,10,),0)</f>
        <v>0</v>
      </c>
      <c r="N891" s="63">
        <f>IFERROR(VLOOKUP($B891,'TB YTD'!$4:$1048576,MATCH('List of Ledgers '!N$4,'TB YTD'!$4:$4,0),0),0)</f>
        <v>0</v>
      </c>
      <c r="O891" s="63">
        <f>IFERROR(VLOOKUP($B891,'TB YTD'!$4:$1048576,MATCH('List of Ledgers '!O$4,'TB YTD'!$4:$4,0),0),0)</f>
        <v>84823</v>
      </c>
      <c r="P891" s="63">
        <f>IFERROR(VLOOKUP($B891,'TB YTD'!$4:$1048576,MATCH('List of Ledgers '!P$4,'TB YTD'!$4:$4,0),0),0)</f>
        <v>84823</v>
      </c>
      <c r="Q891" s="63">
        <f>IFERROR(VLOOKUP($B891,'TB YTD'!$4:$1048576,MATCH('List of Ledgers '!Q$4,'TB YTD'!$4:$4,0),0),0)</f>
        <v>0</v>
      </c>
    </row>
    <row r="892" spans="1:18" hidden="1" x14ac:dyDescent="0.25">
      <c r="A892" s="165">
        <f>A891+1</f>
        <v>832</v>
      </c>
      <c r="B892" s="2" t="s">
        <v>1130</v>
      </c>
      <c r="C892" s="2" t="s">
        <v>910</v>
      </c>
      <c r="D892" s="17"/>
      <c r="E892" s="17"/>
      <c r="I892" s="37">
        <f>IFERROR(VLOOKUP(B892,'TB '!$A:$G,7,),0)</f>
        <v>-40000</v>
      </c>
      <c r="J892" s="37">
        <f>IFERROR(VLOOKUP($B892,'TB '!$4:$1048576,MATCH('List of Ledgers '!J$4,'TB '!$4:$4,0),0),0)</f>
        <v>40000</v>
      </c>
      <c r="K892" s="37">
        <f>IFERROR(VLOOKUP($B892,'TB '!$4:$1048576,MATCH('List of Ledgers '!K$4,'TB '!$4:$4,0),0),0)</f>
        <v>40667</v>
      </c>
      <c r="L892" s="37">
        <f>IFERROR(VLOOKUP(B892,'TB '!$A:$J,10,),0)</f>
        <v>-40667</v>
      </c>
      <c r="M892" s="71"/>
      <c r="N892" s="63">
        <f>IFERROR(VLOOKUP($B892,'TB YTD'!$4:$1048576,MATCH('List of Ledgers '!N$4,'TB YTD'!$4:$4,0),0),0)</f>
        <v>0</v>
      </c>
      <c r="O892" s="63">
        <f>IFERROR(VLOOKUP($B892,'TB YTD'!$4:$1048576,MATCH('List of Ledgers '!O$4,'TB YTD'!$4:$4,0),0),0)</f>
        <v>104666</v>
      </c>
      <c r="P892" s="63">
        <f>IFERROR(VLOOKUP($B892,'TB YTD'!$4:$1048576,MATCH('List of Ledgers '!P$4,'TB YTD'!$4:$4,0),0),0)</f>
        <v>145333</v>
      </c>
      <c r="Q892" s="63">
        <f>IFERROR(VLOOKUP($B892,'TB YTD'!$4:$1048576,MATCH('List of Ledgers '!Q$4,'TB YTD'!$4:$4,0),0),0)</f>
        <v>-40667</v>
      </c>
      <c r="R892" s="63"/>
    </row>
    <row r="893" spans="1:18" hidden="1" x14ac:dyDescent="0.25">
      <c r="A893" s="165">
        <v>832</v>
      </c>
      <c r="B893" s="2" t="s">
        <v>1073</v>
      </c>
      <c r="C893" s="2" t="s">
        <v>1032</v>
      </c>
      <c r="D893" s="17" t="s">
        <v>128</v>
      </c>
      <c r="E893" s="17" t="s">
        <v>131</v>
      </c>
      <c r="G893" s="17" t="s">
        <v>9</v>
      </c>
      <c r="I893" s="37">
        <f>IFERROR(VLOOKUP(B893,'TB '!$A:$G,7,),0)</f>
        <v>0</v>
      </c>
      <c r="J893" s="37">
        <f>IFERROR(VLOOKUP($B893,'TB '!$4:$1048576,MATCH('List of Ledgers '!J$4,'TB '!$4:$4,0),0),0)</f>
        <v>2734200</v>
      </c>
      <c r="K893" s="37">
        <f>IFERROR(VLOOKUP($B893,'TB '!$4:$1048576,MATCH('List of Ledgers '!K$4,'TB '!$4:$4,0),0),0)</f>
        <v>2734200</v>
      </c>
      <c r="L893" s="37">
        <f>IFERROR(VLOOKUP(B893,'TB '!$A:$J,10,),0)</f>
        <v>0</v>
      </c>
      <c r="N893" s="63">
        <f>IFERROR(VLOOKUP($B893,'TB YTD'!$4:$1048576,MATCH('List of Ledgers '!N$4,'TB YTD'!$4:$4,0),0),0)</f>
        <v>0</v>
      </c>
      <c r="O893" s="63">
        <f>IFERROR(VLOOKUP($B893,'TB YTD'!$4:$1048576,MATCH('List of Ledgers '!O$4,'TB YTD'!$4:$4,0),0),0)</f>
        <v>5666183</v>
      </c>
      <c r="P893" s="63">
        <f>IFERROR(VLOOKUP($B893,'TB YTD'!$4:$1048576,MATCH('List of Ledgers '!P$4,'TB YTD'!$4:$4,0),0),0)</f>
        <v>5666183</v>
      </c>
      <c r="Q893" s="63">
        <f>IFERROR(VLOOKUP($B893,'TB YTD'!$4:$1048576,MATCH('List of Ledgers '!Q$4,'TB YTD'!$4:$4,0),0),0)</f>
        <v>0</v>
      </c>
    </row>
    <row r="894" spans="1:18" hidden="1" x14ac:dyDescent="0.25">
      <c r="A894" s="165">
        <f>A893+1</f>
        <v>833</v>
      </c>
      <c r="B894" s="2" t="s">
        <v>1276</v>
      </c>
      <c r="C894" s="2" t="s">
        <v>910</v>
      </c>
      <c r="D894" s="17"/>
      <c r="E894" s="17"/>
      <c r="I894" s="37">
        <f>IFERROR(VLOOKUP(B894,'TB '!$A:$G,7,),0)</f>
        <v>0</v>
      </c>
      <c r="J894" s="37">
        <f>IFERROR(VLOOKUP($B894,'TB '!$4:$1048576,MATCH('List of Ledgers '!J$4,'TB '!$4:$4,0),0),0)</f>
        <v>0</v>
      </c>
      <c r="K894" s="37">
        <f>IFERROR(VLOOKUP($B894,'TB '!$4:$1048576,MATCH('List of Ledgers '!K$4,'TB '!$4:$4,0),0),0)</f>
        <v>0</v>
      </c>
      <c r="L894" s="37">
        <f>IFERROR(VLOOKUP(B894,'TB '!$A:$J,10,),0)</f>
        <v>0</v>
      </c>
      <c r="M894" s="71"/>
      <c r="N894" s="63">
        <f>IFERROR(VLOOKUP($B894,'TB YTD'!$4:$1048576,MATCH('List of Ledgers '!N$4,'TB YTD'!$4:$4,0),0),0)</f>
        <v>0</v>
      </c>
      <c r="O894" s="63">
        <f>IFERROR(VLOOKUP($B894,'TB YTD'!$4:$1048576,MATCH('List of Ledgers '!O$4,'TB YTD'!$4:$4,0),0),0)</f>
        <v>0</v>
      </c>
      <c r="P894" s="63">
        <f>IFERROR(VLOOKUP($B894,'TB YTD'!$4:$1048576,MATCH('List of Ledgers '!P$4,'TB YTD'!$4:$4,0),0),0)</f>
        <v>0</v>
      </c>
      <c r="Q894" s="63">
        <f>IFERROR(VLOOKUP($B894,'TB YTD'!$4:$1048576,MATCH('List of Ledgers '!Q$4,'TB YTD'!$4:$4,0),0),0)</f>
        <v>0</v>
      </c>
      <c r="R894" s="63"/>
    </row>
    <row r="895" spans="1:18" hidden="1" x14ac:dyDescent="0.25">
      <c r="A895" s="165">
        <v>833</v>
      </c>
      <c r="B895" s="2" t="s">
        <v>1074</v>
      </c>
      <c r="C895" s="2" t="s">
        <v>1034</v>
      </c>
      <c r="D895" s="17" t="s">
        <v>151</v>
      </c>
      <c r="E895" s="17" t="s">
        <v>152</v>
      </c>
      <c r="F895" s="12" t="s">
        <v>63</v>
      </c>
      <c r="G895" s="17" t="s">
        <v>9</v>
      </c>
      <c r="I895" s="37">
        <f>IFERROR(VLOOKUP(B895,'TB '!$A:$G,7,),0)</f>
        <v>0</v>
      </c>
      <c r="J895" s="37">
        <f>IFERROR(VLOOKUP($B895,'TB '!$4:$1048576,MATCH('List of Ledgers '!J$4,'TB '!$4:$4,0),0),0)</f>
        <v>87433</v>
      </c>
      <c r="K895" s="37">
        <f>IFERROR(VLOOKUP($B895,'TB '!$4:$1048576,MATCH('List of Ledgers '!K$4,'TB '!$4:$4,0),0),0)</f>
        <v>0</v>
      </c>
      <c r="L895" s="37">
        <f>IFERROR(VLOOKUP(B895,'TB '!$A:$J,10,),0)</f>
        <v>87433</v>
      </c>
      <c r="N895" s="63">
        <f>IFERROR(VLOOKUP($B895,'TB YTD'!$4:$1048576,MATCH('List of Ledgers '!N$4,'TB YTD'!$4:$4,0),0),0)</f>
        <v>0</v>
      </c>
      <c r="O895" s="63">
        <f>IFERROR(VLOOKUP($B895,'TB YTD'!$4:$1048576,MATCH('List of Ledgers '!O$4,'TB YTD'!$4:$4,0),0),0)</f>
        <v>314033</v>
      </c>
      <c r="P895" s="63">
        <f>IFERROR(VLOOKUP($B895,'TB YTD'!$4:$1048576,MATCH('List of Ledgers '!P$4,'TB YTD'!$4:$4,0),0),0)</f>
        <v>0</v>
      </c>
      <c r="Q895" s="63">
        <f>IFERROR(VLOOKUP($B895,'TB YTD'!$4:$1048576,MATCH('List of Ledgers '!Q$4,'TB YTD'!$4:$4,0),0),0)</f>
        <v>314033</v>
      </c>
    </row>
    <row r="896" spans="1:18" hidden="1" x14ac:dyDescent="0.25">
      <c r="A896" s="165">
        <f>A895+1</f>
        <v>834</v>
      </c>
      <c r="B896" s="2" t="s">
        <v>1263</v>
      </c>
      <c r="C896" s="2" t="s">
        <v>876</v>
      </c>
      <c r="D896" s="17" t="s">
        <v>151</v>
      </c>
      <c r="E896" s="17" t="s">
        <v>152</v>
      </c>
      <c r="F896" s="12" t="s">
        <v>67</v>
      </c>
      <c r="G896" s="17" t="s">
        <v>9</v>
      </c>
      <c r="I896" s="37">
        <f>IFERROR(VLOOKUP(B896,'TB '!$A:$G,7,),0)</f>
        <v>0</v>
      </c>
      <c r="J896" s="37">
        <f>IFERROR(VLOOKUP($B896,'TB '!$4:$1048576,MATCH('List of Ledgers '!J$4,'TB '!$4:$4,0),0),0)</f>
        <v>499</v>
      </c>
      <c r="K896" s="37">
        <f>IFERROR(VLOOKUP($B896,'TB '!$4:$1048576,MATCH('List of Ledgers '!K$4,'TB '!$4:$4,0),0),0)</f>
        <v>0</v>
      </c>
      <c r="L896" s="37">
        <f>IFERROR(VLOOKUP(B896,'TB '!$A:$J,10,),0)</f>
        <v>499</v>
      </c>
      <c r="M896" s="71"/>
      <c r="N896" s="63">
        <f>IFERROR(VLOOKUP($B896,'TB YTD'!$4:$1048576,MATCH('List of Ledgers '!N$4,'TB YTD'!$4:$4,0),0),0)</f>
        <v>0</v>
      </c>
      <c r="O896" s="63">
        <f>IFERROR(VLOOKUP($B896,'TB YTD'!$4:$1048576,MATCH('List of Ledgers '!O$4,'TB YTD'!$4:$4,0),0),0)</f>
        <v>1384.32</v>
      </c>
      <c r="P896" s="63">
        <f>IFERROR(VLOOKUP($B896,'TB YTD'!$4:$1048576,MATCH('List of Ledgers '!P$4,'TB YTD'!$4:$4,0),0),0)</f>
        <v>0</v>
      </c>
      <c r="Q896" s="63">
        <f>IFERROR(VLOOKUP($B896,'TB YTD'!$4:$1048576,MATCH('List of Ledgers '!Q$4,'TB YTD'!$4:$4,0),0),0)</f>
        <v>1384.32</v>
      </c>
      <c r="R896" s="63"/>
    </row>
    <row r="897" spans="1:18" hidden="1" x14ac:dyDescent="0.25">
      <c r="A897" s="165">
        <v>834</v>
      </c>
      <c r="B897" s="2" t="s">
        <v>1075</v>
      </c>
      <c r="C897" s="2" t="s">
        <v>1058</v>
      </c>
      <c r="D897" s="17" t="s">
        <v>151</v>
      </c>
      <c r="E897" s="17" t="s">
        <v>152</v>
      </c>
      <c r="F897" s="12" t="s">
        <v>56</v>
      </c>
      <c r="G897" s="17" t="s">
        <v>9</v>
      </c>
      <c r="I897" s="37">
        <f>IFERROR(VLOOKUP(B897,'TB '!$A:$G,7,),0)</f>
        <v>0</v>
      </c>
      <c r="J897" s="37">
        <f>IFERROR(VLOOKUP($B897,'TB '!$4:$1048576,MATCH('List of Ledgers '!J$4,'TB '!$4:$4,0),0),0)</f>
        <v>5300</v>
      </c>
      <c r="K897" s="37">
        <f>IFERROR(VLOOKUP($B897,'TB '!$4:$1048576,MATCH('List of Ledgers '!K$4,'TB '!$4:$4,0),0),0)</f>
        <v>0</v>
      </c>
      <c r="L897" s="37">
        <f>IFERROR(VLOOKUP(B897,'TB '!$A:$J,10,),0)</f>
        <v>5300</v>
      </c>
      <c r="N897" s="63">
        <f>IFERROR(VLOOKUP($B897,'TB YTD'!$4:$1048576,MATCH('List of Ledgers '!N$4,'TB YTD'!$4:$4,0),0),0)</f>
        <v>0</v>
      </c>
      <c r="O897" s="63">
        <f>IFERROR(VLOOKUP($B897,'TB YTD'!$4:$1048576,MATCH('List of Ledgers '!O$4,'TB YTD'!$4:$4,0),0),0)</f>
        <v>9729</v>
      </c>
      <c r="P897" s="63">
        <f>IFERROR(VLOOKUP($B897,'TB YTD'!$4:$1048576,MATCH('List of Ledgers '!P$4,'TB YTD'!$4:$4,0),0),0)</f>
        <v>0</v>
      </c>
      <c r="Q897" s="63">
        <f>IFERROR(VLOOKUP($B897,'TB YTD'!$4:$1048576,MATCH('List of Ledgers '!Q$4,'TB YTD'!$4:$4,0),0),0)</f>
        <v>9729</v>
      </c>
    </row>
    <row r="898" spans="1:18" hidden="1" x14ac:dyDescent="0.25">
      <c r="A898" s="165">
        <f>A897+1</f>
        <v>835</v>
      </c>
      <c r="B898" s="2" t="s">
        <v>1264</v>
      </c>
      <c r="C898" s="2" t="s">
        <v>876</v>
      </c>
      <c r="D898" s="17" t="s">
        <v>151</v>
      </c>
      <c r="E898" s="17" t="s">
        <v>1291</v>
      </c>
      <c r="F898" s="12" t="s">
        <v>1290</v>
      </c>
      <c r="G898" s="17" t="s">
        <v>9</v>
      </c>
      <c r="I898" s="37">
        <f>IFERROR(VLOOKUP(B898,'TB '!$A:$G,7,),0)</f>
        <v>0</v>
      </c>
      <c r="J898" s="37">
        <f>IFERROR(VLOOKUP($B898,'TB '!$4:$1048576,MATCH('List of Ledgers '!J$4,'TB '!$4:$4,0),0),0)</f>
        <v>174575</v>
      </c>
      <c r="K898" s="37">
        <f>IFERROR(VLOOKUP($B898,'TB '!$4:$1048576,MATCH('List of Ledgers '!K$4,'TB '!$4:$4,0),0),0)</f>
        <v>0</v>
      </c>
      <c r="L898" s="37">
        <f>IFERROR(VLOOKUP(B898,'TB '!$A:$J,10,),0)</f>
        <v>174575</v>
      </c>
      <c r="M898" s="71"/>
      <c r="N898" s="63">
        <f>IFERROR(VLOOKUP($B898,'TB YTD'!$4:$1048576,MATCH('List of Ledgers '!N$4,'TB YTD'!$4:$4,0),0),0)</f>
        <v>0</v>
      </c>
      <c r="O898" s="63">
        <f>IFERROR(VLOOKUP($B898,'TB YTD'!$4:$1048576,MATCH('List of Ledgers '!O$4,'TB YTD'!$4:$4,0),0),0)</f>
        <v>348885</v>
      </c>
      <c r="P898" s="63">
        <f>IFERROR(VLOOKUP($B898,'TB YTD'!$4:$1048576,MATCH('List of Ledgers '!P$4,'TB YTD'!$4:$4,0),0),0)</f>
        <v>0</v>
      </c>
      <c r="Q898" s="63">
        <f>IFERROR(VLOOKUP($B898,'TB YTD'!$4:$1048576,MATCH('List of Ledgers '!Q$4,'TB YTD'!$4:$4,0),0),0)</f>
        <v>348885</v>
      </c>
      <c r="R898" s="63"/>
    </row>
    <row r="899" spans="1:18" hidden="1" x14ac:dyDescent="0.25">
      <c r="A899" s="165">
        <v>835</v>
      </c>
      <c r="B899" s="2" t="s">
        <v>1076</v>
      </c>
      <c r="C899" s="2" t="s">
        <v>910</v>
      </c>
      <c r="I899" s="37">
        <f>IFERROR(VLOOKUP(B899,'TB '!$A:$G,7,),0)</f>
        <v>0</v>
      </c>
      <c r="J899" s="37">
        <f>IFERROR(VLOOKUP($B899,'TB '!$4:$1048576,MATCH('List of Ledgers '!J$4,'TB '!$4:$4,0),0),0)</f>
        <v>0</v>
      </c>
      <c r="K899" s="37">
        <f>IFERROR(VLOOKUP($B899,'TB '!$4:$1048576,MATCH('List of Ledgers '!K$4,'TB '!$4:$4,0),0),0)</f>
        <v>0</v>
      </c>
      <c r="L899" s="37">
        <f>IFERROR(VLOOKUP(B899,'TB '!$A:$J,10,),0)</f>
        <v>0</v>
      </c>
      <c r="N899" s="63">
        <f>IFERROR(VLOOKUP($B899,'TB YTD'!$4:$1048576,MATCH('List of Ledgers '!N$4,'TB YTD'!$4:$4,0),0),0)</f>
        <v>0</v>
      </c>
      <c r="O899" s="63">
        <f>IFERROR(VLOOKUP($B899,'TB YTD'!$4:$1048576,MATCH('List of Ledgers '!O$4,'TB YTD'!$4:$4,0),0),0)</f>
        <v>0</v>
      </c>
      <c r="P899" s="63">
        <f>IFERROR(VLOOKUP($B899,'TB YTD'!$4:$1048576,MATCH('List of Ledgers '!P$4,'TB YTD'!$4:$4,0),0),0)</f>
        <v>0</v>
      </c>
      <c r="Q899" s="63">
        <f>IFERROR(VLOOKUP($B899,'TB YTD'!$4:$1048576,MATCH('List of Ledgers '!Q$4,'TB YTD'!$4:$4,0),0),0)</f>
        <v>0</v>
      </c>
    </row>
    <row r="900" spans="1:18" hidden="1" x14ac:dyDescent="0.25">
      <c r="A900" s="165">
        <f>A899+1</f>
        <v>836</v>
      </c>
      <c r="B900" s="2" t="s">
        <v>1265</v>
      </c>
      <c r="C900" s="2" t="s">
        <v>876</v>
      </c>
      <c r="D900" s="17" t="s">
        <v>151</v>
      </c>
      <c r="E900" s="17" t="s">
        <v>152</v>
      </c>
      <c r="F900" s="12" t="s">
        <v>69</v>
      </c>
      <c r="G900" s="17" t="s">
        <v>9</v>
      </c>
      <c r="I900" s="37">
        <f>IFERROR(VLOOKUP(B900,'TB '!$A:$G,7,),0)</f>
        <v>0</v>
      </c>
      <c r="J900" s="37">
        <f>IFERROR(VLOOKUP($B900,'TB '!$4:$1048576,MATCH('List of Ledgers '!J$4,'TB '!$4:$4,0),0),0)</f>
        <v>5395.95</v>
      </c>
      <c r="K900" s="37">
        <f>IFERROR(VLOOKUP($B900,'TB '!$4:$1048576,MATCH('List of Ledgers '!K$4,'TB '!$4:$4,0),0),0)</f>
        <v>0</v>
      </c>
      <c r="L900" s="37">
        <f>IFERROR(VLOOKUP(B900,'TB '!$A:$J,10,),0)</f>
        <v>5395.95</v>
      </c>
      <c r="M900" s="71"/>
      <c r="N900" s="63">
        <f>IFERROR(VLOOKUP($B900,'TB YTD'!$4:$1048576,MATCH('List of Ledgers '!N$4,'TB YTD'!$4:$4,0),0),0)</f>
        <v>0</v>
      </c>
      <c r="O900" s="63">
        <f>IFERROR(VLOOKUP($B900,'TB YTD'!$4:$1048576,MATCH('List of Ledgers '!O$4,'TB YTD'!$4:$4,0),0),0)</f>
        <v>14636.95</v>
      </c>
      <c r="P900" s="63">
        <f>IFERROR(VLOOKUP($B900,'TB YTD'!$4:$1048576,MATCH('List of Ledgers '!P$4,'TB YTD'!$4:$4,0),0),0)</f>
        <v>0</v>
      </c>
      <c r="Q900" s="63">
        <f>IFERROR(VLOOKUP($B900,'TB YTD'!$4:$1048576,MATCH('List of Ledgers '!Q$4,'TB YTD'!$4:$4,0),0),0)</f>
        <v>14636.95</v>
      </c>
      <c r="R900" s="63"/>
    </row>
    <row r="901" spans="1:18" hidden="1" x14ac:dyDescent="0.25">
      <c r="A901" s="165">
        <v>836</v>
      </c>
      <c r="B901" s="2" t="s">
        <v>1077</v>
      </c>
      <c r="C901" s="2" t="s">
        <v>495</v>
      </c>
      <c r="D901" s="17" t="s">
        <v>128</v>
      </c>
      <c r="E901" s="17" t="s">
        <v>134</v>
      </c>
      <c r="G901" s="12" t="s">
        <v>9</v>
      </c>
      <c r="I901" s="37">
        <f>IFERROR(VLOOKUP(B901,'TB '!$A:$G,7,),0)</f>
        <v>2489532</v>
      </c>
      <c r="J901" s="37">
        <f>IFERROR(VLOOKUP($B901,'TB '!$4:$1048576,MATCH('List of Ledgers '!J$4,'TB '!$4:$4,0),0),0)</f>
        <v>2631747</v>
      </c>
      <c r="K901" s="37">
        <f>IFERROR(VLOOKUP($B901,'TB '!$4:$1048576,MATCH('List of Ledgers '!K$4,'TB '!$4:$4,0),0),0)</f>
        <v>2556565.9700000002</v>
      </c>
      <c r="L901" s="37">
        <f>IFERROR(VLOOKUP(B901,'TB '!$A:$J,10,),0)</f>
        <v>2564713.0299999998</v>
      </c>
      <c r="N901" s="63">
        <f>IFERROR(VLOOKUP($B901,'TB YTD'!$4:$1048576,MATCH('List of Ledgers '!N$4,'TB YTD'!$4:$4,0),0),0)</f>
        <v>0</v>
      </c>
      <c r="O901" s="63">
        <f>IFERROR(VLOOKUP($B901,'TB YTD'!$4:$1048576,MATCH('List of Ledgers '!O$4,'TB YTD'!$4:$4,0),0),0)</f>
        <v>7596098.04</v>
      </c>
      <c r="P901" s="63">
        <f>IFERROR(VLOOKUP($B901,'TB YTD'!$4:$1048576,MATCH('List of Ledgers '!P$4,'TB YTD'!$4:$4,0),0),0)</f>
        <v>5031385.01</v>
      </c>
      <c r="Q901" s="63">
        <f>IFERROR(VLOOKUP($B901,'TB YTD'!$4:$1048576,MATCH('List of Ledgers '!Q$4,'TB YTD'!$4:$4,0),0),0)</f>
        <v>2564713.0299999998</v>
      </c>
    </row>
    <row r="902" spans="1:18" hidden="1" x14ac:dyDescent="0.25">
      <c r="A902" s="165">
        <f>A901+1</f>
        <v>837</v>
      </c>
      <c r="B902" s="2" t="s">
        <v>1266</v>
      </c>
      <c r="C902" s="2" t="s">
        <v>876</v>
      </c>
      <c r="D902" s="17" t="s">
        <v>151</v>
      </c>
      <c r="E902" s="17" t="s">
        <v>152</v>
      </c>
      <c r="F902" s="12" t="s">
        <v>68</v>
      </c>
      <c r="G902" s="17" t="s">
        <v>9</v>
      </c>
      <c r="I902" s="37">
        <f>IFERROR(VLOOKUP(B902,'TB '!$A:$G,7,),0)</f>
        <v>0</v>
      </c>
      <c r="J902" s="37">
        <f>IFERROR(VLOOKUP($B902,'TB '!$4:$1048576,MATCH('List of Ledgers '!J$4,'TB '!$4:$4,0),0),0)</f>
        <v>0</v>
      </c>
      <c r="K902" s="37">
        <f>IFERROR(VLOOKUP($B902,'TB '!$4:$1048576,MATCH('List of Ledgers '!K$4,'TB '!$4:$4,0),0),0)</f>
        <v>0</v>
      </c>
      <c r="L902" s="37">
        <f>IFERROR(VLOOKUP(B902,'TB '!$A:$J,10,),0)</f>
        <v>0</v>
      </c>
      <c r="M902" s="71"/>
      <c r="N902" s="63">
        <f>IFERROR(VLOOKUP($B902,'TB YTD'!$4:$1048576,MATCH('List of Ledgers '!N$4,'TB YTD'!$4:$4,0),0),0)</f>
        <v>0</v>
      </c>
      <c r="O902" s="63">
        <f>IFERROR(VLOOKUP($B902,'TB YTD'!$4:$1048576,MATCH('List of Ledgers '!O$4,'TB YTD'!$4:$4,0),0),0)</f>
        <v>0</v>
      </c>
      <c r="P902" s="63">
        <f>IFERROR(VLOOKUP($B902,'TB YTD'!$4:$1048576,MATCH('List of Ledgers '!P$4,'TB YTD'!$4:$4,0),0),0)</f>
        <v>0</v>
      </c>
      <c r="Q902" s="63">
        <f>IFERROR(VLOOKUP($B902,'TB YTD'!$4:$1048576,MATCH('List of Ledgers '!Q$4,'TB YTD'!$4:$4,0),0),0)</f>
        <v>0</v>
      </c>
      <c r="R902" s="63"/>
    </row>
    <row r="903" spans="1:18" hidden="1" x14ac:dyDescent="0.25">
      <c r="A903" s="165">
        <v>837</v>
      </c>
      <c r="B903" s="2" t="s">
        <v>1078</v>
      </c>
      <c r="C903" s="2" t="s">
        <v>1079</v>
      </c>
      <c r="D903" s="17" t="s">
        <v>128</v>
      </c>
      <c r="E903" s="17" t="s">
        <v>134</v>
      </c>
      <c r="G903" s="17" t="s">
        <v>9</v>
      </c>
      <c r="I903" s="37">
        <f>IFERROR(VLOOKUP(B903,'TB '!$A:$G,7,),0)</f>
        <v>5226962.4400000004</v>
      </c>
      <c r="J903" s="37">
        <f>IFERROR(VLOOKUP($B903,'TB '!$4:$1048576,MATCH('List of Ledgers '!J$4,'TB '!$4:$4,0),0),0)</f>
        <v>6743803</v>
      </c>
      <c r="K903" s="37">
        <f>IFERROR(VLOOKUP($B903,'TB '!$4:$1048576,MATCH('List of Ledgers '!K$4,'TB '!$4:$4,0),0),0)</f>
        <v>3599664.85</v>
      </c>
      <c r="L903" s="37">
        <f>IFERROR(VLOOKUP(B903,'TB '!$A:$J,10,),0)</f>
        <v>8371100.5899999999</v>
      </c>
      <c r="N903" s="63">
        <f>IFERROR(VLOOKUP($B903,'TB YTD'!$4:$1048576,MATCH('List of Ledgers '!N$4,'TB YTD'!$4:$4,0),0),0)</f>
        <v>0</v>
      </c>
      <c r="O903" s="63">
        <f>IFERROR(VLOOKUP($B903,'TB YTD'!$4:$1048576,MATCH('List of Ledgers '!O$4,'TB YTD'!$4:$4,0),0),0)</f>
        <v>14662803.029999999</v>
      </c>
      <c r="P903" s="63">
        <f>IFERROR(VLOOKUP($B903,'TB YTD'!$4:$1048576,MATCH('List of Ledgers '!P$4,'TB YTD'!$4:$4,0),0),0)</f>
        <v>6291702.4400000004</v>
      </c>
      <c r="Q903" s="63">
        <f>IFERROR(VLOOKUP($B903,'TB YTD'!$4:$1048576,MATCH('List of Ledgers '!Q$4,'TB YTD'!$4:$4,0),0),0)</f>
        <v>8371100.5899999999</v>
      </c>
    </row>
    <row r="904" spans="1:18" hidden="1" x14ac:dyDescent="0.25">
      <c r="A904" s="165">
        <f>A903+1</f>
        <v>838</v>
      </c>
      <c r="B904" s="2" t="s">
        <v>1279</v>
      </c>
      <c r="C904" s="2" t="s">
        <v>876</v>
      </c>
      <c r="D904" s="17" t="s">
        <v>151</v>
      </c>
      <c r="E904" s="17" t="s">
        <v>1291</v>
      </c>
      <c r="F904" s="12" t="s">
        <v>1290</v>
      </c>
      <c r="G904" s="17" t="s">
        <v>9</v>
      </c>
      <c r="I904" s="37">
        <f>IFERROR(VLOOKUP(B904,'TB '!$A:$G,7,),0)</f>
        <v>0</v>
      </c>
      <c r="J904" s="37">
        <f>IFERROR(VLOOKUP($B904,'TB '!$4:$1048576,MATCH('List of Ledgers '!J$4,'TB '!$4:$4,0),0),0)</f>
        <v>0</v>
      </c>
      <c r="K904" s="37">
        <f>IFERROR(VLOOKUP($B904,'TB '!$4:$1048576,MATCH('List of Ledgers '!K$4,'TB '!$4:$4,0),0),0)</f>
        <v>0</v>
      </c>
      <c r="L904" s="37">
        <f>IFERROR(VLOOKUP(B904,'TB '!$A:$J,10,),0)</f>
        <v>0</v>
      </c>
      <c r="M904" s="71"/>
      <c r="N904" s="63">
        <f>IFERROR(VLOOKUP($B904,'TB YTD'!$4:$1048576,MATCH('List of Ledgers '!N$4,'TB YTD'!$4:$4,0),0),0)</f>
        <v>0</v>
      </c>
      <c r="O904" s="63">
        <f>IFERROR(VLOOKUP($B904,'TB YTD'!$4:$1048576,MATCH('List of Ledgers '!O$4,'TB YTD'!$4:$4,0),0),0)</f>
        <v>206725</v>
      </c>
      <c r="P904" s="63">
        <f>IFERROR(VLOOKUP($B904,'TB YTD'!$4:$1048576,MATCH('List of Ledgers '!P$4,'TB YTD'!$4:$4,0),0),0)</f>
        <v>0</v>
      </c>
      <c r="Q904" s="63">
        <f>IFERROR(VLOOKUP($B904,'TB YTD'!$4:$1048576,MATCH('List of Ledgers '!Q$4,'TB YTD'!$4:$4,0),0),0)</f>
        <v>206725</v>
      </c>
      <c r="R904" s="63"/>
    </row>
    <row r="905" spans="1:18" hidden="1" x14ac:dyDescent="0.25">
      <c r="A905" s="165">
        <v>838</v>
      </c>
      <c r="B905" s="2" t="s">
        <v>1080</v>
      </c>
      <c r="C905" s="2" t="s">
        <v>566</v>
      </c>
      <c r="D905" s="17" t="s">
        <v>151</v>
      </c>
      <c r="E905" s="17" t="s">
        <v>272</v>
      </c>
      <c r="F905" s="12" t="s">
        <v>566</v>
      </c>
      <c r="G905" s="17" t="s">
        <v>7</v>
      </c>
      <c r="I905" s="37">
        <f>IFERROR(VLOOKUP(B905,'TB '!$A:$G,7,),0)</f>
        <v>0</v>
      </c>
      <c r="J905" s="37">
        <f>IFERROR(VLOOKUP($B905,'TB '!$4:$1048576,MATCH('List of Ledgers '!J$4,'TB '!$4:$4,0),0),0)</f>
        <v>0</v>
      </c>
      <c r="K905" s="37">
        <f>IFERROR(VLOOKUP($B905,'TB '!$4:$1048576,MATCH('List of Ledgers '!K$4,'TB '!$4:$4,0),0),0)</f>
        <v>0</v>
      </c>
      <c r="L905" s="37">
        <f>IFERROR(VLOOKUP(B905,'TB '!$A:$J,10,),0)</f>
        <v>0</v>
      </c>
      <c r="M905" s="71"/>
      <c r="N905" s="63">
        <f>IFERROR(VLOOKUP($B905,'TB YTD'!$4:$1048576,MATCH('List of Ledgers '!N$4,'TB YTD'!$4:$4,0),0),0)</f>
        <v>0</v>
      </c>
      <c r="O905" s="63">
        <f>IFERROR(VLOOKUP($B905,'TB YTD'!$4:$1048576,MATCH('List of Ledgers '!O$4,'TB YTD'!$4:$4,0),0),0)</f>
        <v>0</v>
      </c>
      <c r="P905" s="63">
        <f>IFERROR(VLOOKUP($B905,'TB YTD'!$4:$1048576,MATCH('List of Ledgers '!P$4,'TB YTD'!$4:$4,0),0),0)</f>
        <v>14424</v>
      </c>
      <c r="Q905" s="175">
        <f>IFERROR(VLOOKUP($B905,'TB YTD'!$4:$1048576,MATCH('List of Ledgers '!Q$4,'TB YTD'!$4:$4,0),0),0)</f>
        <v>-14424</v>
      </c>
      <c r="R905" s="63"/>
    </row>
    <row r="906" spans="1:18" hidden="1" x14ac:dyDescent="0.25">
      <c r="A906" s="165">
        <f>A905+1</f>
        <v>839</v>
      </c>
      <c r="B906" s="2" t="s">
        <v>1280</v>
      </c>
      <c r="C906" s="2" t="s">
        <v>876</v>
      </c>
      <c r="D906" s="17" t="s">
        <v>151</v>
      </c>
      <c r="E906" s="17" t="s">
        <v>1291</v>
      </c>
      <c r="F906" s="12" t="s">
        <v>1290</v>
      </c>
      <c r="G906" s="17" t="s">
        <v>9</v>
      </c>
      <c r="I906" s="37">
        <f>IFERROR(VLOOKUP(B906,'TB '!$A:$G,7,),0)</f>
        <v>0</v>
      </c>
      <c r="J906" s="37">
        <f>IFERROR(VLOOKUP($B906,'TB '!$4:$1048576,MATCH('List of Ledgers '!J$4,'TB '!$4:$4,0),0),0)</f>
        <v>0</v>
      </c>
      <c r="K906" s="37">
        <f>IFERROR(VLOOKUP($B906,'TB '!$4:$1048576,MATCH('List of Ledgers '!K$4,'TB '!$4:$4,0),0),0)</f>
        <v>0</v>
      </c>
      <c r="L906" s="37">
        <f>IFERROR(VLOOKUP(B906,'TB '!$A:$J,10,),0)</f>
        <v>0</v>
      </c>
      <c r="M906" s="71"/>
      <c r="N906" s="63">
        <f>IFERROR(VLOOKUP($B906,'TB YTD'!$4:$1048576,MATCH('List of Ledgers '!N$4,'TB YTD'!$4:$4,0),0),0)</f>
        <v>0</v>
      </c>
      <c r="O906" s="63">
        <f>IFERROR(VLOOKUP($B906,'TB YTD'!$4:$1048576,MATCH('List of Ledgers '!O$4,'TB YTD'!$4:$4,0),0),0)</f>
        <v>0</v>
      </c>
      <c r="P906" s="63">
        <f>IFERROR(VLOOKUP($B906,'TB YTD'!$4:$1048576,MATCH('List of Ledgers '!P$4,'TB YTD'!$4:$4,0),0),0)</f>
        <v>0</v>
      </c>
      <c r="Q906" s="63">
        <f>IFERROR(VLOOKUP($B906,'TB YTD'!$4:$1048576,MATCH('List of Ledgers '!Q$4,'TB YTD'!$4:$4,0),0),0)</f>
        <v>0</v>
      </c>
      <c r="R906" s="63"/>
    </row>
    <row r="907" spans="1:18" hidden="1" x14ac:dyDescent="0.25">
      <c r="A907" s="165">
        <v>839</v>
      </c>
      <c r="B907" s="2" t="s">
        <v>1081</v>
      </c>
      <c r="C907" s="2" t="s">
        <v>876</v>
      </c>
      <c r="D907" s="17" t="s">
        <v>151</v>
      </c>
      <c r="E907" s="17" t="s">
        <v>152</v>
      </c>
      <c r="F907" s="12" t="s">
        <v>45</v>
      </c>
      <c r="G907" s="17" t="s">
        <v>9</v>
      </c>
      <c r="I907" s="37">
        <f>IFERROR(VLOOKUP(B907,'TB '!$A:$G,7,),0)</f>
        <v>0</v>
      </c>
      <c r="J907" s="37">
        <f>IFERROR(VLOOKUP($B907,'TB '!$4:$1048576,MATCH('List of Ledgers '!J$4,'TB '!$4:$4,0),0),0)</f>
        <v>350</v>
      </c>
      <c r="K907" s="37">
        <f>IFERROR(VLOOKUP($B907,'TB '!$4:$1048576,MATCH('List of Ledgers '!K$4,'TB '!$4:$4,0),0),0)</f>
        <v>0</v>
      </c>
      <c r="L907" s="37">
        <f>IFERROR(VLOOKUP(B907,'TB '!$A:$J,10,),0)</f>
        <v>350</v>
      </c>
      <c r="M907" s="71"/>
      <c r="N907" s="63">
        <f>IFERROR(VLOOKUP($B907,'TB YTD'!$4:$1048576,MATCH('List of Ledgers '!N$4,'TB YTD'!$4:$4,0),0),0)</f>
        <v>0</v>
      </c>
      <c r="O907" s="63">
        <f>IFERROR(VLOOKUP($B907,'TB YTD'!$4:$1048576,MATCH('List of Ledgers '!O$4,'TB YTD'!$4:$4,0),0),0)</f>
        <v>700</v>
      </c>
      <c r="P907" s="63">
        <f>IFERROR(VLOOKUP($B907,'TB YTD'!$4:$1048576,MATCH('List of Ledgers '!P$4,'TB YTD'!$4:$4,0),0),0)</f>
        <v>0</v>
      </c>
      <c r="Q907" s="63">
        <f>IFERROR(VLOOKUP($B907,'TB YTD'!$4:$1048576,MATCH('List of Ledgers '!Q$4,'TB YTD'!$4:$4,0),0),0)</f>
        <v>700</v>
      </c>
      <c r="R907" s="63"/>
    </row>
    <row r="908" spans="1:18" hidden="1" x14ac:dyDescent="0.25">
      <c r="A908" s="165">
        <f>A907+1</f>
        <v>840</v>
      </c>
      <c r="B908" s="2" t="s">
        <v>1281</v>
      </c>
      <c r="C908" s="2" t="s">
        <v>876</v>
      </c>
      <c r="D908" s="17" t="s">
        <v>151</v>
      </c>
      <c r="E908" s="17" t="s">
        <v>1291</v>
      </c>
      <c r="F908" s="12" t="s">
        <v>1290</v>
      </c>
      <c r="G908" s="17" t="s">
        <v>9</v>
      </c>
      <c r="I908" s="37">
        <f>IFERROR(VLOOKUP(B908,'TB '!$A:$G,7,),0)</f>
        <v>0</v>
      </c>
      <c r="J908" s="37">
        <f>IFERROR(VLOOKUP($B908,'TB '!$4:$1048576,MATCH('List of Ledgers '!J$4,'TB '!$4:$4,0),0),0)</f>
        <v>4200</v>
      </c>
      <c r="K908" s="37">
        <f>IFERROR(VLOOKUP($B908,'TB '!$4:$1048576,MATCH('List of Ledgers '!K$4,'TB '!$4:$4,0),0),0)</f>
        <v>0</v>
      </c>
      <c r="L908" s="37">
        <f>IFERROR(VLOOKUP(B908,'TB '!$A:$J,10,),0)</f>
        <v>4200</v>
      </c>
      <c r="M908" s="71"/>
      <c r="N908" s="63">
        <f>IFERROR(VLOOKUP($B908,'TB YTD'!$4:$1048576,MATCH('List of Ledgers '!N$4,'TB YTD'!$4:$4,0),0),0)</f>
        <v>0</v>
      </c>
      <c r="O908" s="63">
        <f>IFERROR(VLOOKUP($B908,'TB YTD'!$4:$1048576,MATCH('List of Ledgers '!O$4,'TB YTD'!$4:$4,0),0),0)</f>
        <v>22400</v>
      </c>
      <c r="P908" s="63">
        <f>IFERROR(VLOOKUP($B908,'TB YTD'!$4:$1048576,MATCH('List of Ledgers '!P$4,'TB YTD'!$4:$4,0),0),0)</f>
        <v>0</v>
      </c>
      <c r="Q908" s="63">
        <f>IFERROR(VLOOKUP($B908,'TB YTD'!$4:$1048576,MATCH('List of Ledgers '!Q$4,'TB YTD'!$4:$4,0),0),0)</f>
        <v>22400</v>
      </c>
      <c r="R908" s="63"/>
    </row>
    <row r="909" spans="1:18" hidden="1" x14ac:dyDescent="0.25">
      <c r="A909" s="165">
        <v>840</v>
      </c>
      <c r="B909" s="2" t="s">
        <v>1082</v>
      </c>
      <c r="C909" s="2" t="s">
        <v>1058</v>
      </c>
      <c r="D909" s="17" t="s">
        <v>151</v>
      </c>
      <c r="E909" s="17" t="s">
        <v>152</v>
      </c>
      <c r="F909" s="12" t="s">
        <v>70</v>
      </c>
      <c r="G909" s="17" t="s">
        <v>9</v>
      </c>
      <c r="I909" s="37">
        <f>IFERROR(VLOOKUP(B909,'TB '!$A:$G,7,),0)</f>
        <v>0</v>
      </c>
      <c r="J909" s="37">
        <f>IFERROR(VLOOKUP($B909,'TB '!$4:$1048576,MATCH('List of Ledgers '!J$4,'TB '!$4:$4,0),0),0)</f>
        <v>0</v>
      </c>
      <c r="K909" s="37">
        <f>IFERROR(VLOOKUP($B909,'TB '!$4:$1048576,MATCH('List of Ledgers '!K$4,'TB '!$4:$4,0),0),0)</f>
        <v>0</v>
      </c>
      <c r="L909" s="37">
        <f>IFERROR(VLOOKUP(B909,'TB '!$A:$J,10,),0)</f>
        <v>0</v>
      </c>
      <c r="M909" s="71"/>
      <c r="N909" s="63">
        <f>IFERROR(VLOOKUP($B909,'TB YTD'!$4:$1048576,MATCH('List of Ledgers '!N$4,'TB YTD'!$4:$4,0),0),0)</f>
        <v>0</v>
      </c>
      <c r="O909" s="63">
        <f>IFERROR(VLOOKUP($B909,'TB YTD'!$4:$1048576,MATCH('List of Ledgers '!O$4,'TB YTD'!$4:$4,0),0),0)</f>
        <v>0</v>
      </c>
      <c r="P909" s="63">
        <f>IFERROR(VLOOKUP($B909,'TB YTD'!$4:$1048576,MATCH('List of Ledgers '!P$4,'TB YTD'!$4:$4,0),0),0)</f>
        <v>0</v>
      </c>
      <c r="Q909" s="63">
        <f>IFERROR(VLOOKUP($B909,'TB YTD'!$4:$1048576,MATCH('List of Ledgers '!Q$4,'TB YTD'!$4:$4,0),0),0)</f>
        <v>0</v>
      </c>
      <c r="R909" s="63"/>
    </row>
    <row r="910" spans="1:18" hidden="1" x14ac:dyDescent="0.25">
      <c r="A910" s="165">
        <f>A909+1</f>
        <v>841</v>
      </c>
      <c r="B910" s="2" t="s">
        <v>1282</v>
      </c>
      <c r="C910" s="2" t="s">
        <v>876</v>
      </c>
      <c r="D910" s="17" t="s">
        <v>151</v>
      </c>
      <c r="E910" s="17" t="s">
        <v>1291</v>
      </c>
      <c r="F910" s="12" t="s">
        <v>1290</v>
      </c>
      <c r="G910" s="17" t="s">
        <v>9</v>
      </c>
      <c r="I910" s="37">
        <f>IFERROR(VLOOKUP(B910,'TB '!$A:$G,7,),0)</f>
        <v>0</v>
      </c>
      <c r="J910" s="37">
        <f>IFERROR(VLOOKUP($B910,'TB '!$4:$1048576,MATCH('List of Ledgers '!J$4,'TB '!$4:$4,0),0),0)</f>
        <v>0</v>
      </c>
      <c r="K910" s="37">
        <f>IFERROR(VLOOKUP($B910,'TB '!$4:$1048576,MATCH('List of Ledgers '!K$4,'TB '!$4:$4,0),0),0)</f>
        <v>0</v>
      </c>
      <c r="L910" s="37">
        <f>IFERROR(VLOOKUP(B910,'TB '!$A:$J,10,),0)</f>
        <v>0</v>
      </c>
      <c r="M910" s="71"/>
      <c r="N910" s="63">
        <f>IFERROR(VLOOKUP($B910,'TB YTD'!$4:$1048576,MATCH('List of Ledgers '!N$4,'TB YTD'!$4:$4,0),0),0)</f>
        <v>0</v>
      </c>
      <c r="O910" s="63">
        <f>IFERROR(VLOOKUP($B910,'TB YTD'!$4:$1048576,MATCH('List of Ledgers '!O$4,'TB YTD'!$4:$4,0),0),0)</f>
        <v>12520</v>
      </c>
      <c r="P910" s="63">
        <f>IFERROR(VLOOKUP($B910,'TB YTD'!$4:$1048576,MATCH('List of Ledgers '!P$4,'TB YTD'!$4:$4,0),0),0)</f>
        <v>0</v>
      </c>
      <c r="Q910" s="63">
        <f>IFERROR(VLOOKUP($B910,'TB YTD'!$4:$1048576,MATCH('List of Ledgers '!Q$4,'TB YTD'!$4:$4,0),0),0)</f>
        <v>12520</v>
      </c>
      <c r="R910" s="63"/>
    </row>
    <row r="911" spans="1:18" hidden="1" x14ac:dyDescent="0.25">
      <c r="A911" s="165">
        <v>841</v>
      </c>
      <c r="B911" s="2" t="s">
        <v>1083</v>
      </c>
      <c r="C911" s="2" t="s">
        <v>1058</v>
      </c>
      <c r="D911" s="17" t="s">
        <v>151</v>
      </c>
      <c r="E911" s="17" t="s">
        <v>152</v>
      </c>
      <c r="F911" s="12" t="s">
        <v>61</v>
      </c>
      <c r="G911" s="17" t="s">
        <v>9</v>
      </c>
      <c r="I911" s="37">
        <f>IFERROR(VLOOKUP(B911,'TB '!$A:$G,7,),0)</f>
        <v>0</v>
      </c>
      <c r="J911" s="37">
        <f>IFERROR(VLOOKUP($B911,'TB '!$4:$1048576,MATCH('List of Ledgers '!J$4,'TB '!$4:$4,0),0),0)</f>
        <v>28000</v>
      </c>
      <c r="K911" s="37">
        <f>IFERROR(VLOOKUP($B911,'TB '!$4:$1048576,MATCH('List of Ledgers '!K$4,'TB '!$4:$4,0),0),0)</f>
        <v>0</v>
      </c>
      <c r="L911" s="37">
        <f>IFERROR(VLOOKUP(B911,'TB '!$A:$J,10,),0)</f>
        <v>28000</v>
      </c>
      <c r="M911" s="71"/>
      <c r="N911" s="63">
        <f>IFERROR(VLOOKUP($B911,'TB YTD'!$4:$1048576,MATCH('List of Ledgers '!N$4,'TB YTD'!$4:$4,0),0),0)</f>
        <v>0</v>
      </c>
      <c r="O911" s="63">
        <f>IFERROR(VLOOKUP($B911,'TB YTD'!$4:$1048576,MATCH('List of Ledgers '!O$4,'TB YTD'!$4:$4,0),0),0)</f>
        <v>112000</v>
      </c>
      <c r="P911" s="63">
        <f>IFERROR(VLOOKUP($B911,'TB YTD'!$4:$1048576,MATCH('List of Ledgers '!P$4,'TB YTD'!$4:$4,0),0),0)</f>
        <v>0</v>
      </c>
      <c r="Q911" s="63">
        <f>IFERROR(VLOOKUP($B911,'TB YTD'!$4:$1048576,MATCH('List of Ledgers '!Q$4,'TB YTD'!$4:$4,0),0),0)</f>
        <v>112000</v>
      </c>
      <c r="R911" s="63"/>
    </row>
    <row r="912" spans="1:18" hidden="1" x14ac:dyDescent="0.25">
      <c r="A912" s="165">
        <f>A911+1</f>
        <v>842</v>
      </c>
      <c r="B912" s="2" t="s">
        <v>1283</v>
      </c>
      <c r="C912" s="2" t="s">
        <v>876</v>
      </c>
      <c r="D912" s="17" t="s">
        <v>151</v>
      </c>
      <c r="E912" s="17" t="s">
        <v>1291</v>
      </c>
      <c r="F912" s="12" t="s">
        <v>1290</v>
      </c>
      <c r="G912" s="17" t="s">
        <v>9</v>
      </c>
      <c r="I912" s="37">
        <f>IFERROR(VLOOKUP(B912,'TB '!$A:$G,7,),0)</f>
        <v>0</v>
      </c>
      <c r="J912" s="37">
        <f>IFERROR(VLOOKUP($B912,'TB '!$4:$1048576,MATCH('List of Ledgers '!J$4,'TB '!$4:$4,0),0),0)</f>
        <v>0</v>
      </c>
      <c r="K912" s="37">
        <f>IFERROR(VLOOKUP($B912,'TB '!$4:$1048576,MATCH('List of Ledgers '!K$4,'TB '!$4:$4,0),0),0)</f>
        <v>0</v>
      </c>
      <c r="L912" s="37">
        <f>IFERROR(VLOOKUP(B912,'TB '!$A:$J,10,),0)</f>
        <v>0</v>
      </c>
      <c r="M912" s="71"/>
      <c r="N912" s="63">
        <f>IFERROR(VLOOKUP($B912,'TB YTD'!$4:$1048576,MATCH('List of Ledgers '!N$4,'TB YTD'!$4:$4,0),0),0)</f>
        <v>0</v>
      </c>
      <c r="O912" s="63">
        <f>IFERROR(VLOOKUP($B912,'TB YTD'!$4:$1048576,MATCH('List of Ledgers '!O$4,'TB YTD'!$4:$4,0),0),0)</f>
        <v>60000</v>
      </c>
      <c r="P912" s="63">
        <f>IFERROR(VLOOKUP($B912,'TB YTD'!$4:$1048576,MATCH('List of Ledgers '!P$4,'TB YTD'!$4:$4,0),0),0)</f>
        <v>0</v>
      </c>
      <c r="Q912" s="63">
        <f>IFERROR(VLOOKUP($B912,'TB YTD'!$4:$1048576,MATCH('List of Ledgers '!Q$4,'TB YTD'!$4:$4,0),0),0)</f>
        <v>60000</v>
      </c>
      <c r="R912" s="63"/>
    </row>
    <row r="913" spans="1:18" s="193" customFormat="1" hidden="1" x14ac:dyDescent="0.25">
      <c r="A913" s="192">
        <v>842</v>
      </c>
      <c r="B913" s="193" t="s">
        <v>1084</v>
      </c>
      <c r="C913" s="193" t="s">
        <v>876</v>
      </c>
      <c r="D913" s="194" t="s">
        <v>151</v>
      </c>
      <c r="E913" s="194" t="s">
        <v>152</v>
      </c>
      <c r="F913" s="195" t="s">
        <v>69</v>
      </c>
      <c r="G913" s="194" t="s">
        <v>8</v>
      </c>
      <c r="H913" s="196"/>
      <c r="I913" s="197">
        <f>IFERROR(VLOOKUP(B913,'TB '!$A:$G,7,),0)</f>
        <v>0</v>
      </c>
      <c r="J913" s="197">
        <f>IFERROR(VLOOKUP($B913,'TB '!$4:$1048576,MATCH('List of Ledgers '!J$4,'TB '!$4:$4,0),0),0)</f>
        <v>1199284</v>
      </c>
      <c r="K913" s="197">
        <f>IFERROR(VLOOKUP($B913,'TB '!$4:$1048576,MATCH('List of Ledgers '!K$4,'TB '!$4:$4,0),0),0)</f>
        <v>185971</v>
      </c>
      <c r="L913" s="197">
        <f>IFERROR(VLOOKUP(B913,'TB '!$A:$J,10,),0)</f>
        <v>1013313</v>
      </c>
      <c r="M913" s="198"/>
      <c r="N913" s="196">
        <f>IFERROR(VLOOKUP($B913,'TB YTD'!$4:$1048576,MATCH('List of Ledgers '!N$4,'TB YTD'!$4:$4,0),0),0)</f>
        <v>0</v>
      </c>
      <c r="O913" s="196">
        <f>IFERROR(VLOOKUP($B913,'TB YTD'!$4:$1048576,MATCH('List of Ledgers '!O$4,'TB YTD'!$4:$4,0),0),0)</f>
        <v>4671381.9000000004</v>
      </c>
      <c r="P913" s="196">
        <f>IFERROR(VLOOKUP($B913,'TB YTD'!$4:$1048576,MATCH('List of Ledgers '!P$4,'TB YTD'!$4:$4,0),0),0)</f>
        <v>758470</v>
      </c>
      <c r="Q913" s="196">
        <f>IFERROR(VLOOKUP($B913,'TB YTD'!$4:$1048576,MATCH('List of Ledgers '!Q$4,'TB YTD'!$4:$4,0),0),0)</f>
        <v>3912911.9</v>
      </c>
      <c r="R913" s="196"/>
    </row>
    <row r="914" spans="1:18" hidden="1" x14ac:dyDescent="0.25">
      <c r="A914" s="165">
        <f>A913+1</f>
        <v>843</v>
      </c>
      <c r="B914" s="2" t="s">
        <v>1284</v>
      </c>
      <c r="C914" s="2" t="s">
        <v>876</v>
      </c>
      <c r="D914" s="17" t="s">
        <v>151</v>
      </c>
      <c r="E914" s="17" t="s">
        <v>152</v>
      </c>
      <c r="F914" s="12" t="s">
        <v>56</v>
      </c>
      <c r="G914" s="17" t="s">
        <v>9</v>
      </c>
      <c r="I914" s="37">
        <f>IFERROR(VLOOKUP(B914,'TB '!$A:$G,7,),0)</f>
        <v>0</v>
      </c>
      <c r="J914" s="37">
        <f>IFERROR(VLOOKUP($B914,'TB '!$4:$1048576,MATCH('List of Ledgers '!J$4,'TB '!$4:$4,0),0),0)</f>
        <v>4000</v>
      </c>
      <c r="K914" s="37">
        <f>IFERROR(VLOOKUP($B914,'TB '!$4:$1048576,MATCH('List of Ledgers '!K$4,'TB '!$4:$4,0),0),0)</f>
        <v>0</v>
      </c>
      <c r="L914" s="37">
        <f>IFERROR(VLOOKUP(B914,'TB '!$A:$J,10,),0)</f>
        <v>4000</v>
      </c>
      <c r="M914" s="71"/>
      <c r="N914" s="63">
        <f>IFERROR(VLOOKUP($B914,'TB YTD'!$4:$1048576,MATCH('List of Ledgers '!N$4,'TB YTD'!$4:$4,0),0),0)</f>
        <v>0</v>
      </c>
      <c r="O914" s="63">
        <f>IFERROR(VLOOKUP($B914,'TB YTD'!$4:$1048576,MATCH('List of Ledgers '!O$4,'TB YTD'!$4:$4,0),0),0)</f>
        <v>29700</v>
      </c>
      <c r="P914" s="63">
        <f>IFERROR(VLOOKUP($B914,'TB YTD'!$4:$1048576,MATCH('List of Ledgers '!P$4,'TB YTD'!$4:$4,0),0),0)</f>
        <v>0</v>
      </c>
      <c r="Q914" s="63">
        <f>IFERROR(VLOOKUP($B914,'TB YTD'!$4:$1048576,MATCH('List of Ledgers '!Q$4,'TB YTD'!$4:$4,0),0),0)</f>
        <v>29700</v>
      </c>
      <c r="R914" s="63"/>
    </row>
    <row r="915" spans="1:18" hidden="1" x14ac:dyDescent="0.25">
      <c r="A915" s="165">
        <v>843</v>
      </c>
      <c r="B915" s="2" t="s">
        <v>1085</v>
      </c>
      <c r="C915" s="2" t="s">
        <v>189</v>
      </c>
      <c r="D915" s="17" t="s">
        <v>151</v>
      </c>
      <c r="E915" s="17" t="s">
        <v>152</v>
      </c>
      <c r="F915" s="12" t="s">
        <v>37</v>
      </c>
      <c r="G915" s="17" t="s">
        <v>7</v>
      </c>
      <c r="I915" s="37">
        <f>IFERROR(VLOOKUP(B915,'TB '!$A:$G,7,),0)</f>
        <v>0</v>
      </c>
      <c r="J915" s="37">
        <f>IFERROR(VLOOKUP($B915,'TB '!$4:$1048576,MATCH('List of Ledgers '!J$4,'TB '!$4:$4,0),0),0)</f>
        <v>0</v>
      </c>
      <c r="K915" s="37">
        <f>IFERROR(VLOOKUP($B915,'TB '!$4:$1048576,MATCH('List of Ledgers '!K$4,'TB '!$4:$4,0),0),0)</f>
        <v>0</v>
      </c>
      <c r="L915" s="37">
        <f>IFERROR(VLOOKUP(B915,'TB '!$A:$J,10,),0)</f>
        <v>0</v>
      </c>
      <c r="M915" s="71"/>
      <c r="N915" s="63">
        <f>IFERROR(VLOOKUP($B915,'TB YTD'!$4:$1048576,MATCH('List of Ledgers '!N$4,'TB YTD'!$4:$4,0),0),0)</f>
        <v>0</v>
      </c>
      <c r="O915" s="63">
        <f>IFERROR(VLOOKUP($B915,'TB YTD'!$4:$1048576,MATCH('List of Ledgers '!O$4,'TB YTD'!$4:$4,0),0),0)</f>
        <v>220000</v>
      </c>
      <c r="P915" s="63">
        <f>IFERROR(VLOOKUP($B915,'TB YTD'!$4:$1048576,MATCH('List of Ledgers '!P$4,'TB YTD'!$4:$4,0),0),0)</f>
        <v>0</v>
      </c>
      <c r="Q915" s="63">
        <f>IFERROR(VLOOKUP($B915,'TB YTD'!$4:$1048576,MATCH('List of Ledgers '!Q$4,'TB YTD'!$4:$4,0),0),0)</f>
        <v>220000</v>
      </c>
      <c r="R915" s="63"/>
    </row>
    <row r="916" spans="1:18" hidden="1" x14ac:dyDescent="0.25">
      <c r="A916" s="165">
        <f>A915+1</f>
        <v>844</v>
      </c>
      <c r="B916" s="2" t="s">
        <v>1286</v>
      </c>
      <c r="C916" s="2" t="s">
        <v>876</v>
      </c>
      <c r="D916" s="17" t="s">
        <v>151</v>
      </c>
      <c r="E916" s="17" t="s">
        <v>152</v>
      </c>
      <c r="F916" s="12" t="s">
        <v>68</v>
      </c>
      <c r="G916" s="17" t="s">
        <v>9</v>
      </c>
      <c r="I916" s="37">
        <f>IFERROR(VLOOKUP(B916,'TB '!$A:$G,7,),0)</f>
        <v>0</v>
      </c>
      <c r="J916" s="37">
        <f>IFERROR(VLOOKUP($B916,'TB '!$4:$1048576,MATCH('List of Ledgers '!J$4,'TB '!$4:$4,0),0),0)</f>
        <v>126600</v>
      </c>
      <c r="K916" s="37">
        <f>IFERROR(VLOOKUP($B916,'TB '!$4:$1048576,MATCH('List of Ledgers '!K$4,'TB '!$4:$4,0),0),0)</f>
        <v>0</v>
      </c>
      <c r="L916" s="37">
        <f>IFERROR(VLOOKUP(B916,'TB '!$A:$J,10,),0)</f>
        <v>126600</v>
      </c>
      <c r="M916" s="71"/>
      <c r="N916" s="63">
        <f>IFERROR(VLOOKUP($B916,'TB YTD'!$4:$1048576,MATCH('List of Ledgers '!N$4,'TB YTD'!$4:$4,0),0),0)</f>
        <v>0</v>
      </c>
      <c r="O916" s="63">
        <f>IFERROR(VLOOKUP($B916,'TB YTD'!$4:$1048576,MATCH('List of Ledgers '!O$4,'TB YTD'!$4:$4,0),0),0)</f>
        <v>409050</v>
      </c>
      <c r="P916" s="63">
        <f>IFERROR(VLOOKUP($B916,'TB YTD'!$4:$1048576,MATCH('List of Ledgers '!P$4,'TB YTD'!$4:$4,0),0),0)</f>
        <v>0</v>
      </c>
      <c r="Q916" s="63">
        <f>IFERROR(VLOOKUP($B916,'TB YTD'!$4:$1048576,MATCH('List of Ledgers '!Q$4,'TB YTD'!$4:$4,0),0),0)</f>
        <v>409050</v>
      </c>
      <c r="R916" s="63"/>
    </row>
    <row r="917" spans="1:18" hidden="1" x14ac:dyDescent="0.25">
      <c r="A917" s="165">
        <v>844</v>
      </c>
      <c r="B917" s="2" t="s">
        <v>1086</v>
      </c>
      <c r="C917" s="2" t="s">
        <v>275</v>
      </c>
      <c r="D917" s="17" t="s">
        <v>151</v>
      </c>
      <c r="E917" s="17" t="s">
        <v>152</v>
      </c>
      <c r="F917" s="12" t="s">
        <v>58</v>
      </c>
      <c r="G917" s="17" t="s">
        <v>7</v>
      </c>
      <c r="I917" s="37">
        <f>IFERROR(VLOOKUP(B917,'TB '!$A:$G,7,),0)</f>
        <v>0</v>
      </c>
      <c r="J917" s="37">
        <f>IFERROR(VLOOKUP($B917,'TB '!$4:$1048576,MATCH('List of Ledgers '!J$4,'TB '!$4:$4,0),0),0)</f>
        <v>10785</v>
      </c>
      <c r="K917" s="37">
        <f>IFERROR(VLOOKUP($B917,'TB '!$4:$1048576,MATCH('List of Ledgers '!K$4,'TB '!$4:$4,0),0),0)</f>
        <v>0</v>
      </c>
      <c r="L917" s="37">
        <f>IFERROR(VLOOKUP(B917,'TB '!$A:$J,10,),0)</f>
        <v>10785</v>
      </c>
      <c r="M917" s="71"/>
      <c r="N917" s="63">
        <f>IFERROR(VLOOKUP($B917,'TB YTD'!$4:$1048576,MATCH('List of Ledgers '!N$4,'TB YTD'!$4:$4,0),0),0)</f>
        <v>0</v>
      </c>
      <c r="O917" s="63">
        <f>IFERROR(VLOOKUP($B917,'TB YTD'!$4:$1048576,MATCH('List of Ledgers '!O$4,'TB YTD'!$4:$4,0),0),0)</f>
        <v>23852</v>
      </c>
      <c r="P917" s="63">
        <f>IFERROR(VLOOKUP($B917,'TB YTD'!$4:$1048576,MATCH('List of Ledgers '!P$4,'TB YTD'!$4:$4,0),0),0)</f>
        <v>0</v>
      </c>
      <c r="Q917" s="63">
        <f>IFERROR(VLOOKUP($B917,'TB YTD'!$4:$1048576,MATCH('List of Ledgers '!Q$4,'TB YTD'!$4:$4,0),0),0)</f>
        <v>23852</v>
      </c>
      <c r="R917" s="63"/>
    </row>
    <row r="918" spans="1:18" hidden="1" x14ac:dyDescent="0.25">
      <c r="A918" s="165">
        <f>A917+1</f>
        <v>845</v>
      </c>
      <c r="B918" s="2" t="s">
        <v>1287</v>
      </c>
      <c r="C918" s="2" t="s">
        <v>876</v>
      </c>
      <c r="D918" s="17" t="s">
        <v>151</v>
      </c>
      <c r="E918" s="17" t="s">
        <v>1291</v>
      </c>
      <c r="F918" s="12" t="s">
        <v>1290</v>
      </c>
      <c r="G918" s="17" t="s">
        <v>9</v>
      </c>
      <c r="I918" s="37">
        <f>IFERROR(VLOOKUP(B918,'TB '!$A:$G,7,),0)</f>
        <v>0</v>
      </c>
      <c r="J918" s="37">
        <f>IFERROR(VLOOKUP($B918,'TB '!$4:$1048576,MATCH('List of Ledgers '!J$4,'TB '!$4:$4,0),0),0)</f>
        <v>0</v>
      </c>
      <c r="K918" s="37">
        <f>IFERROR(VLOOKUP($B918,'TB '!$4:$1048576,MATCH('List of Ledgers '!K$4,'TB '!$4:$4,0),0),0)</f>
        <v>0</v>
      </c>
      <c r="L918" s="37">
        <f>IFERROR(VLOOKUP(B918,'TB '!$A:$J,10,),0)</f>
        <v>0</v>
      </c>
      <c r="M918" s="71"/>
      <c r="N918" s="63">
        <f>IFERROR(VLOOKUP($B918,'TB YTD'!$4:$1048576,MATCH('List of Ledgers '!N$4,'TB YTD'!$4:$4,0),0),0)</f>
        <v>0</v>
      </c>
      <c r="O918" s="63">
        <f>IFERROR(VLOOKUP($B918,'TB YTD'!$4:$1048576,MATCH('List of Ledgers '!O$4,'TB YTD'!$4:$4,0),0),0)</f>
        <v>7750</v>
      </c>
      <c r="P918" s="63">
        <f>IFERROR(VLOOKUP($B918,'TB YTD'!$4:$1048576,MATCH('List of Ledgers '!P$4,'TB YTD'!$4:$4,0),0),0)</f>
        <v>0</v>
      </c>
      <c r="Q918" s="63">
        <f>IFERROR(VLOOKUP($B918,'TB YTD'!$4:$1048576,MATCH('List of Ledgers '!Q$4,'TB YTD'!$4:$4,0),0),0)</f>
        <v>7750</v>
      </c>
      <c r="R918" s="63"/>
    </row>
    <row r="919" spans="1:18" hidden="1" x14ac:dyDescent="0.25">
      <c r="A919" s="165">
        <v>845</v>
      </c>
      <c r="B919" s="2" t="s">
        <v>1087</v>
      </c>
      <c r="C919" s="2" t="s">
        <v>1032</v>
      </c>
      <c r="D919" s="17" t="s">
        <v>128</v>
      </c>
      <c r="E919" s="17" t="s">
        <v>131</v>
      </c>
      <c r="G919" s="17" t="s">
        <v>9</v>
      </c>
      <c r="I919" s="37">
        <f>IFERROR(VLOOKUP(B919,'TB '!$A:$G,7,),0)</f>
        <v>-25200</v>
      </c>
      <c r="J919" s="37">
        <f>IFERROR(VLOOKUP($B919,'TB '!$4:$1048576,MATCH('List of Ledgers '!J$4,'TB '!$4:$4,0),0),0)</f>
        <v>25200</v>
      </c>
      <c r="K919" s="37">
        <f>IFERROR(VLOOKUP($B919,'TB '!$4:$1048576,MATCH('List of Ledgers '!K$4,'TB '!$4:$4,0),0),0)</f>
        <v>25200</v>
      </c>
      <c r="L919" s="37">
        <f>IFERROR(VLOOKUP(B919,'TB '!$A:$J,10,),0)</f>
        <v>-25200</v>
      </c>
      <c r="M919" s="71"/>
      <c r="N919" s="63">
        <f>IFERROR(VLOOKUP($B919,'TB YTD'!$4:$1048576,MATCH('List of Ledgers '!N$4,'TB YTD'!$4:$4,0),0),0)</f>
        <v>0</v>
      </c>
      <c r="O919" s="63">
        <f>IFERROR(VLOOKUP($B919,'TB YTD'!$4:$1048576,MATCH('List of Ledgers '!O$4,'TB YTD'!$4:$4,0),0),0)</f>
        <v>75600</v>
      </c>
      <c r="P919" s="63">
        <f>IFERROR(VLOOKUP($B919,'TB YTD'!$4:$1048576,MATCH('List of Ledgers '!P$4,'TB YTD'!$4:$4,0),0),0)</f>
        <v>100800</v>
      </c>
      <c r="Q919" s="63">
        <f>IFERROR(VLOOKUP($B919,'TB YTD'!$4:$1048576,MATCH('List of Ledgers '!Q$4,'TB YTD'!$4:$4,0),0),0)</f>
        <v>-25200</v>
      </c>
    </row>
    <row r="920" spans="1:18" hidden="1" x14ac:dyDescent="0.25">
      <c r="A920" s="165">
        <v>846</v>
      </c>
      <c r="B920" s="2" t="s">
        <v>1088</v>
      </c>
      <c r="C920" s="2" t="s">
        <v>1032</v>
      </c>
      <c r="D920" s="17" t="s">
        <v>128</v>
      </c>
      <c r="E920" s="17" t="s">
        <v>131</v>
      </c>
      <c r="G920" s="17" t="s">
        <v>9</v>
      </c>
      <c r="I920" s="37">
        <f>IFERROR(VLOOKUP(B920,'TB '!$A:$G,7,),0)</f>
        <v>11800</v>
      </c>
      <c r="J920" s="37">
        <f>IFERROR(VLOOKUP($B920,'TB '!$4:$1048576,MATCH('List of Ledgers '!J$4,'TB '!$4:$4,0),0),0)</f>
        <v>0</v>
      </c>
      <c r="K920" s="37">
        <f>IFERROR(VLOOKUP($B920,'TB '!$4:$1048576,MATCH('List of Ledgers '!K$4,'TB '!$4:$4,0),0),0)</f>
        <v>0</v>
      </c>
      <c r="L920" s="37">
        <f>IFERROR(VLOOKUP(B920,'TB '!$A:$J,10,),0)</f>
        <v>11800</v>
      </c>
      <c r="M920" s="71"/>
      <c r="N920" s="63">
        <f>IFERROR(VLOOKUP($B920,'TB YTD'!$4:$1048576,MATCH('List of Ledgers '!N$4,'TB YTD'!$4:$4,0),0),0)</f>
        <v>0</v>
      </c>
      <c r="O920" s="63">
        <f>IFERROR(VLOOKUP($B920,'TB YTD'!$4:$1048576,MATCH('List of Ledgers '!O$4,'TB YTD'!$4:$4,0),0),0)</f>
        <v>17651800</v>
      </c>
      <c r="P920" s="63">
        <f>IFERROR(VLOOKUP($B920,'TB YTD'!$4:$1048576,MATCH('List of Ledgers '!P$4,'TB YTD'!$4:$4,0),0),0)</f>
        <v>17640000</v>
      </c>
      <c r="Q920" s="63">
        <f>IFERROR(VLOOKUP($B920,'TB YTD'!$4:$1048576,MATCH('List of Ledgers '!Q$4,'TB YTD'!$4:$4,0),0),0)</f>
        <v>11800</v>
      </c>
    </row>
    <row r="921" spans="1:18" x14ac:dyDescent="0.25">
      <c r="A921" s="165">
        <f>A920+1</f>
        <v>847</v>
      </c>
      <c r="B921" s="2" t="s">
        <v>1246</v>
      </c>
      <c r="C921" s="2" t="s">
        <v>876</v>
      </c>
      <c r="D921" s="17" t="s">
        <v>151</v>
      </c>
      <c r="E921" s="17" t="s">
        <v>1291</v>
      </c>
      <c r="F921" s="12" t="s">
        <v>71</v>
      </c>
      <c r="G921" s="17" t="s">
        <v>9</v>
      </c>
      <c r="I921" s="37">
        <f>IFERROR(VLOOKUP(B921,'TB '!$A:$G,7,),0)</f>
        <v>0</v>
      </c>
      <c r="J921" s="37">
        <f>IFERROR(VLOOKUP($B921,'TB '!$4:$1048576,MATCH('List of Ledgers '!J$4,'TB '!$4:$4,0),0),0)</f>
        <v>680</v>
      </c>
      <c r="K921" s="37">
        <f>IFERROR(VLOOKUP($B921,'TB '!$4:$1048576,MATCH('List of Ledgers '!K$4,'TB '!$4:$4,0),0),0)</f>
        <v>0</v>
      </c>
      <c r="L921" s="37">
        <f>IFERROR(VLOOKUP(B921,'TB '!$A:$J,10,),0)</f>
        <v>680</v>
      </c>
      <c r="M921" s="71"/>
      <c r="N921" s="63">
        <f>IFERROR(VLOOKUP($B921,'TB YTD'!$4:$1048576,MATCH('List of Ledgers '!N$4,'TB YTD'!$4:$4,0),0),0)</f>
        <v>0</v>
      </c>
      <c r="O921" s="63">
        <f>IFERROR(VLOOKUP($B921,'TB YTD'!$4:$1048576,MATCH('List of Ledgers '!O$4,'TB YTD'!$4:$4,0),0),0)</f>
        <v>1025</v>
      </c>
      <c r="P921" s="63">
        <f>IFERROR(VLOOKUP($B921,'TB YTD'!$4:$1048576,MATCH('List of Ledgers '!P$4,'TB YTD'!$4:$4,0),0),0)</f>
        <v>0</v>
      </c>
      <c r="Q921" s="63">
        <f>IFERROR(VLOOKUP($B921,'TB YTD'!$4:$1048576,MATCH('List of Ledgers '!Q$4,'TB YTD'!$4:$4,0),0),0)</f>
        <v>1025</v>
      </c>
      <c r="R921" s="63"/>
    </row>
    <row r="922" spans="1:18" hidden="1" x14ac:dyDescent="0.25">
      <c r="A922" s="165">
        <v>847</v>
      </c>
      <c r="B922" s="2" t="s">
        <v>1089</v>
      </c>
      <c r="C922" s="2" t="s">
        <v>356</v>
      </c>
      <c r="D922" s="17" t="s">
        <v>128</v>
      </c>
      <c r="E922" s="17" t="s">
        <v>131</v>
      </c>
      <c r="G922" s="12" t="s">
        <v>7</v>
      </c>
      <c r="I922" s="37">
        <f>IFERROR(VLOOKUP(B922,'TB '!$A:$G,7,),0)</f>
        <v>100000</v>
      </c>
      <c r="J922" s="37">
        <f>IFERROR(VLOOKUP($B922,'TB '!$4:$1048576,MATCH('List of Ledgers '!J$4,'TB '!$4:$4,0),0),0)</f>
        <v>0</v>
      </c>
      <c r="K922" s="37">
        <f>IFERROR(VLOOKUP($B922,'TB '!$4:$1048576,MATCH('List of Ledgers '!K$4,'TB '!$4:$4,0),0),0)</f>
        <v>0</v>
      </c>
      <c r="L922" s="37">
        <f>IFERROR(VLOOKUP(B922,'TB '!$A:$J,10,),0)</f>
        <v>100000</v>
      </c>
      <c r="M922" s="71"/>
      <c r="N922" s="63">
        <f>IFERROR(VLOOKUP($B922,'TB YTD'!$4:$1048576,MATCH('List of Ledgers '!N$4,'TB YTD'!$4:$4,0),0),0)</f>
        <v>0</v>
      </c>
      <c r="O922" s="63">
        <f>IFERROR(VLOOKUP($B922,'TB YTD'!$4:$1048576,MATCH('List of Ledgers '!O$4,'TB YTD'!$4:$4,0),0),0)</f>
        <v>100000</v>
      </c>
      <c r="P922" s="63">
        <f>IFERROR(VLOOKUP($B922,'TB YTD'!$4:$1048576,MATCH('List of Ledgers '!P$4,'TB YTD'!$4:$4,0),0),0)</f>
        <v>0</v>
      </c>
      <c r="Q922" s="63">
        <f>IFERROR(VLOOKUP($B922,'TB YTD'!$4:$1048576,MATCH('List of Ledgers '!Q$4,'TB YTD'!$4:$4,0),0),0)</f>
        <v>100000</v>
      </c>
    </row>
    <row r="923" spans="1:18" hidden="1" x14ac:dyDescent="0.25">
      <c r="A923" s="165">
        <v>848</v>
      </c>
      <c r="B923" s="2" t="s">
        <v>1090</v>
      </c>
      <c r="C923" s="2" t="s">
        <v>1032</v>
      </c>
      <c r="D923" s="17" t="s">
        <v>128</v>
      </c>
      <c r="E923" s="17" t="s">
        <v>131</v>
      </c>
      <c r="G923" s="17" t="s">
        <v>9</v>
      </c>
      <c r="I923" s="37">
        <f>IFERROR(VLOOKUP(B923,'TB '!$A:$G,7,),0)</f>
        <v>0</v>
      </c>
      <c r="J923" s="37">
        <f>IFERROR(VLOOKUP($B923,'TB '!$4:$1048576,MATCH('List of Ledgers '!J$4,'TB '!$4:$4,0),0),0)</f>
        <v>0</v>
      </c>
      <c r="K923" s="37">
        <f>IFERROR(VLOOKUP($B923,'TB '!$4:$1048576,MATCH('List of Ledgers '!K$4,'TB '!$4:$4,0),0),0)</f>
        <v>0</v>
      </c>
      <c r="L923" s="37">
        <f>IFERROR(VLOOKUP(B923,'TB '!$A:$J,10,),0)</f>
        <v>0</v>
      </c>
      <c r="M923" s="71"/>
      <c r="N923" s="63">
        <f>IFERROR(VLOOKUP($B923,'TB YTD'!$4:$1048576,MATCH('List of Ledgers '!N$4,'TB YTD'!$4:$4,0),0),0)</f>
        <v>0</v>
      </c>
      <c r="O923" s="63">
        <f>IFERROR(VLOOKUP($B923,'TB YTD'!$4:$1048576,MATCH('List of Ledgers '!O$4,'TB YTD'!$4:$4,0),0),0)</f>
        <v>154344</v>
      </c>
      <c r="P923" s="63">
        <f>IFERROR(VLOOKUP($B923,'TB YTD'!$4:$1048576,MATCH('List of Ledgers '!P$4,'TB YTD'!$4:$4,0),0),0)</f>
        <v>154344</v>
      </c>
      <c r="Q923" s="63">
        <f>IFERROR(VLOOKUP($B923,'TB YTD'!$4:$1048576,MATCH('List of Ledgers '!Q$4,'TB YTD'!$4:$4,0),0),0)</f>
        <v>0</v>
      </c>
    </row>
    <row r="924" spans="1:18" hidden="1" x14ac:dyDescent="0.25">
      <c r="A924" s="165">
        <v>849</v>
      </c>
      <c r="B924" s="2" t="s">
        <v>1091</v>
      </c>
      <c r="C924" s="2" t="s">
        <v>140</v>
      </c>
      <c r="D924" s="17" t="s">
        <v>128</v>
      </c>
      <c r="E924" s="17" t="s">
        <v>131</v>
      </c>
      <c r="G924" s="12" t="s">
        <v>7</v>
      </c>
      <c r="I924" s="37">
        <f>IFERROR(VLOOKUP(B924,'TB '!$A:$G,7,),0)</f>
        <v>0</v>
      </c>
      <c r="J924" s="37">
        <f>IFERROR(VLOOKUP($B924,'TB '!$4:$1048576,MATCH('List of Ledgers '!J$4,'TB '!$4:$4,0),0),0)</f>
        <v>7918</v>
      </c>
      <c r="K924" s="37">
        <f>IFERROR(VLOOKUP($B924,'TB '!$4:$1048576,MATCH('List of Ledgers '!K$4,'TB '!$4:$4,0),0),0)</f>
        <v>7918</v>
      </c>
      <c r="L924" s="37">
        <f>IFERROR(VLOOKUP(B924,'TB '!$A:$J,10,),0)</f>
        <v>0</v>
      </c>
      <c r="M924" s="71"/>
      <c r="N924" s="63">
        <f>IFERROR(VLOOKUP($B924,'TB YTD'!$4:$1048576,MATCH('List of Ledgers '!N$4,'TB YTD'!$4:$4,0),0),0)</f>
        <v>0</v>
      </c>
      <c r="O924" s="63">
        <f>IFERROR(VLOOKUP($B924,'TB YTD'!$4:$1048576,MATCH('List of Ledgers '!O$4,'TB YTD'!$4:$4,0),0),0)</f>
        <v>13534</v>
      </c>
      <c r="P924" s="63">
        <f>IFERROR(VLOOKUP($B924,'TB YTD'!$4:$1048576,MATCH('List of Ledgers '!P$4,'TB YTD'!$4:$4,0),0),0)</f>
        <v>13534</v>
      </c>
      <c r="Q924" s="63">
        <f>IFERROR(VLOOKUP($B924,'TB YTD'!$4:$1048576,MATCH('List of Ledgers '!Q$4,'TB YTD'!$4:$4,0),0),0)</f>
        <v>0</v>
      </c>
    </row>
    <row r="925" spans="1:18" hidden="1" x14ac:dyDescent="0.25">
      <c r="A925" s="165">
        <f>A924+1</f>
        <v>850</v>
      </c>
      <c r="B925" s="2" t="s">
        <v>1217</v>
      </c>
      <c r="C925" s="2" t="s">
        <v>130</v>
      </c>
      <c r="D925" s="17" t="s">
        <v>128</v>
      </c>
      <c r="E925" s="17" t="s">
        <v>131</v>
      </c>
      <c r="G925" s="12" t="s">
        <v>7</v>
      </c>
      <c r="I925" s="37">
        <f>IFERROR(VLOOKUP(B925,'TB '!$A:$G,7,),0)</f>
        <v>0</v>
      </c>
      <c r="J925" s="37">
        <f>IFERROR(VLOOKUP($B925,'TB '!$4:$1048576,MATCH('List of Ledgers '!J$4,'TB '!$4:$4,0),0),0)</f>
        <v>0</v>
      </c>
      <c r="K925" s="37">
        <f>IFERROR(VLOOKUP($B925,'TB '!$4:$1048576,MATCH('List of Ledgers '!K$4,'TB '!$4:$4,0),0),0)</f>
        <v>0</v>
      </c>
      <c r="L925" s="37">
        <f>IFERROR(VLOOKUP(B925,'TB '!$A:$J,10,),0)</f>
        <v>0</v>
      </c>
      <c r="M925" s="71"/>
      <c r="N925" s="63">
        <f>IFERROR(VLOOKUP($B925,'TB YTD'!$4:$1048576,MATCH('List of Ledgers '!N$4,'TB YTD'!$4:$4,0),0),0)</f>
        <v>0</v>
      </c>
      <c r="O925" s="63">
        <f>IFERROR(VLOOKUP($B925,'TB YTD'!$4:$1048576,MATCH('List of Ledgers '!O$4,'TB YTD'!$4:$4,0),0),0)</f>
        <v>8850</v>
      </c>
      <c r="P925" s="63">
        <f>IFERROR(VLOOKUP($B925,'TB YTD'!$4:$1048576,MATCH('List of Ledgers '!P$4,'TB YTD'!$4:$4,0),0),0)</f>
        <v>8850</v>
      </c>
      <c r="Q925" s="63">
        <f>IFERROR(VLOOKUP($B925,'TB YTD'!$4:$1048576,MATCH('List of Ledgers '!Q$4,'TB YTD'!$4:$4,0),0),0)</f>
        <v>0</v>
      </c>
      <c r="R925" s="63"/>
    </row>
    <row r="926" spans="1:18" hidden="1" x14ac:dyDescent="0.25">
      <c r="A926" s="165">
        <v>850</v>
      </c>
      <c r="B926" s="2" t="s">
        <v>1216</v>
      </c>
      <c r="C926" s="2" t="s">
        <v>876</v>
      </c>
      <c r="D926" s="17" t="s">
        <v>151</v>
      </c>
      <c r="E926" s="17" t="s">
        <v>152</v>
      </c>
      <c r="F926" s="12" t="s">
        <v>13</v>
      </c>
      <c r="G926" s="17" t="s">
        <v>8</v>
      </c>
      <c r="I926" s="37">
        <f>IFERROR(VLOOKUP(B926,'TB '!$A:$G,7,),0)</f>
        <v>0</v>
      </c>
      <c r="J926" s="37">
        <f>IFERROR(VLOOKUP($B926,'TB '!$4:$1048576,MATCH('List of Ledgers '!J$4,'TB '!$4:$4,0),0),0)</f>
        <v>0</v>
      </c>
      <c r="K926" s="37">
        <f>IFERROR(VLOOKUP($B926,'TB '!$4:$1048576,MATCH('List of Ledgers '!K$4,'TB '!$4:$4,0),0),0)</f>
        <v>0</v>
      </c>
      <c r="L926" s="37">
        <f>IFERROR(VLOOKUP(B926,'TB '!$A:$J,10,),0)</f>
        <v>0</v>
      </c>
      <c r="M926" s="71"/>
      <c r="N926" s="63">
        <f>IFERROR(VLOOKUP($B926,'TB YTD'!$4:$1048576,MATCH('List of Ledgers '!N$4,'TB YTD'!$4:$4,0),0),0)</f>
        <v>0</v>
      </c>
      <c r="O926" s="63">
        <f>IFERROR(VLOOKUP($B926,'TB YTD'!$4:$1048576,MATCH('List of Ledgers '!O$4,'TB YTD'!$4:$4,0),0),0)</f>
        <v>418005</v>
      </c>
      <c r="P926" s="63">
        <f>IFERROR(VLOOKUP($B926,'TB YTD'!$4:$1048576,MATCH('List of Ledgers '!P$4,'TB YTD'!$4:$4,0),0),0)</f>
        <v>0</v>
      </c>
      <c r="Q926" s="63">
        <f>IFERROR(VLOOKUP($B926,'TB YTD'!$4:$1048576,MATCH('List of Ledgers '!Q$4,'TB YTD'!$4:$4,0),0),0)</f>
        <v>418005</v>
      </c>
      <c r="R926" s="63"/>
    </row>
    <row r="927" spans="1:18" hidden="1" x14ac:dyDescent="0.25">
      <c r="A927" s="165">
        <f>A926+1</f>
        <v>851</v>
      </c>
      <c r="B927" s="2" t="s">
        <v>1245</v>
      </c>
      <c r="C927" s="2" t="s">
        <v>1032</v>
      </c>
      <c r="D927" s="17" t="s">
        <v>128</v>
      </c>
      <c r="E927" s="17" t="s">
        <v>131</v>
      </c>
      <c r="G927" s="17" t="s">
        <v>9</v>
      </c>
      <c r="I927" s="37">
        <f>IFERROR(VLOOKUP(B927,'TB '!$A:$G,7,),0)</f>
        <v>0</v>
      </c>
      <c r="J927" s="37">
        <f>IFERROR(VLOOKUP($B927,'TB '!$4:$1048576,MATCH('List of Ledgers '!J$4,'TB '!$4:$4,0),0),0)</f>
        <v>1013253</v>
      </c>
      <c r="K927" s="37">
        <f>IFERROR(VLOOKUP($B927,'TB '!$4:$1048576,MATCH('List of Ledgers '!K$4,'TB '!$4:$4,0),0),0)</f>
        <v>1013253</v>
      </c>
      <c r="L927" s="37">
        <f>IFERROR(VLOOKUP(B927,'TB '!$A:$J,10,),0)</f>
        <v>0</v>
      </c>
      <c r="M927" s="71"/>
      <c r="N927" s="63">
        <f>IFERROR(VLOOKUP($B927,'TB YTD'!$4:$1048576,MATCH('List of Ledgers '!N$4,'TB YTD'!$4:$4,0),0),0)</f>
        <v>0</v>
      </c>
      <c r="O927" s="63">
        <f>IFERROR(VLOOKUP($B927,'TB YTD'!$4:$1048576,MATCH('List of Ledgers '!O$4,'TB YTD'!$4:$4,0),0),0)</f>
        <v>1365004</v>
      </c>
      <c r="P927" s="63">
        <f>IFERROR(VLOOKUP($B927,'TB YTD'!$4:$1048576,MATCH('List of Ledgers '!P$4,'TB YTD'!$4:$4,0),0),0)</f>
        <v>1365004</v>
      </c>
      <c r="Q927" s="63">
        <f>IFERROR(VLOOKUP($B927,'TB YTD'!$4:$1048576,MATCH('List of Ledgers '!Q$4,'TB YTD'!$4:$4,0),0),0)</f>
        <v>0</v>
      </c>
      <c r="R927" s="63"/>
    </row>
    <row r="928" spans="1:18" hidden="1" x14ac:dyDescent="0.25">
      <c r="A928" s="165">
        <v>851</v>
      </c>
      <c r="B928" s="2" t="s">
        <v>1222</v>
      </c>
      <c r="C928" s="2" t="s">
        <v>275</v>
      </c>
      <c r="D928" s="17" t="s">
        <v>151</v>
      </c>
      <c r="E928" s="17" t="s">
        <v>152</v>
      </c>
      <c r="F928" s="12" t="s">
        <v>66</v>
      </c>
      <c r="G928" s="12" t="s">
        <v>7</v>
      </c>
      <c r="I928" s="37">
        <f>IFERROR(VLOOKUP(B928,'TB '!$A:$G,7,),0)</f>
        <v>0</v>
      </c>
      <c r="J928" s="37">
        <f>IFERROR(VLOOKUP($B928,'TB '!$4:$1048576,MATCH('List of Ledgers '!J$4,'TB '!$4:$4,0),0),0)</f>
        <v>0</v>
      </c>
      <c r="K928" s="37">
        <f>IFERROR(VLOOKUP($B928,'TB '!$4:$1048576,MATCH('List of Ledgers '!K$4,'TB '!$4:$4,0),0),0)</f>
        <v>0</v>
      </c>
      <c r="L928" s="37">
        <f>IFERROR(VLOOKUP(B928,'TB '!$A:$J,10,),0)</f>
        <v>0</v>
      </c>
      <c r="M928" s="71"/>
      <c r="N928" s="63">
        <f>IFERROR(VLOOKUP($B928,'TB YTD'!$4:$1048576,MATCH('List of Ledgers '!N$4,'TB YTD'!$4:$4,0),0),0)</f>
        <v>0</v>
      </c>
      <c r="O928" s="63">
        <f>IFERROR(VLOOKUP($B928,'TB YTD'!$4:$1048576,MATCH('List of Ledgers '!O$4,'TB YTD'!$4:$4,0),0),0)</f>
        <v>12194.92</v>
      </c>
      <c r="P928" s="63">
        <f>IFERROR(VLOOKUP($B928,'TB YTD'!$4:$1048576,MATCH('List of Ledgers '!P$4,'TB YTD'!$4:$4,0),0),0)</f>
        <v>0</v>
      </c>
      <c r="Q928" s="63">
        <f>IFERROR(VLOOKUP($B928,'TB YTD'!$4:$1048576,MATCH('List of Ledgers '!Q$4,'TB YTD'!$4:$4,0),0),0)</f>
        <v>12194.92</v>
      </c>
      <c r="R928" s="63"/>
    </row>
    <row r="929" spans="1:18" hidden="1" x14ac:dyDescent="0.25">
      <c r="A929" s="165">
        <f>A928+1</f>
        <v>852</v>
      </c>
      <c r="B929" s="2" t="s">
        <v>1218</v>
      </c>
      <c r="C929" s="2" t="s">
        <v>130</v>
      </c>
      <c r="D929" s="17" t="s">
        <v>128</v>
      </c>
      <c r="E929" s="17" t="s">
        <v>131</v>
      </c>
      <c r="G929" s="12" t="s">
        <v>7</v>
      </c>
      <c r="I929" s="37">
        <f>IFERROR(VLOOKUP(B929,'TB '!$A:$G,7,),0)</f>
        <v>0</v>
      </c>
      <c r="J929" s="37">
        <f>IFERROR(VLOOKUP($B929,'TB '!$4:$1048576,MATCH('List of Ledgers '!J$4,'TB '!$4:$4,0),0),0)</f>
        <v>0</v>
      </c>
      <c r="K929" s="37">
        <f>IFERROR(VLOOKUP($B929,'TB '!$4:$1048576,MATCH('List of Ledgers '!K$4,'TB '!$4:$4,0),0),0)</f>
        <v>0</v>
      </c>
      <c r="L929" s="37">
        <f>IFERROR(VLOOKUP(B929,'TB '!$A:$J,10,),0)</f>
        <v>0</v>
      </c>
      <c r="M929" s="71"/>
      <c r="N929" s="63">
        <f>IFERROR(VLOOKUP($B929,'TB YTD'!$4:$1048576,MATCH('List of Ledgers '!N$4,'TB YTD'!$4:$4,0),0),0)</f>
        <v>0</v>
      </c>
      <c r="O929" s="63">
        <f>IFERROR(VLOOKUP($B929,'TB YTD'!$4:$1048576,MATCH('List of Ledgers '!O$4,'TB YTD'!$4:$4,0),0),0)</f>
        <v>0</v>
      </c>
      <c r="P929" s="63">
        <f>IFERROR(VLOOKUP($B929,'TB YTD'!$4:$1048576,MATCH('List of Ledgers '!P$4,'TB YTD'!$4:$4,0),0),0)</f>
        <v>0</v>
      </c>
      <c r="Q929" s="63">
        <f>IFERROR(VLOOKUP($B929,'TB YTD'!$4:$1048576,MATCH('List of Ledgers '!Q$4,'TB YTD'!$4:$4,0),0),0)</f>
        <v>0</v>
      </c>
      <c r="R929" s="63"/>
    </row>
    <row r="930" spans="1:18" hidden="1" x14ac:dyDescent="0.25">
      <c r="A930" s="165">
        <v>852</v>
      </c>
      <c r="B930" s="2" t="s">
        <v>1220</v>
      </c>
      <c r="C930" s="2" t="s">
        <v>322</v>
      </c>
      <c r="D930" s="17" t="s">
        <v>151</v>
      </c>
      <c r="E930" s="17" t="s">
        <v>152</v>
      </c>
      <c r="F930" s="12" t="s">
        <v>62</v>
      </c>
      <c r="G930" s="12" t="s">
        <v>7</v>
      </c>
      <c r="I930" s="37">
        <f>IFERROR(VLOOKUP(B930,'TB '!$A:$G,7,),0)</f>
        <v>0</v>
      </c>
      <c r="J930" s="37">
        <f>IFERROR(VLOOKUP($B930,'TB '!$4:$1048576,MATCH('List of Ledgers '!J$4,'TB '!$4:$4,0),0),0)</f>
        <v>0</v>
      </c>
      <c r="K930" s="37">
        <f>IFERROR(VLOOKUP($B930,'TB '!$4:$1048576,MATCH('List of Ledgers '!K$4,'TB '!$4:$4,0),0),0)</f>
        <v>0</v>
      </c>
      <c r="L930" s="37">
        <f>IFERROR(VLOOKUP(B930,'TB '!$A:$J,10,),0)</f>
        <v>0</v>
      </c>
      <c r="M930" s="71"/>
      <c r="N930" s="63">
        <f>IFERROR(VLOOKUP($B930,'TB YTD'!$4:$1048576,MATCH('List of Ledgers '!N$4,'TB YTD'!$4:$4,0),0),0)</f>
        <v>0</v>
      </c>
      <c r="O930" s="63">
        <f>IFERROR(VLOOKUP($B930,'TB YTD'!$4:$1048576,MATCH('List of Ledgers '!O$4,'TB YTD'!$4:$4,0),0),0)</f>
        <v>2070</v>
      </c>
      <c r="P930" s="63">
        <f>IFERROR(VLOOKUP($B930,'TB YTD'!$4:$1048576,MATCH('List of Ledgers '!P$4,'TB YTD'!$4:$4,0),0),0)</f>
        <v>0</v>
      </c>
      <c r="Q930" s="63">
        <f>IFERROR(VLOOKUP($B930,'TB YTD'!$4:$1048576,MATCH('List of Ledgers '!Q$4,'TB YTD'!$4:$4,0),0),0)</f>
        <v>2070</v>
      </c>
      <c r="R930" s="63"/>
    </row>
    <row r="931" spans="1:18" hidden="1" x14ac:dyDescent="0.25">
      <c r="A931" s="165">
        <v>853</v>
      </c>
      <c r="B931" s="2" t="s">
        <v>1221</v>
      </c>
      <c r="C931" s="2" t="s">
        <v>322</v>
      </c>
      <c r="D931" s="17" t="s">
        <v>151</v>
      </c>
      <c r="E931" s="17" t="s">
        <v>152</v>
      </c>
      <c r="F931" s="12" t="s">
        <v>58</v>
      </c>
      <c r="G931" s="12" t="s">
        <v>7</v>
      </c>
      <c r="I931" s="37">
        <f>IFERROR(VLOOKUP(B931,'TB '!$A:$G,7,),0)</f>
        <v>0</v>
      </c>
      <c r="J931" s="37">
        <f>IFERROR(VLOOKUP($B931,'TB '!$4:$1048576,MATCH('List of Ledgers '!J$4,'TB '!$4:$4,0),0),0)</f>
        <v>30</v>
      </c>
      <c r="K931" s="37">
        <f>IFERROR(VLOOKUP($B931,'TB '!$4:$1048576,MATCH('List of Ledgers '!K$4,'TB '!$4:$4,0),0),0)</f>
        <v>0</v>
      </c>
      <c r="L931" s="37">
        <f>IFERROR(VLOOKUP(B931,'TB '!$A:$J,10,),0)</f>
        <v>30</v>
      </c>
      <c r="M931" s="71"/>
      <c r="N931" s="63">
        <f>IFERROR(VLOOKUP($B931,'TB YTD'!$4:$1048576,MATCH('List of Ledgers '!N$4,'TB YTD'!$4:$4,0),0),0)</f>
        <v>0</v>
      </c>
      <c r="O931" s="63">
        <f>IFERROR(VLOOKUP($B931,'TB YTD'!$4:$1048576,MATCH('List of Ledgers '!O$4,'TB YTD'!$4:$4,0),0),0)</f>
        <v>1400</v>
      </c>
      <c r="P931" s="63">
        <f>IFERROR(VLOOKUP($B931,'TB YTD'!$4:$1048576,MATCH('List of Ledgers '!P$4,'TB YTD'!$4:$4,0),0),0)</f>
        <v>0</v>
      </c>
      <c r="Q931" s="63">
        <f>IFERROR(VLOOKUP($B931,'TB YTD'!$4:$1048576,MATCH('List of Ledgers '!Q$4,'TB YTD'!$4:$4,0),0),0)</f>
        <v>1400</v>
      </c>
      <c r="R931" s="63"/>
    </row>
    <row r="932" spans="1:18" hidden="1" x14ac:dyDescent="0.25">
      <c r="A932" s="165">
        <f t="shared" ref="A932:A995" si="3">A931+1</f>
        <v>854</v>
      </c>
      <c r="B932" s="2" t="s">
        <v>1214</v>
      </c>
      <c r="C932" s="2" t="s">
        <v>876</v>
      </c>
      <c r="D932" s="17" t="s">
        <v>151</v>
      </c>
      <c r="E932" s="17" t="s">
        <v>152</v>
      </c>
      <c r="F932" s="12" t="s">
        <v>56</v>
      </c>
      <c r="G932" s="12" t="s">
        <v>8</v>
      </c>
      <c r="I932" s="37">
        <f>IFERROR(VLOOKUP(B932,'TB '!$A:$G,7,),0)</f>
        <v>0</v>
      </c>
      <c r="J932" s="37">
        <f>IFERROR(VLOOKUP($B932,'TB '!$4:$1048576,MATCH('List of Ledgers '!J$4,'TB '!$4:$4,0),0),0)</f>
        <v>10000</v>
      </c>
      <c r="K932" s="37">
        <f>IFERROR(VLOOKUP($B932,'TB '!$4:$1048576,MATCH('List of Ledgers '!K$4,'TB '!$4:$4,0),0),0)</f>
        <v>0</v>
      </c>
      <c r="L932" s="37">
        <f>IFERROR(VLOOKUP(B932,'TB '!$A:$J,10,),0)</f>
        <v>10000</v>
      </c>
      <c r="M932" s="71"/>
      <c r="N932" s="63">
        <f>IFERROR(VLOOKUP($B932,'TB YTD'!$4:$1048576,MATCH('List of Ledgers '!N$4,'TB YTD'!$4:$4,0),0),0)</f>
        <v>0</v>
      </c>
      <c r="O932" s="63">
        <f>IFERROR(VLOOKUP($B932,'TB YTD'!$4:$1048576,MATCH('List of Ledgers '!O$4,'TB YTD'!$4:$4,0),0),0)</f>
        <v>38100</v>
      </c>
      <c r="P932" s="63">
        <f>IFERROR(VLOOKUP($B932,'TB YTD'!$4:$1048576,MATCH('List of Ledgers '!P$4,'TB YTD'!$4:$4,0),0),0)</f>
        <v>0</v>
      </c>
      <c r="Q932" s="63">
        <f>IFERROR(VLOOKUP($B932,'TB YTD'!$4:$1048576,MATCH('List of Ledgers '!Q$4,'TB YTD'!$4:$4,0),0),0)</f>
        <v>38100</v>
      </c>
      <c r="R932" s="63"/>
    </row>
    <row r="933" spans="1:18" hidden="1" x14ac:dyDescent="0.25">
      <c r="A933" s="165">
        <f t="shared" si="3"/>
        <v>855</v>
      </c>
      <c r="B933" s="2" t="s">
        <v>1226</v>
      </c>
      <c r="C933" s="2" t="s">
        <v>1079</v>
      </c>
      <c r="D933" s="17" t="s">
        <v>128</v>
      </c>
      <c r="E933" s="17" t="s">
        <v>134</v>
      </c>
      <c r="G933" s="12" t="s">
        <v>9</v>
      </c>
      <c r="I933" s="37">
        <f>IFERROR(VLOOKUP(B933,'TB '!$A:$G,7,),0)</f>
        <v>116549.81</v>
      </c>
      <c r="J933" s="37">
        <f>IFERROR(VLOOKUP($B933,'TB '!$4:$1048576,MATCH('List of Ledgers '!J$4,'TB '!$4:$4,0),0),0)</f>
        <v>0</v>
      </c>
      <c r="K933" s="37">
        <f>IFERROR(VLOOKUP($B933,'TB '!$4:$1048576,MATCH('List of Ledgers '!K$4,'TB '!$4:$4,0),0),0)</f>
        <v>0</v>
      </c>
      <c r="L933" s="37">
        <f>IFERROR(VLOOKUP(B933,'TB '!$A:$J,10,),0)</f>
        <v>116549.81</v>
      </c>
      <c r="M933" s="71"/>
      <c r="N933" s="63">
        <f>IFERROR(VLOOKUP($B933,'TB YTD'!$4:$1048576,MATCH('List of Ledgers '!N$4,'TB YTD'!$4:$4,0),0),0)</f>
        <v>0</v>
      </c>
      <c r="O933" s="63">
        <f>IFERROR(VLOOKUP($B933,'TB YTD'!$4:$1048576,MATCH('List of Ledgers '!O$4,'TB YTD'!$4:$4,0),0),0)</f>
        <v>2476377.42</v>
      </c>
      <c r="P933" s="63">
        <f>IFERROR(VLOOKUP($B933,'TB YTD'!$4:$1048576,MATCH('List of Ledgers '!P$4,'TB YTD'!$4:$4,0),0),0)</f>
        <v>2359827.61</v>
      </c>
      <c r="Q933" s="63">
        <f>IFERROR(VLOOKUP($B933,'TB YTD'!$4:$1048576,MATCH('List of Ledgers '!Q$4,'TB YTD'!$4:$4,0),0),0)</f>
        <v>116549.81</v>
      </c>
      <c r="R933" s="63"/>
    </row>
    <row r="934" spans="1:18" hidden="1" x14ac:dyDescent="0.25">
      <c r="A934" s="165">
        <f t="shared" si="3"/>
        <v>856</v>
      </c>
      <c r="B934" s="2" t="s">
        <v>1112</v>
      </c>
      <c r="C934" s="2" t="s">
        <v>160</v>
      </c>
      <c r="D934" s="17" t="s">
        <v>128</v>
      </c>
      <c r="E934" s="17"/>
      <c r="I934" s="37">
        <f>IFERROR(VLOOKUP(B934,'TB '!$A:$G,7,),0)</f>
        <v>26694.92</v>
      </c>
      <c r="J934" s="37">
        <f>IFERROR(VLOOKUP($B934,'TB '!$4:$1048576,MATCH('List of Ledgers '!J$4,'TB '!$4:$4,0),0),0)</f>
        <v>0</v>
      </c>
      <c r="K934" s="37">
        <f>IFERROR(VLOOKUP($B934,'TB '!$4:$1048576,MATCH('List of Ledgers '!K$4,'TB '!$4:$4,0),0),0)</f>
        <v>0</v>
      </c>
      <c r="L934" s="37">
        <f>IFERROR(VLOOKUP(B934,'TB '!$A:$J,10,),0)</f>
        <v>26694.92</v>
      </c>
      <c r="M934" s="71"/>
      <c r="N934" s="63">
        <f>IFERROR(VLOOKUP($B934,'TB YTD'!$4:$1048576,MATCH('List of Ledgers '!N$4,'TB YTD'!$4:$4,0),0),0)</f>
        <v>0</v>
      </c>
      <c r="O934" s="63">
        <f>IFERROR(VLOOKUP($B934,'TB YTD'!$4:$1048576,MATCH('List of Ledgers '!O$4,'TB YTD'!$4:$4,0),0),0)</f>
        <v>26694.92</v>
      </c>
      <c r="P934" s="63">
        <f>IFERROR(VLOOKUP($B934,'TB YTD'!$4:$1048576,MATCH('List of Ledgers '!P$4,'TB YTD'!$4:$4,0),0),0)</f>
        <v>0</v>
      </c>
      <c r="Q934" s="63">
        <f>IFERROR(VLOOKUP($B934,'TB YTD'!$4:$1048576,MATCH('List of Ledgers '!Q$4,'TB YTD'!$4:$4,0),0),0)</f>
        <v>26694.92</v>
      </c>
      <c r="R934" s="63"/>
    </row>
    <row r="935" spans="1:18" hidden="1" x14ac:dyDescent="0.25">
      <c r="A935" s="165">
        <f t="shared" si="3"/>
        <v>857</v>
      </c>
      <c r="B935" s="2" t="s">
        <v>1296</v>
      </c>
      <c r="C935" s="2" t="s">
        <v>1032</v>
      </c>
      <c r="D935" s="17" t="s">
        <v>128</v>
      </c>
      <c r="E935" s="17" t="s">
        <v>131</v>
      </c>
      <c r="G935" s="12" t="s">
        <v>9</v>
      </c>
      <c r="I935" s="37">
        <f>IFERROR(VLOOKUP(B935,'TB '!$A:$G,7,),0)</f>
        <v>0</v>
      </c>
      <c r="J935" s="37">
        <f>IFERROR(VLOOKUP($B935,'TB '!$4:$1048576,MATCH('List of Ledgers '!J$4,'TB '!$4:$4,0),0),0)</f>
        <v>2121504</v>
      </c>
      <c r="K935" s="37">
        <f>IFERROR(VLOOKUP($B935,'TB '!$4:$1048576,MATCH('List of Ledgers '!K$4,'TB '!$4:$4,0),0),0)</f>
        <v>0</v>
      </c>
      <c r="L935" s="37">
        <f>IFERROR(VLOOKUP(B935,'TB '!$A:$J,10,),0)</f>
        <v>2121504</v>
      </c>
      <c r="M935" s="71"/>
      <c r="N935" s="63">
        <f>IFERROR(VLOOKUP($B935,'TB YTD'!$4:$1048576,MATCH('List of Ledgers '!N$4,'TB YTD'!$4:$4,0),0),0)</f>
        <v>0</v>
      </c>
      <c r="O935" s="63">
        <f>IFERROR(VLOOKUP($B935,'TB YTD'!$4:$1048576,MATCH('List of Ledgers '!O$4,'TB YTD'!$4:$4,0),0),0)</f>
        <v>2121504</v>
      </c>
      <c r="P935" s="63">
        <f>IFERROR(VLOOKUP($B935,'TB YTD'!$4:$1048576,MATCH('List of Ledgers '!P$4,'TB YTD'!$4:$4,0),0),0)</f>
        <v>0</v>
      </c>
      <c r="Q935" s="63">
        <f>IFERROR(VLOOKUP($B935,'TB YTD'!$4:$1048576,MATCH('List of Ledgers '!Q$4,'TB YTD'!$4:$4,0),0),0)</f>
        <v>2121504</v>
      </c>
      <c r="R935" s="63"/>
    </row>
    <row r="936" spans="1:18" hidden="1" x14ac:dyDescent="0.25">
      <c r="A936" s="165">
        <f t="shared" si="3"/>
        <v>858</v>
      </c>
      <c r="B936" s="2" t="s">
        <v>1297</v>
      </c>
      <c r="C936" s="2" t="s">
        <v>876</v>
      </c>
      <c r="D936" s="17" t="s">
        <v>151</v>
      </c>
      <c r="E936" s="17" t="s">
        <v>152</v>
      </c>
      <c r="F936" s="12" t="s">
        <v>37</v>
      </c>
      <c r="G936" s="12" t="s">
        <v>8</v>
      </c>
      <c r="I936" s="37">
        <f>IFERROR(VLOOKUP(B936,'TB '!$A:$G,7,),0)</f>
        <v>0</v>
      </c>
      <c r="J936" s="37">
        <f>IFERROR(VLOOKUP($B936,'TB '!$4:$1048576,MATCH('List of Ledgers '!J$4,'TB '!$4:$4,0),0),0)</f>
        <v>0</v>
      </c>
      <c r="K936" s="37">
        <f>IFERROR(VLOOKUP($B936,'TB '!$4:$1048576,MATCH('List of Ledgers '!K$4,'TB '!$4:$4,0),0),0)</f>
        <v>0</v>
      </c>
      <c r="L936" s="37">
        <f>IFERROR(VLOOKUP(B936,'TB '!$A:$J,10,),0)</f>
        <v>0</v>
      </c>
      <c r="M936" s="71"/>
      <c r="N936" s="63">
        <f>IFERROR(VLOOKUP($B936,'TB YTD'!$4:$1048576,MATCH('List of Ledgers '!N$4,'TB YTD'!$4:$4,0),0),0)</f>
        <v>0</v>
      </c>
      <c r="O936" s="63">
        <f>IFERROR(VLOOKUP($B936,'TB YTD'!$4:$1048576,MATCH('List of Ledgers '!O$4,'TB YTD'!$4:$4,0),0),0)</f>
        <v>0</v>
      </c>
      <c r="P936" s="63">
        <f>IFERROR(VLOOKUP($B936,'TB YTD'!$4:$1048576,MATCH('List of Ledgers '!P$4,'TB YTD'!$4:$4,0),0),0)</f>
        <v>0</v>
      </c>
      <c r="Q936" s="63">
        <f>IFERROR(VLOOKUP($B936,'TB YTD'!$4:$1048576,MATCH('List of Ledgers '!Q$4,'TB YTD'!$4:$4,0),0),0)</f>
        <v>0</v>
      </c>
      <c r="R936" s="63"/>
    </row>
    <row r="937" spans="1:18" hidden="1" x14ac:dyDescent="0.25">
      <c r="A937" s="165">
        <f t="shared" si="3"/>
        <v>859</v>
      </c>
      <c r="B937" s="2" t="s">
        <v>1278</v>
      </c>
      <c r="C937" s="2" t="s">
        <v>1032</v>
      </c>
      <c r="D937" s="17" t="s">
        <v>128</v>
      </c>
      <c r="E937" s="17" t="s">
        <v>131</v>
      </c>
      <c r="G937" s="12" t="s">
        <v>9</v>
      </c>
      <c r="I937" s="37">
        <f>IFERROR(VLOOKUP(B937,'TB '!$A:$G,7,),0)</f>
        <v>0</v>
      </c>
      <c r="J937" s="37">
        <f>IFERROR(VLOOKUP($B937,'TB '!$4:$1048576,MATCH('List of Ledgers '!J$4,'TB '!$4:$4,0),0),0)</f>
        <v>663348</v>
      </c>
      <c r="K937" s="37">
        <f>IFERROR(VLOOKUP($B937,'TB '!$4:$1048576,MATCH('List of Ledgers '!K$4,'TB '!$4:$4,0),0),0)</f>
        <v>663348</v>
      </c>
      <c r="L937" s="37">
        <f>IFERROR(VLOOKUP(B937,'TB '!$A:$J,10,),0)</f>
        <v>0</v>
      </c>
      <c r="M937" s="71"/>
      <c r="N937" s="63">
        <f>IFERROR(VLOOKUP($B937,'TB YTD'!$4:$1048576,MATCH('List of Ledgers '!N$4,'TB YTD'!$4:$4,0),0),0)</f>
        <v>0</v>
      </c>
      <c r="O937" s="63">
        <f>IFERROR(VLOOKUP($B937,'TB YTD'!$4:$1048576,MATCH('List of Ledgers '!O$4,'TB YTD'!$4:$4,0),0),0)</f>
        <v>3329823</v>
      </c>
      <c r="P937" s="63">
        <f>IFERROR(VLOOKUP($B937,'TB YTD'!$4:$1048576,MATCH('List of Ledgers '!P$4,'TB YTD'!$4:$4,0),0),0)</f>
        <v>3329823</v>
      </c>
      <c r="Q937" s="63">
        <f>IFERROR(VLOOKUP($B937,'TB YTD'!$4:$1048576,MATCH('List of Ledgers '!Q$4,'TB YTD'!$4:$4,0),0),0)</f>
        <v>0</v>
      </c>
      <c r="R937" s="63"/>
    </row>
    <row r="938" spans="1:18" hidden="1" x14ac:dyDescent="0.25">
      <c r="A938" s="165">
        <f t="shared" si="3"/>
        <v>860</v>
      </c>
      <c r="B938" s="2" t="s">
        <v>1298</v>
      </c>
      <c r="C938" s="2" t="s">
        <v>377</v>
      </c>
      <c r="D938" s="12" t="s">
        <v>151</v>
      </c>
      <c r="E938" s="12" t="s">
        <v>152</v>
      </c>
      <c r="F938" s="12" t="s">
        <v>69</v>
      </c>
      <c r="G938" s="12" t="s">
        <v>7</v>
      </c>
      <c r="I938" s="37">
        <f>IFERROR(VLOOKUP(B938,'TB '!$A:$G,7,),0)</f>
        <v>0</v>
      </c>
      <c r="J938" s="37">
        <f>IFERROR(VLOOKUP($B938,'TB '!$4:$1048576,MATCH('List of Ledgers '!J$4,'TB '!$4:$4,0),0),0)</f>
        <v>0</v>
      </c>
      <c r="K938" s="37">
        <f>IFERROR(VLOOKUP($B938,'TB '!$4:$1048576,MATCH('List of Ledgers '!K$4,'TB '!$4:$4,0),0),0)</f>
        <v>0</v>
      </c>
      <c r="L938" s="37">
        <f>IFERROR(VLOOKUP(B938,'TB '!$A:$J,10,),0)</f>
        <v>0</v>
      </c>
      <c r="M938" s="71"/>
      <c r="N938" s="63">
        <f>IFERROR(VLOOKUP($B938,'TB YTD'!$4:$1048576,MATCH('List of Ledgers '!N$4,'TB YTD'!$4:$4,0),0),0)</f>
        <v>0</v>
      </c>
      <c r="O938" s="63">
        <f>IFERROR(VLOOKUP($B938,'TB YTD'!$4:$1048576,MATCH('List of Ledgers '!O$4,'TB YTD'!$4:$4,0),0),0)</f>
        <v>0</v>
      </c>
      <c r="P938" s="63">
        <f>IFERROR(VLOOKUP($B938,'TB YTD'!$4:$1048576,MATCH('List of Ledgers '!P$4,'TB YTD'!$4:$4,0),0),0)</f>
        <v>0</v>
      </c>
      <c r="Q938" s="63">
        <f>IFERROR(VLOOKUP($B938,'TB YTD'!$4:$1048576,MATCH('List of Ledgers '!Q$4,'TB YTD'!$4:$4,0),0),0)</f>
        <v>0</v>
      </c>
      <c r="R938" s="63"/>
    </row>
    <row r="939" spans="1:18" hidden="1" x14ac:dyDescent="0.25">
      <c r="A939" s="165">
        <f t="shared" si="3"/>
        <v>861</v>
      </c>
      <c r="B939" s="2" t="s">
        <v>1299</v>
      </c>
      <c r="C939" s="2" t="s">
        <v>876</v>
      </c>
      <c r="D939" s="17" t="s">
        <v>151</v>
      </c>
      <c r="E939" s="17" t="s">
        <v>152</v>
      </c>
      <c r="F939" s="12" t="s">
        <v>59</v>
      </c>
      <c r="G939" s="12" t="s">
        <v>8</v>
      </c>
      <c r="I939" s="37">
        <f>IFERROR(VLOOKUP(B939,'TB '!$A:$G,7,),0)</f>
        <v>0</v>
      </c>
      <c r="J939" s="37">
        <f>IFERROR(VLOOKUP($B939,'TB '!$4:$1048576,MATCH('List of Ledgers '!J$4,'TB '!$4:$4,0),0),0)</f>
        <v>0</v>
      </c>
      <c r="K939" s="37">
        <f>IFERROR(VLOOKUP($B939,'TB '!$4:$1048576,MATCH('List of Ledgers '!K$4,'TB '!$4:$4,0),0),0)</f>
        <v>0</v>
      </c>
      <c r="L939" s="37">
        <f>IFERROR(VLOOKUP(B939,'TB '!$A:$J,10,),0)</f>
        <v>0</v>
      </c>
      <c r="M939" s="71"/>
      <c r="N939" s="63">
        <f>IFERROR(VLOOKUP($B939,'TB YTD'!$4:$1048576,MATCH('List of Ledgers '!N$4,'TB YTD'!$4:$4,0),0),0)</f>
        <v>0</v>
      </c>
      <c r="O939" s="63">
        <f>IFERROR(VLOOKUP($B939,'TB YTD'!$4:$1048576,MATCH('List of Ledgers '!O$4,'TB YTD'!$4:$4,0),0),0)</f>
        <v>29197</v>
      </c>
      <c r="P939" s="63">
        <f>IFERROR(VLOOKUP($B939,'TB YTD'!$4:$1048576,MATCH('List of Ledgers '!P$4,'TB YTD'!$4:$4,0),0),0)</f>
        <v>0</v>
      </c>
      <c r="Q939" s="63">
        <f>IFERROR(VLOOKUP($B939,'TB YTD'!$4:$1048576,MATCH('List of Ledgers '!Q$4,'TB YTD'!$4:$4,0),0),0)</f>
        <v>29197</v>
      </c>
      <c r="R939" s="63"/>
    </row>
    <row r="940" spans="1:18" hidden="1" x14ac:dyDescent="0.25">
      <c r="A940" s="165">
        <f t="shared" si="3"/>
        <v>862</v>
      </c>
      <c r="B940" s="2" t="s">
        <v>1300</v>
      </c>
      <c r="C940" s="2" t="s">
        <v>377</v>
      </c>
      <c r="D940" s="12" t="s">
        <v>151</v>
      </c>
      <c r="E940" s="12" t="s">
        <v>152</v>
      </c>
      <c r="F940" s="12" t="s">
        <v>69</v>
      </c>
      <c r="G940" s="12" t="s">
        <v>7</v>
      </c>
      <c r="I940" s="37">
        <f>IFERROR(VLOOKUP(B940,'TB '!$A:$G,7,),0)</f>
        <v>0</v>
      </c>
      <c r="J940" s="37">
        <f>IFERROR(VLOOKUP($B940,'TB '!$4:$1048576,MATCH('List of Ledgers '!J$4,'TB '!$4:$4,0),0),0)</f>
        <v>0</v>
      </c>
      <c r="K940" s="37">
        <f>IFERROR(VLOOKUP($B940,'TB '!$4:$1048576,MATCH('List of Ledgers '!K$4,'TB '!$4:$4,0),0),0)</f>
        <v>0</v>
      </c>
      <c r="L940" s="37">
        <f>IFERROR(VLOOKUP(B940,'TB '!$A:$J,10,),0)</f>
        <v>0</v>
      </c>
      <c r="M940" s="71"/>
      <c r="N940" s="63">
        <f>IFERROR(VLOOKUP($B940,'TB YTD'!$4:$1048576,MATCH('List of Ledgers '!N$4,'TB YTD'!$4:$4,0),0),0)</f>
        <v>0</v>
      </c>
      <c r="O940" s="63">
        <f>IFERROR(VLOOKUP($B940,'TB YTD'!$4:$1048576,MATCH('List of Ledgers '!O$4,'TB YTD'!$4:$4,0),0),0)</f>
        <v>0</v>
      </c>
      <c r="P940" s="63">
        <f>IFERROR(VLOOKUP($B940,'TB YTD'!$4:$1048576,MATCH('List of Ledgers '!P$4,'TB YTD'!$4:$4,0),0),0)</f>
        <v>0</v>
      </c>
      <c r="Q940" s="63">
        <f>IFERROR(VLOOKUP($B940,'TB YTD'!$4:$1048576,MATCH('List of Ledgers '!Q$4,'TB YTD'!$4:$4,0),0),0)</f>
        <v>0</v>
      </c>
      <c r="R940" s="63"/>
    </row>
    <row r="941" spans="1:18" hidden="1" x14ac:dyDescent="0.25">
      <c r="A941" s="165">
        <f t="shared" si="3"/>
        <v>863</v>
      </c>
      <c r="B941" s="2" t="s">
        <v>1301</v>
      </c>
      <c r="C941" s="2" t="s">
        <v>1032</v>
      </c>
      <c r="D941" s="17" t="s">
        <v>128</v>
      </c>
      <c r="E941" s="17" t="s">
        <v>131</v>
      </c>
      <c r="G941" s="12" t="s">
        <v>9</v>
      </c>
      <c r="I941" s="37">
        <f>IFERROR(VLOOKUP(B941,'TB '!$A:$G,7,),0)</f>
        <v>0</v>
      </c>
      <c r="J941" s="37">
        <f>IFERROR(VLOOKUP($B941,'TB '!$4:$1048576,MATCH('List of Ledgers '!J$4,'TB '!$4:$4,0),0),0)</f>
        <v>0</v>
      </c>
      <c r="K941" s="37">
        <f>IFERROR(VLOOKUP($B941,'TB '!$4:$1048576,MATCH('List of Ledgers '!K$4,'TB '!$4:$4,0),0),0)</f>
        <v>0</v>
      </c>
      <c r="L941" s="37">
        <f>IFERROR(VLOOKUP(B941,'TB '!$A:$J,10,),0)</f>
        <v>0</v>
      </c>
      <c r="M941" s="71"/>
      <c r="N941" s="63">
        <f>IFERROR(VLOOKUP($B941,'TB YTD'!$4:$1048576,MATCH('List of Ledgers '!N$4,'TB YTD'!$4:$4,0),0),0)</f>
        <v>0</v>
      </c>
      <c r="O941" s="63">
        <f>IFERROR(VLOOKUP($B941,'TB YTD'!$4:$1048576,MATCH('List of Ledgers '!O$4,'TB YTD'!$4:$4,0),0),0)</f>
        <v>436450</v>
      </c>
      <c r="P941" s="63">
        <f>IFERROR(VLOOKUP($B941,'TB YTD'!$4:$1048576,MATCH('List of Ledgers '!P$4,'TB YTD'!$4:$4,0),0),0)</f>
        <v>436450</v>
      </c>
      <c r="Q941" s="63">
        <f>IFERROR(VLOOKUP($B941,'TB YTD'!$4:$1048576,MATCH('List of Ledgers '!Q$4,'TB YTD'!$4:$4,0),0),0)</f>
        <v>0</v>
      </c>
      <c r="R941" s="63"/>
    </row>
    <row r="942" spans="1:18" x14ac:dyDescent="0.25">
      <c r="A942" s="165">
        <f t="shared" si="3"/>
        <v>864</v>
      </c>
      <c r="B942" s="2" t="s">
        <v>1302</v>
      </c>
      <c r="C942" s="2" t="s">
        <v>876</v>
      </c>
      <c r="D942" s="17" t="s">
        <v>151</v>
      </c>
      <c r="E942" s="17" t="s">
        <v>152</v>
      </c>
      <c r="F942" s="12" t="s">
        <v>71</v>
      </c>
      <c r="G942" s="12" t="s">
        <v>9</v>
      </c>
      <c r="I942" s="37">
        <f>IFERROR(VLOOKUP(B942,'TB '!$A:$G,7,),0)</f>
        <v>0</v>
      </c>
      <c r="J942" s="37">
        <f>IFERROR(VLOOKUP($B942,'TB '!$4:$1048576,MATCH('List of Ledgers '!J$4,'TB '!$4:$4,0),0),0)</f>
        <v>0</v>
      </c>
      <c r="K942" s="37">
        <f>IFERROR(VLOOKUP($B942,'TB '!$4:$1048576,MATCH('List of Ledgers '!K$4,'TB '!$4:$4,0),0),0)</f>
        <v>0</v>
      </c>
      <c r="L942" s="37">
        <f>IFERROR(VLOOKUP(B942,'TB '!$A:$J,10,),0)</f>
        <v>0</v>
      </c>
      <c r="M942" s="71"/>
      <c r="N942" s="63">
        <f>IFERROR(VLOOKUP($B942,'TB YTD'!$4:$1048576,MATCH('List of Ledgers '!N$4,'TB YTD'!$4:$4,0),0),0)</f>
        <v>0</v>
      </c>
      <c r="O942" s="63">
        <f>IFERROR(VLOOKUP($B942,'TB YTD'!$4:$1048576,MATCH('List of Ledgers '!O$4,'TB YTD'!$4:$4,0),0),0)</f>
        <v>200</v>
      </c>
      <c r="P942" s="63">
        <f>IFERROR(VLOOKUP($B942,'TB YTD'!$4:$1048576,MATCH('List of Ledgers '!P$4,'TB YTD'!$4:$4,0),0),0)</f>
        <v>0</v>
      </c>
      <c r="Q942" s="63">
        <f>IFERROR(VLOOKUP($B942,'TB YTD'!$4:$1048576,MATCH('List of Ledgers '!Q$4,'TB YTD'!$4:$4,0),0),0)</f>
        <v>200</v>
      </c>
      <c r="R942" s="63"/>
    </row>
    <row r="943" spans="1:18" hidden="1" x14ac:dyDescent="0.25">
      <c r="A943" s="165">
        <f t="shared" si="3"/>
        <v>865</v>
      </c>
      <c r="B943" s="2" t="s">
        <v>1303</v>
      </c>
      <c r="C943" s="2" t="s">
        <v>437</v>
      </c>
      <c r="D943" s="17"/>
      <c r="E943" s="17"/>
      <c r="I943" s="37">
        <f>IFERROR(VLOOKUP(B943,'TB '!$A:$G,7,),0)</f>
        <v>2691229.34</v>
      </c>
      <c r="J943" s="37">
        <f>IFERROR(VLOOKUP($B943,'TB '!$4:$1048576,MATCH('List of Ledgers '!J$4,'TB '!$4:$4,0),0),0)</f>
        <v>0</v>
      </c>
      <c r="K943" s="37">
        <f>IFERROR(VLOOKUP($B943,'TB '!$4:$1048576,MATCH('List of Ledgers '!K$4,'TB '!$4:$4,0),0),0)</f>
        <v>0</v>
      </c>
      <c r="L943" s="37">
        <f>IFERROR(VLOOKUP(B943,'TB '!$A:$J,10,),0)</f>
        <v>2691229.34</v>
      </c>
      <c r="M943" s="71"/>
      <c r="N943" s="63">
        <f>IFERROR(VLOOKUP($B943,'TB YTD'!$4:$1048576,MATCH('List of Ledgers '!N$4,'TB YTD'!$4:$4,0),0),0)</f>
        <v>0</v>
      </c>
      <c r="O943" s="63">
        <f>IFERROR(VLOOKUP($B943,'TB YTD'!$4:$1048576,MATCH('List of Ledgers '!O$4,'TB YTD'!$4:$4,0),0),0)</f>
        <v>5000000</v>
      </c>
      <c r="P943" s="63">
        <f>IFERROR(VLOOKUP($B943,'TB YTD'!$4:$1048576,MATCH('List of Ledgers '!P$4,'TB YTD'!$4:$4,0),0),0)</f>
        <v>2308770.66</v>
      </c>
      <c r="Q943" s="63">
        <f>IFERROR(VLOOKUP($B943,'TB YTD'!$4:$1048576,MATCH('List of Ledgers '!Q$4,'TB YTD'!$4:$4,0),0),0)</f>
        <v>2691229.34</v>
      </c>
      <c r="R943" s="63"/>
    </row>
    <row r="944" spans="1:18" hidden="1" x14ac:dyDescent="0.25">
      <c r="A944" s="165">
        <f t="shared" si="3"/>
        <v>866</v>
      </c>
      <c r="B944" s="2" t="s">
        <v>1304</v>
      </c>
      <c r="C944" s="2" t="s">
        <v>437</v>
      </c>
      <c r="D944" s="17"/>
      <c r="E944" s="17"/>
      <c r="I944" s="37">
        <f>IFERROR(VLOOKUP(B944,'TB '!$A:$G,7,),0)</f>
        <v>-2691229.34</v>
      </c>
      <c r="J944" s="37">
        <f>IFERROR(VLOOKUP($B944,'TB '!$4:$1048576,MATCH('List of Ledgers '!J$4,'TB '!$4:$4,0),0),0)</f>
        <v>0</v>
      </c>
      <c r="K944" s="37">
        <f>IFERROR(VLOOKUP($B944,'TB '!$4:$1048576,MATCH('List of Ledgers '!K$4,'TB '!$4:$4,0),0),0)</f>
        <v>0</v>
      </c>
      <c r="L944" s="37">
        <f>IFERROR(VLOOKUP(B944,'TB '!$A:$J,10,),0)</f>
        <v>-2691229.34</v>
      </c>
      <c r="M944" s="71"/>
      <c r="N944" s="63">
        <f>IFERROR(VLOOKUP($B944,'TB YTD'!$4:$1048576,MATCH('List of Ledgers '!N$4,'TB YTD'!$4:$4,0),0),0)</f>
        <v>0</v>
      </c>
      <c r="O944" s="63">
        <f>IFERROR(VLOOKUP($B944,'TB YTD'!$4:$1048576,MATCH('List of Ledgers '!O$4,'TB YTD'!$4:$4,0),0),0)</f>
        <v>5000000</v>
      </c>
      <c r="P944" s="63">
        <f>IFERROR(VLOOKUP($B944,'TB YTD'!$4:$1048576,MATCH('List of Ledgers '!P$4,'TB YTD'!$4:$4,0),0),0)</f>
        <v>7691229.3399999999</v>
      </c>
      <c r="Q944" s="63">
        <f>IFERROR(VLOOKUP($B944,'TB YTD'!$4:$1048576,MATCH('List of Ledgers '!Q$4,'TB YTD'!$4:$4,0),0),0)</f>
        <v>-2691229.34</v>
      </c>
      <c r="R944" s="63"/>
    </row>
    <row r="945" spans="1:18" hidden="1" x14ac:dyDescent="0.25">
      <c r="A945" s="165">
        <f t="shared" si="3"/>
        <v>867</v>
      </c>
      <c r="B945" s="2" t="s">
        <v>1305</v>
      </c>
      <c r="C945" s="2" t="s">
        <v>1032</v>
      </c>
      <c r="D945" s="17" t="s">
        <v>128</v>
      </c>
      <c r="E945" s="17" t="s">
        <v>131</v>
      </c>
      <c r="G945" s="12" t="s">
        <v>9</v>
      </c>
      <c r="I945" s="37">
        <f>IFERROR(VLOOKUP(B945,'TB '!$A:$G,7,),0)</f>
        <v>0</v>
      </c>
      <c r="J945" s="37">
        <f>IFERROR(VLOOKUP($B945,'TB '!$4:$1048576,MATCH('List of Ledgers '!J$4,'TB '!$4:$4,0),0),0)</f>
        <v>2552000</v>
      </c>
      <c r="K945" s="37">
        <f>IFERROR(VLOOKUP($B945,'TB '!$4:$1048576,MATCH('List of Ledgers '!K$4,'TB '!$4:$4,0),0),0)</f>
        <v>2652000</v>
      </c>
      <c r="L945" s="37">
        <f>IFERROR(VLOOKUP(B945,'TB '!$A:$J,10,),0)</f>
        <v>-100000</v>
      </c>
      <c r="M945" s="71"/>
      <c r="N945" s="63">
        <f>IFERROR(VLOOKUP($B945,'TB YTD'!$4:$1048576,MATCH('List of Ledgers '!N$4,'TB YTD'!$4:$4,0),0),0)</f>
        <v>0</v>
      </c>
      <c r="O945" s="63">
        <f>IFERROR(VLOOKUP($B945,'TB YTD'!$4:$1048576,MATCH('List of Ledgers '!O$4,'TB YTD'!$4:$4,0),0),0)</f>
        <v>2552000</v>
      </c>
      <c r="P945" s="63">
        <f>IFERROR(VLOOKUP($B945,'TB YTD'!$4:$1048576,MATCH('List of Ledgers '!P$4,'TB YTD'!$4:$4,0),0),0)</f>
        <v>2652000</v>
      </c>
      <c r="Q945" s="63">
        <f>IFERROR(VLOOKUP($B945,'TB YTD'!$4:$1048576,MATCH('List of Ledgers '!Q$4,'TB YTD'!$4:$4,0),0),0)</f>
        <v>-100000</v>
      </c>
      <c r="R945" s="63"/>
    </row>
    <row r="946" spans="1:18" hidden="1" x14ac:dyDescent="0.25">
      <c r="A946" s="165">
        <f t="shared" si="3"/>
        <v>868</v>
      </c>
      <c r="B946" s="2" t="s">
        <v>1306</v>
      </c>
      <c r="C946" s="2" t="s">
        <v>1079</v>
      </c>
      <c r="D946" s="17" t="s">
        <v>128</v>
      </c>
      <c r="E946" s="17" t="s">
        <v>134</v>
      </c>
      <c r="G946" s="12" t="s">
        <v>9</v>
      </c>
      <c r="I946" s="37">
        <f>IFERROR(VLOOKUP(B946,'TB '!$A:$G,7,),0)</f>
        <v>-286263.23</v>
      </c>
      <c r="J946" s="37">
        <f>IFERROR(VLOOKUP($B946,'TB '!$4:$1048576,MATCH('List of Ledgers '!J$4,'TB '!$4:$4,0),0),0)</f>
        <v>3939936</v>
      </c>
      <c r="K946" s="37">
        <f>IFERROR(VLOOKUP($B946,'TB '!$4:$1048576,MATCH('List of Ledgers '!K$4,'TB '!$4:$4,0),0),0)</f>
        <v>0</v>
      </c>
      <c r="L946" s="37">
        <f>IFERROR(VLOOKUP(B946,'TB '!$A:$J,10,),0)</f>
        <v>3653672.77</v>
      </c>
      <c r="M946" s="71"/>
      <c r="N946" s="63">
        <f>IFERROR(VLOOKUP($B946,'TB YTD'!$4:$1048576,MATCH('List of Ledgers '!N$4,'TB YTD'!$4:$4,0),0),0)</f>
        <v>0</v>
      </c>
      <c r="O946" s="63">
        <f>IFERROR(VLOOKUP($B946,'TB YTD'!$4:$1048576,MATCH('List of Ledgers '!O$4,'TB YTD'!$4:$4,0),0),0)</f>
        <v>3939936</v>
      </c>
      <c r="P946" s="63">
        <f>IFERROR(VLOOKUP($B946,'TB YTD'!$4:$1048576,MATCH('List of Ledgers '!P$4,'TB YTD'!$4:$4,0),0),0)</f>
        <v>286263.23</v>
      </c>
      <c r="Q946" s="63">
        <f>IFERROR(VLOOKUP($B946,'TB YTD'!$4:$1048576,MATCH('List of Ledgers '!Q$4,'TB YTD'!$4:$4,0),0),0)</f>
        <v>3653672.77</v>
      </c>
      <c r="R946" s="63"/>
    </row>
    <row r="947" spans="1:18" hidden="1" x14ac:dyDescent="0.25">
      <c r="A947" s="165">
        <f t="shared" si="3"/>
        <v>869</v>
      </c>
      <c r="B947" s="2" t="s">
        <v>1307</v>
      </c>
      <c r="C947" s="2" t="s">
        <v>1032</v>
      </c>
      <c r="D947" s="17" t="s">
        <v>128</v>
      </c>
      <c r="E947" s="17" t="s">
        <v>131</v>
      </c>
      <c r="G947" s="12" t="s">
        <v>9</v>
      </c>
      <c r="I947" s="37">
        <f>IFERROR(VLOOKUP(B947,'TB '!$A:$G,7,),0)</f>
        <v>-2065</v>
      </c>
      <c r="J947" s="37">
        <f>IFERROR(VLOOKUP($B947,'TB '!$4:$1048576,MATCH('List of Ledgers '!J$4,'TB '!$4:$4,0),0),0)</f>
        <v>3319</v>
      </c>
      <c r="K947" s="37">
        <f>IFERROR(VLOOKUP($B947,'TB '!$4:$1048576,MATCH('List of Ledgers '!K$4,'TB '!$4:$4,0),0),0)</f>
        <v>1254</v>
      </c>
      <c r="L947" s="37">
        <f>IFERROR(VLOOKUP(B947,'TB '!$A:$J,10,),0)</f>
        <v>0</v>
      </c>
      <c r="M947" s="71"/>
      <c r="N947" s="63">
        <f>IFERROR(VLOOKUP($B947,'TB YTD'!$4:$1048576,MATCH('List of Ledgers '!N$4,'TB YTD'!$4:$4,0),0),0)</f>
        <v>0</v>
      </c>
      <c r="O947" s="63">
        <f>IFERROR(VLOOKUP($B947,'TB YTD'!$4:$1048576,MATCH('List of Ledgers '!O$4,'TB YTD'!$4:$4,0),0),0)</f>
        <v>3319</v>
      </c>
      <c r="P947" s="63">
        <f>IFERROR(VLOOKUP($B947,'TB YTD'!$4:$1048576,MATCH('List of Ledgers '!P$4,'TB YTD'!$4:$4,0),0),0)</f>
        <v>3319</v>
      </c>
      <c r="Q947" s="63">
        <f>IFERROR(VLOOKUP($B947,'TB YTD'!$4:$1048576,MATCH('List of Ledgers '!Q$4,'TB YTD'!$4:$4,0),0),0)</f>
        <v>0</v>
      </c>
      <c r="R947" s="63"/>
    </row>
    <row r="948" spans="1:18" hidden="1" x14ac:dyDescent="0.25">
      <c r="A948" s="165">
        <f t="shared" si="3"/>
        <v>870</v>
      </c>
      <c r="B948" s="2" t="s">
        <v>1308</v>
      </c>
      <c r="C948" s="2" t="s">
        <v>1058</v>
      </c>
      <c r="D948" s="17" t="s">
        <v>151</v>
      </c>
      <c r="E948" s="17" t="s">
        <v>152</v>
      </c>
      <c r="F948" s="12" t="s">
        <v>54</v>
      </c>
      <c r="G948" s="17" t="s">
        <v>9</v>
      </c>
      <c r="I948" s="37">
        <f>IFERROR(VLOOKUP(B948,'TB '!$A:$G,7,),0)</f>
        <v>0</v>
      </c>
      <c r="J948" s="37">
        <f>IFERROR(VLOOKUP($B948,'TB '!$4:$1048576,MATCH('List of Ledgers '!J$4,'TB '!$4:$4,0),0),0)</f>
        <v>260000</v>
      </c>
      <c r="K948" s="37">
        <f>IFERROR(VLOOKUP($B948,'TB '!$4:$1048576,MATCH('List of Ledgers '!K$4,'TB '!$4:$4,0),0),0)</f>
        <v>0</v>
      </c>
      <c r="L948" s="37">
        <f>IFERROR(VLOOKUP(B948,'TB '!$A:$J,10,),0)</f>
        <v>260000</v>
      </c>
      <c r="M948" s="71"/>
      <c r="N948" s="63">
        <f>IFERROR(VLOOKUP($B948,'TB YTD'!$4:$1048576,MATCH('List of Ledgers '!N$4,'TB YTD'!$4:$4,0),0),0)</f>
        <v>0</v>
      </c>
      <c r="O948" s="63">
        <f>IFERROR(VLOOKUP($B948,'TB YTD'!$4:$1048576,MATCH('List of Ledgers '!O$4,'TB YTD'!$4:$4,0),0),0)</f>
        <v>260500</v>
      </c>
      <c r="P948" s="63">
        <f>IFERROR(VLOOKUP($B948,'TB YTD'!$4:$1048576,MATCH('List of Ledgers '!P$4,'TB YTD'!$4:$4,0),0),0)</f>
        <v>0</v>
      </c>
      <c r="Q948" s="63">
        <f>IFERROR(VLOOKUP($B948,'TB YTD'!$4:$1048576,MATCH('List of Ledgers '!Q$4,'TB YTD'!$4:$4,0),0),0)</f>
        <v>260500</v>
      </c>
      <c r="R948" s="63"/>
    </row>
    <row r="949" spans="1:18" hidden="1" x14ac:dyDescent="0.25">
      <c r="A949" s="165">
        <f t="shared" si="3"/>
        <v>871</v>
      </c>
      <c r="B949" s="2" t="s">
        <v>1309</v>
      </c>
      <c r="C949" s="2" t="s">
        <v>1032</v>
      </c>
      <c r="D949" s="17" t="s">
        <v>128</v>
      </c>
      <c r="E949" s="17" t="s">
        <v>131</v>
      </c>
      <c r="G949" s="12" t="s">
        <v>9</v>
      </c>
      <c r="I949" s="37">
        <f>IFERROR(VLOOKUP(B949,'TB '!$A:$G,7,),0)</f>
        <v>-30377</v>
      </c>
      <c r="J949" s="37">
        <f>IFERROR(VLOOKUP($B949,'TB '!$4:$1048576,MATCH('List of Ledgers '!J$4,'TB '!$4:$4,0),0),0)</f>
        <v>23375</v>
      </c>
      <c r="K949" s="37">
        <f>IFERROR(VLOOKUP($B949,'TB '!$4:$1048576,MATCH('List of Ledgers '!K$4,'TB '!$4:$4,0),0),0)</f>
        <v>0</v>
      </c>
      <c r="L949" s="37">
        <f>IFERROR(VLOOKUP(B949,'TB '!$A:$J,10,),0)</f>
        <v>-7002</v>
      </c>
      <c r="M949" s="71"/>
      <c r="N949" s="63">
        <f>IFERROR(VLOOKUP($B949,'TB YTD'!$4:$1048576,MATCH('List of Ledgers '!N$4,'TB YTD'!$4:$4,0),0),0)</f>
        <v>0</v>
      </c>
      <c r="O949" s="63">
        <f>IFERROR(VLOOKUP($B949,'TB YTD'!$4:$1048576,MATCH('List of Ledgers '!O$4,'TB YTD'!$4:$4,0),0),0)</f>
        <v>32325</v>
      </c>
      <c r="P949" s="63">
        <f>IFERROR(VLOOKUP($B949,'TB YTD'!$4:$1048576,MATCH('List of Ledgers '!P$4,'TB YTD'!$4:$4,0),0),0)</f>
        <v>39327</v>
      </c>
      <c r="Q949" s="63">
        <f>IFERROR(VLOOKUP($B949,'TB YTD'!$4:$1048576,MATCH('List of Ledgers '!Q$4,'TB YTD'!$4:$4,0),0),0)</f>
        <v>-7002</v>
      </c>
      <c r="R949" s="63"/>
    </row>
    <row r="950" spans="1:18" hidden="1" x14ac:dyDescent="0.25">
      <c r="A950" s="165">
        <f t="shared" si="3"/>
        <v>872</v>
      </c>
      <c r="B950" s="2" t="s">
        <v>1310</v>
      </c>
      <c r="C950" s="2" t="s">
        <v>250</v>
      </c>
      <c r="D950" s="17" t="s">
        <v>128</v>
      </c>
      <c r="E950" s="17" t="s">
        <v>131</v>
      </c>
      <c r="G950" s="17" t="s">
        <v>7</v>
      </c>
      <c r="I950" s="37">
        <f>IFERROR(VLOOKUP(B950,'TB '!$A:$G,7,),0)</f>
        <v>0</v>
      </c>
      <c r="J950" s="37">
        <f>IFERROR(VLOOKUP($B950,'TB '!$4:$1048576,MATCH('List of Ledgers '!J$4,'TB '!$4:$4,0),0),0)</f>
        <v>306800</v>
      </c>
      <c r="K950" s="37">
        <f>IFERROR(VLOOKUP($B950,'TB '!$4:$1048576,MATCH('List of Ledgers '!K$4,'TB '!$4:$4,0),0),0)</f>
        <v>306800</v>
      </c>
      <c r="L950" s="37">
        <f>IFERROR(VLOOKUP(B950,'TB '!$A:$J,10,),0)</f>
        <v>0</v>
      </c>
      <c r="M950" s="71"/>
      <c r="N950" s="63">
        <f>IFERROR(VLOOKUP($B950,'TB YTD'!$4:$1048576,MATCH('List of Ledgers '!N$4,'TB YTD'!$4:$4,0),0),0)</f>
        <v>0</v>
      </c>
      <c r="O950" s="63">
        <f>IFERROR(VLOOKUP($B950,'TB YTD'!$4:$1048576,MATCH('List of Ledgers '!O$4,'TB YTD'!$4:$4,0),0),0)</f>
        <v>306800</v>
      </c>
      <c r="P950" s="63">
        <f>IFERROR(VLOOKUP($B950,'TB YTD'!$4:$1048576,MATCH('List of Ledgers '!P$4,'TB YTD'!$4:$4,0),0),0)</f>
        <v>306800</v>
      </c>
      <c r="Q950" s="63">
        <f>IFERROR(VLOOKUP($B950,'TB YTD'!$4:$1048576,MATCH('List of Ledgers '!Q$4,'TB YTD'!$4:$4,0),0),0)</f>
        <v>0</v>
      </c>
      <c r="R950" s="63"/>
    </row>
    <row r="951" spans="1:18" hidden="1" x14ac:dyDescent="0.25">
      <c r="A951" s="165">
        <f t="shared" si="3"/>
        <v>873</v>
      </c>
      <c r="B951" s="2" t="s">
        <v>1311</v>
      </c>
      <c r="C951" s="2" t="s">
        <v>250</v>
      </c>
      <c r="D951" s="17" t="s">
        <v>128</v>
      </c>
      <c r="E951" s="17" t="s">
        <v>131</v>
      </c>
      <c r="G951" s="17" t="s">
        <v>7</v>
      </c>
      <c r="I951" s="37">
        <f>IFERROR(VLOOKUP(B951,'TB '!$A:$G,7,),0)</f>
        <v>0</v>
      </c>
      <c r="J951" s="37">
        <f>IFERROR(VLOOKUP($B951,'TB '!$4:$1048576,MATCH('List of Ledgers '!J$4,'TB '!$4:$4,0),0),0)</f>
        <v>0</v>
      </c>
      <c r="K951" s="37">
        <f>IFERROR(VLOOKUP($B951,'TB '!$4:$1048576,MATCH('List of Ledgers '!K$4,'TB '!$4:$4,0),0),0)</f>
        <v>0</v>
      </c>
      <c r="L951" s="37">
        <f>IFERROR(VLOOKUP(B951,'TB '!$A:$J,10,),0)</f>
        <v>0</v>
      </c>
      <c r="M951" s="71"/>
      <c r="N951" s="63">
        <f>IFERROR(VLOOKUP($B951,'TB YTD'!$4:$1048576,MATCH('List of Ledgers '!N$4,'TB YTD'!$4:$4,0),0),0)</f>
        <v>0</v>
      </c>
      <c r="O951" s="63">
        <f>IFERROR(VLOOKUP($B951,'TB YTD'!$4:$1048576,MATCH('List of Ledgers '!O$4,'TB YTD'!$4:$4,0),0),0)</f>
        <v>5457.5</v>
      </c>
      <c r="P951" s="63">
        <f>IFERROR(VLOOKUP($B951,'TB YTD'!$4:$1048576,MATCH('List of Ledgers '!P$4,'TB YTD'!$4:$4,0),0),0)</f>
        <v>5457.5</v>
      </c>
      <c r="Q951" s="63">
        <f>IFERROR(VLOOKUP($B951,'TB YTD'!$4:$1048576,MATCH('List of Ledgers '!Q$4,'TB YTD'!$4:$4,0),0),0)</f>
        <v>0</v>
      </c>
      <c r="R951" s="63"/>
    </row>
    <row r="952" spans="1:18" hidden="1" x14ac:dyDescent="0.25">
      <c r="A952" s="165">
        <f t="shared" si="3"/>
        <v>874</v>
      </c>
      <c r="B952" s="2" t="s">
        <v>1312</v>
      </c>
      <c r="C952" s="2" t="s">
        <v>1032</v>
      </c>
      <c r="D952" s="17" t="s">
        <v>128</v>
      </c>
      <c r="E952" s="17" t="s">
        <v>131</v>
      </c>
      <c r="G952" s="12" t="s">
        <v>9</v>
      </c>
      <c r="I952" s="37">
        <f>IFERROR(VLOOKUP(B952,'TB '!$A:$G,7,),0)</f>
        <v>-50000</v>
      </c>
      <c r="J952" s="37">
        <f>IFERROR(VLOOKUP($B952,'TB '!$4:$1048576,MATCH('List of Ledgers '!J$4,'TB '!$4:$4,0),0),0)</f>
        <v>0</v>
      </c>
      <c r="K952" s="37">
        <f>IFERROR(VLOOKUP($B952,'TB '!$4:$1048576,MATCH('List of Ledgers '!K$4,'TB '!$4:$4,0),0),0)</f>
        <v>0</v>
      </c>
      <c r="L952" s="37">
        <f>IFERROR(VLOOKUP(B952,'TB '!$A:$J,10,),0)</f>
        <v>-50000</v>
      </c>
      <c r="M952" s="71"/>
      <c r="N952" s="63">
        <f>IFERROR(VLOOKUP($B952,'TB YTD'!$4:$1048576,MATCH('List of Ledgers '!N$4,'TB YTD'!$4:$4,0),0),0)</f>
        <v>0</v>
      </c>
      <c r="O952" s="63">
        <f>IFERROR(VLOOKUP($B952,'TB YTD'!$4:$1048576,MATCH('List of Ledgers '!O$4,'TB YTD'!$4:$4,0),0),0)</f>
        <v>4757040</v>
      </c>
      <c r="P952" s="63">
        <f>IFERROR(VLOOKUP($B952,'TB YTD'!$4:$1048576,MATCH('List of Ledgers '!P$4,'TB YTD'!$4:$4,0),0),0)</f>
        <v>4807040</v>
      </c>
      <c r="Q952" s="63">
        <f>IFERROR(VLOOKUP($B952,'TB YTD'!$4:$1048576,MATCH('List of Ledgers '!Q$4,'TB YTD'!$4:$4,0),0),0)</f>
        <v>-50000</v>
      </c>
      <c r="R952" s="63"/>
    </row>
    <row r="953" spans="1:18" hidden="1" x14ac:dyDescent="0.25">
      <c r="A953" s="165">
        <f t="shared" si="3"/>
        <v>875</v>
      </c>
      <c r="B953" s="2" t="s">
        <v>1313</v>
      </c>
      <c r="C953" s="2" t="s">
        <v>876</v>
      </c>
      <c r="D953" s="17" t="s">
        <v>151</v>
      </c>
      <c r="E953" s="17" t="s">
        <v>152</v>
      </c>
      <c r="F953" s="12" t="s">
        <v>59</v>
      </c>
      <c r="G953" s="12" t="s">
        <v>8</v>
      </c>
      <c r="I953" s="37">
        <f>IFERROR(VLOOKUP(B953,'TB '!$A:$G,7,),0)</f>
        <v>0</v>
      </c>
      <c r="J953" s="37">
        <f>IFERROR(VLOOKUP($B953,'TB '!$4:$1048576,MATCH('List of Ledgers '!J$4,'TB '!$4:$4,0),0),0)</f>
        <v>0</v>
      </c>
      <c r="K953" s="37">
        <f>IFERROR(VLOOKUP($B953,'TB '!$4:$1048576,MATCH('List of Ledgers '!K$4,'TB '!$4:$4,0),0),0)</f>
        <v>0</v>
      </c>
      <c r="L953" s="37">
        <f>IFERROR(VLOOKUP(B953,'TB '!$A:$J,10,),0)</f>
        <v>0</v>
      </c>
      <c r="M953" s="71"/>
      <c r="N953" s="63">
        <f>IFERROR(VLOOKUP($B953,'TB YTD'!$4:$1048576,MATCH('List of Ledgers '!N$4,'TB YTD'!$4:$4,0),0),0)</f>
        <v>0</v>
      </c>
      <c r="O953" s="63">
        <f>IFERROR(VLOOKUP($B953,'TB YTD'!$4:$1048576,MATCH('List of Ledgers '!O$4,'TB YTD'!$4:$4,0),0),0)</f>
        <v>3168</v>
      </c>
      <c r="P953" s="63">
        <f>IFERROR(VLOOKUP($B953,'TB YTD'!$4:$1048576,MATCH('List of Ledgers '!P$4,'TB YTD'!$4:$4,0),0),0)</f>
        <v>0</v>
      </c>
      <c r="Q953" s="63">
        <f>IFERROR(VLOOKUP($B953,'TB YTD'!$4:$1048576,MATCH('List of Ledgers '!Q$4,'TB YTD'!$4:$4,0),0),0)</f>
        <v>3168</v>
      </c>
      <c r="R953" s="63"/>
    </row>
    <row r="954" spans="1:18" hidden="1" x14ac:dyDescent="0.25">
      <c r="A954" s="165">
        <f t="shared" si="3"/>
        <v>876</v>
      </c>
      <c r="B954" s="2" t="s">
        <v>1314</v>
      </c>
      <c r="C954" s="2" t="s">
        <v>1058</v>
      </c>
      <c r="D954" s="17" t="s">
        <v>151</v>
      </c>
      <c r="E954" s="17" t="s">
        <v>152</v>
      </c>
      <c r="F954" s="12" t="s">
        <v>59</v>
      </c>
      <c r="G954" s="17" t="s">
        <v>8</v>
      </c>
      <c r="I954" s="37">
        <f>IFERROR(VLOOKUP(B954,'TB '!$A:$G,7,),0)</f>
        <v>0</v>
      </c>
      <c r="J954" s="37">
        <f>IFERROR(VLOOKUP($B954,'TB '!$4:$1048576,MATCH('List of Ledgers '!J$4,'TB '!$4:$4,0),0),0)</f>
        <v>0</v>
      </c>
      <c r="K954" s="37">
        <f>IFERROR(VLOOKUP($B954,'TB '!$4:$1048576,MATCH('List of Ledgers '!K$4,'TB '!$4:$4,0),0),0)</f>
        <v>0</v>
      </c>
      <c r="L954" s="37">
        <f>IFERROR(VLOOKUP(B954,'TB '!$A:$J,10,),0)</f>
        <v>0</v>
      </c>
      <c r="M954" s="71"/>
      <c r="N954" s="63">
        <f>IFERROR(VLOOKUP($B954,'TB YTD'!$4:$1048576,MATCH('List of Ledgers '!N$4,'TB YTD'!$4:$4,0),0),0)</f>
        <v>0</v>
      </c>
      <c r="O954" s="63">
        <f>IFERROR(VLOOKUP($B954,'TB YTD'!$4:$1048576,MATCH('List of Ledgers '!O$4,'TB YTD'!$4:$4,0),0),0)</f>
        <v>16000</v>
      </c>
      <c r="P954" s="63">
        <f>IFERROR(VLOOKUP($B954,'TB YTD'!$4:$1048576,MATCH('List of Ledgers '!P$4,'TB YTD'!$4:$4,0),0),0)</f>
        <v>0</v>
      </c>
      <c r="Q954" s="63">
        <f>IFERROR(VLOOKUP($B954,'TB YTD'!$4:$1048576,MATCH('List of Ledgers '!Q$4,'TB YTD'!$4:$4,0),0),0)</f>
        <v>16000</v>
      </c>
      <c r="R954" s="63"/>
    </row>
    <row r="955" spans="1:18" hidden="1" x14ac:dyDescent="0.25">
      <c r="A955" s="165">
        <f t="shared" si="3"/>
        <v>877</v>
      </c>
      <c r="B955" s="2" t="s">
        <v>1315</v>
      </c>
      <c r="C955" s="2" t="s">
        <v>495</v>
      </c>
      <c r="D955" s="12" t="s">
        <v>128</v>
      </c>
      <c r="E955" s="17" t="s">
        <v>134</v>
      </c>
      <c r="G955" s="17" t="s">
        <v>7</v>
      </c>
      <c r="I955" s="37">
        <f>IFERROR(VLOOKUP(B955,'TB '!$A:$G,7,),0)</f>
        <v>0</v>
      </c>
      <c r="J955" s="37">
        <f>IFERROR(VLOOKUP($B955,'TB '!$4:$1048576,MATCH('List of Ledgers '!J$4,'TB '!$4:$4,0),0),0)</f>
        <v>0</v>
      </c>
      <c r="K955" s="37">
        <f>IFERROR(VLOOKUP($B955,'TB '!$4:$1048576,MATCH('List of Ledgers '!K$4,'TB '!$4:$4,0),0),0)</f>
        <v>0</v>
      </c>
      <c r="L955" s="37">
        <f>IFERROR(VLOOKUP(B955,'TB '!$A:$J,10,),0)</f>
        <v>0</v>
      </c>
      <c r="M955" s="71"/>
      <c r="N955" s="63">
        <f>IFERROR(VLOOKUP($B955,'TB YTD'!$4:$1048576,MATCH('List of Ledgers '!N$4,'TB YTD'!$4:$4,0),0),0)</f>
        <v>0</v>
      </c>
      <c r="O955" s="63">
        <f>IFERROR(VLOOKUP($B955,'TB YTD'!$4:$1048576,MATCH('List of Ledgers '!O$4,'TB YTD'!$4:$4,0),0),0)</f>
        <v>0</v>
      </c>
      <c r="P955" s="63">
        <f>IFERROR(VLOOKUP($B955,'TB YTD'!$4:$1048576,MATCH('List of Ledgers '!P$4,'TB YTD'!$4:$4,0),0),0)</f>
        <v>0</v>
      </c>
      <c r="Q955" s="63">
        <f>IFERROR(VLOOKUP($B955,'TB YTD'!$4:$1048576,MATCH('List of Ledgers '!Q$4,'TB YTD'!$4:$4,0),0),0)</f>
        <v>0</v>
      </c>
      <c r="R955" s="63"/>
    </row>
    <row r="956" spans="1:18" hidden="1" x14ac:dyDescent="0.25">
      <c r="A956" s="165">
        <f t="shared" si="3"/>
        <v>878</v>
      </c>
      <c r="B956" s="2" t="s">
        <v>1316</v>
      </c>
      <c r="C956" s="2" t="s">
        <v>876</v>
      </c>
      <c r="D956" s="17" t="s">
        <v>151</v>
      </c>
      <c r="E956" s="17" t="s">
        <v>152</v>
      </c>
      <c r="F956" s="12" t="s">
        <v>69</v>
      </c>
      <c r="G956" s="12" t="s">
        <v>9</v>
      </c>
      <c r="I956" s="37">
        <f>IFERROR(VLOOKUP(B956,'TB '!$A:$G,7,),0)</f>
        <v>0</v>
      </c>
      <c r="J956" s="37">
        <f>IFERROR(VLOOKUP($B956,'TB '!$4:$1048576,MATCH('List of Ledgers '!J$4,'TB '!$4:$4,0),0),0)</f>
        <v>0</v>
      </c>
      <c r="K956" s="37">
        <f>IFERROR(VLOOKUP($B956,'TB '!$4:$1048576,MATCH('List of Ledgers '!K$4,'TB '!$4:$4,0),0),0)</f>
        <v>0</v>
      </c>
      <c r="L956" s="37">
        <f>IFERROR(VLOOKUP(B956,'TB '!$A:$J,10,),0)</f>
        <v>0</v>
      </c>
      <c r="M956" s="71"/>
      <c r="N956" s="63">
        <f>IFERROR(VLOOKUP($B956,'TB YTD'!$4:$1048576,MATCH('List of Ledgers '!N$4,'TB YTD'!$4:$4,0),0),0)</f>
        <v>0</v>
      </c>
      <c r="O956" s="63">
        <f>IFERROR(VLOOKUP($B956,'TB YTD'!$4:$1048576,MATCH('List of Ledgers '!O$4,'TB YTD'!$4:$4,0),0),0)</f>
        <v>0</v>
      </c>
      <c r="P956" s="63">
        <f>IFERROR(VLOOKUP($B956,'TB YTD'!$4:$1048576,MATCH('List of Ledgers '!P$4,'TB YTD'!$4:$4,0),0),0)</f>
        <v>0</v>
      </c>
      <c r="Q956" s="63">
        <f>IFERROR(VLOOKUP($B956,'TB YTD'!$4:$1048576,MATCH('List of Ledgers '!Q$4,'TB YTD'!$4:$4,0),0),0)</f>
        <v>0</v>
      </c>
      <c r="R956" s="63"/>
    </row>
    <row r="957" spans="1:18" hidden="1" x14ac:dyDescent="0.25">
      <c r="A957" s="165">
        <f t="shared" si="3"/>
        <v>879</v>
      </c>
      <c r="B957" s="2" t="s">
        <v>1317</v>
      </c>
      <c r="C957" s="2" t="s">
        <v>275</v>
      </c>
      <c r="D957" s="17" t="s">
        <v>151</v>
      </c>
      <c r="E957" s="17" t="s">
        <v>152</v>
      </c>
      <c r="F957" s="12" t="s">
        <v>62</v>
      </c>
      <c r="G957" s="12" t="s">
        <v>7</v>
      </c>
      <c r="I957" s="37">
        <f>IFERROR(VLOOKUP(B957,'TB '!$A:$G,7,),0)</f>
        <v>0</v>
      </c>
      <c r="J957" s="37">
        <f>IFERROR(VLOOKUP($B957,'TB '!$4:$1048576,MATCH('List of Ledgers '!J$4,'TB '!$4:$4,0),0),0)</f>
        <v>0</v>
      </c>
      <c r="K957" s="37">
        <f>IFERROR(VLOOKUP($B957,'TB '!$4:$1048576,MATCH('List of Ledgers '!K$4,'TB '!$4:$4,0),0),0)</f>
        <v>0</v>
      </c>
      <c r="L957" s="37">
        <f>IFERROR(VLOOKUP(B957,'TB '!$A:$J,10,),0)</f>
        <v>0</v>
      </c>
      <c r="M957" s="71"/>
      <c r="N957" s="63">
        <f>IFERROR(VLOOKUP($B957,'TB YTD'!$4:$1048576,MATCH('List of Ledgers '!N$4,'TB YTD'!$4:$4,0),0),0)</f>
        <v>0</v>
      </c>
      <c r="O957" s="63">
        <f>IFERROR(VLOOKUP($B957,'TB YTD'!$4:$1048576,MATCH('List of Ledgers '!O$4,'TB YTD'!$4:$4,0),0),0)</f>
        <v>124100</v>
      </c>
      <c r="P957" s="63">
        <f>IFERROR(VLOOKUP($B957,'TB YTD'!$4:$1048576,MATCH('List of Ledgers '!P$4,'TB YTD'!$4:$4,0),0),0)</f>
        <v>0</v>
      </c>
      <c r="Q957" s="63">
        <f>IFERROR(VLOOKUP($B957,'TB YTD'!$4:$1048576,MATCH('List of Ledgers '!Q$4,'TB YTD'!$4:$4,0),0),0)</f>
        <v>124100</v>
      </c>
      <c r="R957" s="63"/>
    </row>
    <row r="958" spans="1:18" hidden="1" x14ac:dyDescent="0.25">
      <c r="A958" s="165">
        <f t="shared" si="3"/>
        <v>880</v>
      </c>
      <c r="B958" s="2" t="s">
        <v>1318</v>
      </c>
      <c r="C958" s="2" t="s">
        <v>250</v>
      </c>
      <c r="D958" s="17" t="s">
        <v>128</v>
      </c>
      <c r="E958" s="17" t="s">
        <v>131</v>
      </c>
      <c r="G958" s="17" t="s">
        <v>7</v>
      </c>
      <c r="I958" s="37">
        <f>IFERROR(VLOOKUP(B958,'TB '!$A:$G,7,),0)</f>
        <v>-79006</v>
      </c>
      <c r="J958" s="37">
        <f>IFERROR(VLOOKUP($B958,'TB '!$4:$1048576,MATCH('List of Ledgers '!J$4,'TB '!$4:$4,0),0),0)</f>
        <v>161922</v>
      </c>
      <c r="K958" s="37">
        <f>IFERROR(VLOOKUP($B958,'TB '!$4:$1048576,MATCH('List of Ledgers '!K$4,'TB '!$4:$4,0),0),0)</f>
        <v>82916</v>
      </c>
      <c r="L958" s="37">
        <f>IFERROR(VLOOKUP(B958,'TB '!$A:$J,10,),0)</f>
        <v>0</v>
      </c>
      <c r="M958" s="71"/>
      <c r="N958" s="63">
        <f>IFERROR(VLOOKUP($B958,'TB YTD'!$4:$1048576,MATCH('List of Ledgers '!N$4,'TB YTD'!$4:$4,0),0),0)</f>
        <v>0</v>
      </c>
      <c r="O958" s="63">
        <f>IFERROR(VLOOKUP($B958,'TB YTD'!$4:$1048576,MATCH('List of Ledgers '!O$4,'TB YTD'!$4:$4,0),0),0)</f>
        <v>161922</v>
      </c>
      <c r="P958" s="63">
        <f>IFERROR(VLOOKUP($B958,'TB YTD'!$4:$1048576,MATCH('List of Ledgers '!P$4,'TB YTD'!$4:$4,0),0),0)</f>
        <v>161922</v>
      </c>
      <c r="Q958" s="63">
        <f>IFERROR(VLOOKUP($B958,'TB YTD'!$4:$1048576,MATCH('List of Ledgers '!Q$4,'TB YTD'!$4:$4,0),0),0)</f>
        <v>0</v>
      </c>
      <c r="R958" s="63"/>
    </row>
    <row r="959" spans="1:18" hidden="1" x14ac:dyDescent="0.25">
      <c r="A959" s="165">
        <f t="shared" si="3"/>
        <v>881</v>
      </c>
      <c r="B959" s="2" t="s">
        <v>1319</v>
      </c>
      <c r="C959" s="2" t="s">
        <v>356</v>
      </c>
      <c r="D959" s="17" t="s">
        <v>128</v>
      </c>
      <c r="E959" s="17" t="s">
        <v>131</v>
      </c>
      <c r="G959" s="12" t="s">
        <v>7</v>
      </c>
      <c r="I959" s="37">
        <f>IFERROR(VLOOKUP(B959,'TB '!$A:$G,7,),0)</f>
        <v>0</v>
      </c>
      <c r="J959" s="37">
        <f>IFERROR(VLOOKUP($B959,'TB '!$4:$1048576,MATCH('List of Ledgers '!J$4,'TB '!$4:$4,0),0),0)</f>
        <v>0</v>
      </c>
      <c r="K959" s="37">
        <f>IFERROR(VLOOKUP($B959,'TB '!$4:$1048576,MATCH('List of Ledgers '!K$4,'TB '!$4:$4,0),0),0)</f>
        <v>0</v>
      </c>
      <c r="L959" s="37">
        <f>IFERROR(VLOOKUP(B959,'TB '!$A:$J,10,),0)</f>
        <v>0</v>
      </c>
      <c r="M959" s="71"/>
      <c r="N959" s="63">
        <f>IFERROR(VLOOKUP($B959,'TB YTD'!$4:$1048576,MATCH('List of Ledgers '!N$4,'TB YTD'!$4:$4,0),0),0)</f>
        <v>0</v>
      </c>
      <c r="O959" s="63">
        <f>IFERROR(VLOOKUP($B959,'TB YTD'!$4:$1048576,MATCH('List of Ledgers '!O$4,'TB YTD'!$4:$4,0),0),0)</f>
        <v>0</v>
      </c>
      <c r="P959" s="63">
        <f>IFERROR(VLOOKUP($B959,'TB YTD'!$4:$1048576,MATCH('List of Ledgers '!P$4,'TB YTD'!$4:$4,0),0),0)</f>
        <v>0</v>
      </c>
      <c r="Q959" s="63">
        <f>IFERROR(VLOOKUP($B959,'TB YTD'!$4:$1048576,MATCH('List of Ledgers '!Q$4,'TB YTD'!$4:$4,0),0),0)</f>
        <v>0</v>
      </c>
      <c r="R959" s="63"/>
    </row>
    <row r="960" spans="1:18" hidden="1" x14ac:dyDescent="0.25">
      <c r="A960" s="165">
        <f t="shared" si="3"/>
        <v>882</v>
      </c>
      <c r="B960" s="2" t="s">
        <v>1320</v>
      </c>
      <c r="C960" s="2" t="s">
        <v>1032</v>
      </c>
      <c r="D960" s="17" t="s">
        <v>128</v>
      </c>
      <c r="E960" s="17" t="s">
        <v>131</v>
      </c>
      <c r="G960" s="12" t="s">
        <v>9</v>
      </c>
      <c r="I960" s="37">
        <f>IFERROR(VLOOKUP(B960,'TB '!$A:$G,7,),0)</f>
        <v>-161460</v>
      </c>
      <c r="J960" s="37">
        <f>IFERROR(VLOOKUP($B960,'TB '!$4:$1048576,MATCH('List of Ledgers '!J$4,'TB '!$4:$4,0),0),0)</f>
        <v>161460</v>
      </c>
      <c r="K960" s="37">
        <f>IFERROR(VLOOKUP($B960,'TB '!$4:$1048576,MATCH('List of Ledgers '!K$4,'TB '!$4:$4,0),0),0)</f>
        <v>2146725</v>
      </c>
      <c r="L960" s="37">
        <f>IFERROR(VLOOKUP(B960,'TB '!$A:$J,10,),0)</f>
        <v>-2146725</v>
      </c>
      <c r="M960" s="71"/>
      <c r="N960" s="63">
        <f>IFERROR(VLOOKUP($B960,'TB YTD'!$4:$1048576,MATCH('List of Ledgers '!N$4,'TB YTD'!$4:$4,0),0),0)</f>
        <v>0</v>
      </c>
      <c r="O960" s="63">
        <f>IFERROR(VLOOKUP($B960,'TB YTD'!$4:$1048576,MATCH('List of Ledgers '!O$4,'TB YTD'!$4:$4,0),0),0)</f>
        <v>2808000</v>
      </c>
      <c r="P960" s="63">
        <f>IFERROR(VLOOKUP($B960,'TB YTD'!$4:$1048576,MATCH('List of Ledgers '!P$4,'TB YTD'!$4:$4,0),0),0)</f>
        <v>4954725</v>
      </c>
      <c r="Q960" s="63">
        <f>IFERROR(VLOOKUP($B960,'TB YTD'!$4:$1048576,MATCH('List of Ledgers '!Q$4,'TB YTD'!$4:$4,0),0),0)</f>
        <v>-2146725</v>
      </c>
      <c r="R960" s="63"/>
    </row>
    <row r="961" spans="1:18" hidden="1" x14ac:dyDescent="0.25">
      <c r="A961" s="165">
        <f t="shared" si="3"/>
        <v>883</v>
      </c>
      <c r="B961" s="2" t="s">
        <v>1321</v>
      </c>
      <c r="C961" s="2" t="s">
        <v>1032</v>
      </c>
      <c r="D961" s="17" t="s">
        <v>128</v>
      </c>
      <c r="E961" s="17" t="s">
        <v>131</v>
      </c>
      <c r="G961" s="12" t="s">
        <v>9</v>
      </c>
      <c r="I961" s="37">
        <f>IFERROR(VLOOKUP(B961,'TB '!$A:$G,7,),0)</f>
        <v>-7600</v>
      </c>
      <c r="J961" s="37">
        <f>IFERROR(VLOOKUP($B961,'TB '!$4:$1048576,MATCH('List of Ledgers '!J$4,'TB '!$4:$4,0),0),0)</f>
        <v>7600</v>
      </c>
      <c r="K961" s="37">
        <f>IFERROR(VLOOKUP($B961,'TB '!$4:$1048576,MATCH('List of Ledgers '!K$4,'TB '!$4:$4,0),0),0)</f>
        <v>0</v>
      </c>
      <c r="L961" s="37">
        <f>IFERROR(VLOOKUP(B961,'TB '!$A:$J,10,),0)</f>
        <v>0</v>
      </c>
      <c r="M961" s="71"/>
      <c r="N961" s="63">
        <f>IFERROR(VLOOKUP($B961,'TB YTD'!$4:$1048576,MATCH('List of Ledgers '!N$4,'TB YTD'!$4:$4,0),0),0)</f>
        <v>0</v>
      </c>
      <c r="O961" s="63">
        <f>IFERROR(VLOOKUP($B961,'TB YTD'!$4:$1048576,MATCH('List of Ledgers '!O$4,'TB YTD'!$4:$4,0),0),0)</f>
        <v>7600</v>
      </c>
      <c r="P961" s="63">
        <f>IFERROR(VLOOKUP($B961,'TB YTD'!$4:$1048576,MATCH('List of Ledgers '!P$4,'TB YTD'!$4:$4,0),0),0)</f>
        <v>7600</v>
      </c>
      <c r="Q961" s="63">
        <f>IFERROR(VLOOKUP($B961,'TB YTD'!$4:$1048576,MATCH('List of Ledgers '!Q$4,'TB YTD'!$4:$4,0),0),0)</f>
        <v>0</v>
      </c>
      <c r="R961" s="63"/>
    </row>
    <row r="962" spans="1:18" hidden="1" x14ac:dyDescent="0.25">
      <c r="A962" s="165">
        <f t="shared" si="3"/>
        <v>884</v>
      </c>
      <c r="B962" s="2" t="s">
        <v>1322</v>
      </c>
      <c r="C962" s="2" t="s">
        <v>250</v>
      </c>
      <c r="D962" s="17" t="s">
        <v>128</v>
      </c>
      <c r="E962" s="17" t="s">
        <v>131</v>
      </c>
      <c r="G962" s="17" t="s">
        <v>7</v>
      </c>
      <c r="I962" s="37">
        <f>IFERROR(VLOOKUP(B962,'TB '!$A:$G,7,),0)</f>
        <v>-20900</v>
      </c>
      <c r="J962" s="37">
        <f>IFERROR(VLOOKUP($B962,'TB '!$4:$1048576,MATCH('List of Ledgers '!J$4,'TB '!$4:$4,0),0),0)</f>
        <v>20900</v>
      </c>
      <c r="K962" s="37">
        <f>IFERROR(VLOOKUP($B962,'TB '!$4:$1048576,MATCH('List of Ledgers '!K$4,'TB '!$4:$4,0),0),0)</f>
        <v>0</v>
      </c>
      <c r="L962" s="37">
        <f>IFERROR(VLOOKUP(B962,'TB '!$A:$J,10,),0)</f>
        <v>0</v>
      </c>
      <c r="M962" s="71"/>
      <c r="N962" s="63">
        <f>IFERROR(VLOOKUP($B962,'TB YTD'!$4:$1048576,MATCH('List of Ledgers '!N$4,'TB YTD'!$4:$4,0),0),0)</f>
        <v>0</v>
      </c>
      <c r="O962" s="63">
        <f>IFERROR(VLOOKUP($B962,'TB YTD'!$4:$1048576,MATCH('List of Ledgers '!O$4,'TB YTD'!$4:$4,0),0),0)</f>
        <v>20900</v>
      </c>
      <c r="P962" s="63">
        <f>IFERROR(VLOOKUP($B962,'TB YTD'!$4:$1048576,MATCH('List of Ledgers '!P$4,'TB YTD'!$4:$4,0),0),0)</f>
        <v>20900</v>
      </c>
      <c r="Q962" s="63">
        <f>IFERROR(VLOOKUP($B962,'TB YTD'!$4:$1048576,MATCH('List of Ledgers '!Q$4,'TB YTD'!$4:$4,0),0),0)</f>
        <v>0</v>
      </c>
      <c r="R962" s="63"/>
    </row>
    <row r="963" spans="1:18" hidden="1" x14ac:dyDescent="0.25">
      <c r="A963" s="165">
        <f t="shared" si="3"/>
        <v>885</v>
      </c>
      <c r="B963" s="2" t="s">
        <v>1285</v>
      </c>
      <c r="C963" s="2" t="s">
        <v>1032</v>
      </c>
      <c r="D963" s="17" t="s">
        <v>128</v>
      </c>
      <c r="E963" s="17" t="s">
        <v>131</v>
      </c>
      <c r="G963" s="12" t="s">
        <v>9</v>
      </c>
      <c r="I963" s="37">
        <f>IFERROR(VLOOKUP(B963,'TB '!$A:$G,7,),0)</f>
        <v>-318718</v>
      </c>
      <c r="J963" s="37">
        <f>IFERROR(VLOOKUP($B963,'TB '!$4:$1048576,MATCH('List of Ledgers '!J$4,'TB '!$4:$4,0),0),0)</f>
        <v>318718</v>
      </c>
      <c r="K963" s="37">
        <f>IFERROR(VLOOKUP($B963,'TB '!$4:$1048576,MATCH('List of Ledgers '!K$4,'TB '!$4:$4,0),0),0)</f>
        <v>0</v>
      </c>
      <c r="L963" s="37">
        <f>IFERROR(VLOOKUP(B963,'TB '!$A:$J,10,),0)</f>
        <v>0</v>
      </c>
      <c r="M963" s="71"/>
      <c r="N963" s="63">
        <f>IFERROR(VLOOKUP($B963,'TB YTD'!$4:$1048576,MATCH('List of Ledgers '!N$4,'TB YTD'!$4:$4,0),0),0)</f>
        <v>0</v>
      </c>
      <c r="O963" s="63">
        <f>IFERROR(VLOOKUP($B963,'TB YTD'!$4:$1048576,MATCH('List of Ledgers '!O$4,'TB YTD'!$4:$4,0),0),0)</f>
        <v>467221</v>
      </c>
      <c r="P963" s="63">
        <f>IFERROR(VLOOKUP($B963,'TB YTD'!$4:$1048576,MATCH('List of Ledgers '!P$4,'TB YTD'!$4:$4,0),0),0)</f>
        <v>467221</v>
      </c>
      <c r="Q963" s="63">
        <f>IFERROR(VLOOKUP($B963,'TB YTD'!$4:$1048576,MATCH('List of Ledgers '!Q$4,'TB YTD'!$4:$4,0),0),0)</f>
        <v>0</v>
      </c>
      <c r="R963" s="63"/>
    </row>
    <row r="964" spans="1:18" hidden="1" x14ac:dyDescent="0.25">
      <c r="A964" s="165">
        <f t="shared" si="3"/>
        <v>886</v>
      </c>
      <c r="B964" s="2" t="s">
        <v>1323</v>
      </c>
      <c r="C964" s="2" t="s">
        <v>1032</v>
      </c>
      <c r="D964" s="17" t="s">
        <v>128</v>
      </c>
      <c r="E964" s="17" t="s">
        <v>131</v>
      </c>
      <c r="G964" s="12" t="s">
        <v>9</v>
      </c>
      <c r="I964" s="37">
        <f>IFERROR(VLOOKUP(B964,'TB '!$A:$G,7,),0)</f>
        <v>0</v>
      </c>
      <c r="J964" s="37">
        <f>IFERROR(VLOOKUP($B964,'TB '!$4:$1048576,MATCH('List of Ledgers '!J$4,'TB '!$4:$4,0),0),0)</f>
        <v>0</v>
      </c>
      <c r="K964" s="37">
        <f>IFERROR(VLOOKUP($B964,'TB '!$4:$1048576,MATCH('List of Ledgers '!K$4,'TB '!$4:$4,0),0),0)</f>
        <v>0</v>
      </c>
      <c r="L964" s="37">
        <f>IFERROR(VLOOKUP(B964,'TB '!$A:$J,10,),0)</f>
        <v>0</v>
      </c>
      <c r="M964" s="71"/>
      <c r="N964" s="63">
        <f>IFERROR(VLOOKUP($B964,'TB YTD'!$4:$1048576,MATCH('List of Ledgers '!N$4,'TB YTD'!$4:$4,0),0),0)</f>
        <v>0</v>
      </c>
      <c r="O964" s="63">
        <f>IFERROR(VLOOKUP($B964,'TB YTD'!$4:$1048576,MATCH('List of Ledgers '!O$4,'TB YTD'!$4:$4,0),0),0)</f>
        <v>18880</v>
      </c>
      <c r="P964" s="63">
        <f>IFERROR(VLOOKUP($B964,'TB YTD'!$4:$1048576,MATCH('List of Ledgers '!P$4,'TB YTD'!$4:$4,0),0),0)</f>
        <v>18880</v>
      </c>
      <c r="Q964" s="63">
        <f>IFERROR(VLOOKUP($B964,'TB YTD'!$4:$1048576,MATCH('List of Ledgers '!Q$4,'TB YTD'!$4:$4,0),0),0)</f>
        <v>0</v>
      </c>
      <c r="R964" s="63"/>
    </row>
    <row r="965" spans="1:18" hidden="1" x14ac:dyDescent="0.25">
      <c r="A965" s="165">
        <f t="shared" si="3"/>
        <v>887</v>
      </c>
      <c r="B965" s="2" t="s">
        <v>1324</v>
      </c>
      <c r="C965" s="2" t="s">
        <v>130</v>
      </c>
      <c r="D965" s="17" t="s">
        <v>128</v>
      </c>
      <c r="E965" s="17" t="s">
        <v>131</v>
      </c>
      <c r="G965" s="12" t="s">
        <v>7</v>
      </c>
      <c r="I965" s="37">
        <f>IFERROR(VLOOKUP(B965,'TB '!$A:$G,7,),0)</f>
        <v>12000</v>
      </c>
      <c r="J965" s="37">
        <f>IFERROR(VLOOKUP($B965,'TB '!$4:$1048576,MATCH('List of Ledgers '!J$4,'TB '!$4:$4,0),0),0)</f>
        <v>0</v>
      </c>
      <c r="K965" s="37">
        <f>IFERROR(VLOOKUP($B965,'TB '!$4:$1048576,MATCH('List of Ledgers '!K$4,'TB '!$4:$4,0),0),0)</f>
        <v>0</v>
      </c>
      <c r="L965" s="37">
        <f>IFERROR(VLOOKUP(B965,'TB '!$A:$J,10,),0)</f>
        <v>12000</v>
      </c>
      <c r="M965" s="71"/>
      <c r="N965" s="63">
        <f>IFERROR(VLOOKUP($B965,'TB YTD'!$4:$1048576,MATCH('List of Ledgers '!N$4,'TB YTD'!$4:$4,0),0),0)</f>
        <v>0</v>
      </c>
      <c r="O965" s="63">
        <f>IFERROR(VLOOKUP($B965,'TB YTD'!$4:$1048576,MATCH('List of Ledgers '!O$4,'TB YTD'!$4:$4,0),0),0)</f>
        <v>12000</v>
      </c>
      <c r="P965" s="63">
        <f>IFERROR(VLOOKUP($B965,'TB YTD'!$4:$1048576,MATCH('List of Ledgers '!P$4,'TB YTD'!$4:$4,0),0),0)</f>
        <v>0</v>
      </c>
      <c r="Q965" s="63">
        <f>IFERROR(VLOOKUP($B965,'TB YTD'!$4:$1048576,MATCH('List of Ledgers '!Q$4,'TB YTD'!$4:$4,0),0),0)</f>
        <v>12000</v>
      </c>
      <c r="R965" s="63"/>
    </row>
    <row r="966" spans="1:18" hidden="1" x14ac:dyDescent="0.25">
      <c r="A966" s="165">
        <f t="shared" si="3"/>
        <v>888</v>
      </c>
      <c r="B966" s="2" t="s">
        <v>1325</v>
      </c>
      <c r="C966" s="2" t="s">
        <v>1032</v>
      </c>
      <c r="D966" s="17" t="s">
        <v>128</v>
      </c>
      <c r="E966" s="17" t="s">
        <v>131</v>
      </c>
      <c r="G966" s="12" t="s">
        <v>9</v>
      </c>
      <c r="I966" s="37">
        <f>IFERROR(VLOOKUP(B966,'TB '!$A:$G,7,),0)</f>
        <v>0</v>
      </c>
      <c r="J966" s="37">
        <f>IFERROR(VLOOKUP($B966,'TB '!$4:$1048576,MATCH('List of Ledgers '!J$4,'TB '!$4:$4,0),0),0)</f>
        <v>0</v>
      </c>
      <c r="K966" s="37">
        <f>IFERROR(VLOOKUP($B966,'TB '!$4:$1048576,MATCH('List of Ledgers '!K$4,'TB '!$4:$4,0),0),0)</f>
        <v>0</v>
      </c>
      <c r="L966" s="37">
        <f>IFERROR(VLOOKUP(B966,'TB '!$A:$J,10,),0)</f>
        <v>0</v>
      </c>
      <c r="M966" s="71"/>
      <c r="N966" s="63">
        <f>IFERROR(VLOOKUP($B966,'TB YTD'!$4:$1048576,MATCH('List of Ledgers '!N$4,'TB YTD'!$4:$4,0),0),0)</f>
        <v>0</v>
      </c>
      <c r="O966" s="63">
        <f>IFERROR(VLOOKUP($B966,'TB YTD'!$4:$1048576,MATCH('List of Ledgers '!O$4,'TB YTD'!$4:$4,0),0),0)</f>
        <v>819000</v>
      </c>
      <c r="P966" s="63">
        <f>IFERROR(VLOOKUP($B966,'TB YTD'!$4:$1048576,MATCH('List of Ledgers '!P$4,'TB YTD'!$4:$4,0),0),0)</f>
        <v>819000</v>
      </c>
      <c r="Q966" s="63">
        <f>IFERROR(VLOOKUP($B966,'TB YTD'!$4:$1048576,MATCH('List of Ledgers '!Q$4,'TB YTD'!$4:$4,0),0),0)</f>
        <v>0</v>
      </c>
      <c r="R966" s="63"/>
    </row>
    <row r="967" spans="1:18" hidden="1" x14ac:dyDescent="0.25">
      <c r="A967" s="165">
        <f t="shared" si="3"/>
        <v>889</v>
      </c>
      <c r="B967" s="2" t="s">
        <v>1326</v>
      </c>
      <c r="C967" s="2" t="s">
        <v>1079</v>
      </c>
      <c r="D967" s="17" t="s">
        <v>128</v>
      </c>
      <c r="E967" s="17" t="s">
        <v>134</v>
      </c>
      <c r="G967" s="12" t="s">
        <v>9</v>
      </c>
      <c r="I967" s="37">
        <f>IFERROR(VLOOKUP(B967,'TB '!$A:$G,7,),0)</f>
        <v>3132635</v>
      </c>
      <c r="J967" s="37">
        <f>IFERROR(VLOOKUP($B967,'TB '!$4:$1048576,MATCH('List of Ledgers '!J$4,'TB '!$4:$4,0),0),0)</f>
        <v>0</v>
      </c>
      <c r="K967" s="37">
        <f>IFERROR(VLOOKUP($B967,'TB '!$4:$1048576,MATCH('List of Ledgers '!K$4,'TB '!$4:$4,0),0),0)</f>
        <v>3073698.36</v>
      </c>
      <c r="L967" s="37">
        <f>IFERROR(VLOOKUP(B967,'TB '!$A:$J,10,),0)</f>
        <v>58936.639999999999</v>
      </c>
      <c r="M967" s="71"/>
      <c r="N967" s="63">
        <f>IFERROR(VLOOKUP($B967,'TB YTD'!$4:$1048576,MATCH('List of Ledgers '!N$4,'TB YTD'!$4:$4,0),0),0)</f>
        <v>0</v>
      </c>
      <c r="O967" s="63">
        <f>IFERROR(VLOOKUP($B967,'TB YTD'!$4:$1048576,MATCH('List of Ledgers '!O$4,'TB YTD'!$4:$4,0),0),0)</f>
        <v>3132635</v>
      </c>
      <c r="P967" s="63">
        <f>IFERROR(VLOOKUP($B967,'TB YTD'!$4:$1048576,MATCH('List of Ledgers '!P$4,'TB YTD'!$4:$4,0),0),0)</f>
        <v>3073698.36</v>
      </c>
      <c r="Q967" s="63">
        <f>IFERROR(VLOOKUP($B967,'TB YTD'!$4:$1048576,MATCH('List of Ledgers '!Q$4,'TB YTD'!$4:$4,0),0),0)</f>
        <v>58936.639999999999</v>
      </c>
      <c r="R967" s="63"/>
    </row>
    <row r="968" spans="1:18" hidden="1" x14ac:dyDescent="0.25">
      <c r="A968" s="165">
        <f t="shared" si="3"/>
        <v>890</v>
      </c>
      <c r="B968" s="2" t="s">
        <v>1327</v>
      </c>
      <c r="C968" s="2" t="s">
        <v>356</v>
      </c>
      <c r="D968" s="17" t="s">
        <v>128</v>
      </c>
      <c r="E968" s="17" t="s">
        <v>131</v>
      </c>
      <c r="G968" s="12" t="s">
        <v>7</v>
      </c>
      <c r="I968" s="37">
        <f>IFERROR(VLOOKUP(B968,'TB '!$A:$G,7,),0)</f>
        <v>0</v>
      </c>
      <c r="J968" s="37">
        <f>IFERROR(VLOOKUP($B968,'TB '!$4:$1048576,MATCH('List of Ledgers '!J$4,'TB '!$4:$4,0),0),0)</f>
        <v>3108269</v>
      </c>
      <c r="K968" s="37">
        <f>IFERROR(VLOOKUP($B968,'TB '!$4:$1048576,MATCH('List of Ledgers '!K$4,'TB '!$4:$4,0),0),0)</f>
        <v>3108269</v>
      </c>
      <c r="L968" s="37">
        <f>IFERROR(VLOOKUP(B968,'TB '!$A:$J,10,),0)</f>
        <v>0</v>
      </c>
      <c r="M968" s="71"/>
      <c r="N968" s="63">
        <f>IFERROR(VLOOKUP($B968,'TB YTD'!$4:$1048576,MATCH('List of Ledgers '!N$4,'TB YTD'!$4:$4,0),0),0)</f>
        <v>0</v>
      </c>
      <c r="O968" s="63">
        <f>IFERROR(VLOOKUP($B968,'TB YTD'!$4:$1048576,MATCH('List of Ledgers '!O$4,'TB YTD'!$4:$4,0),0),0)</f>
        <v>3238452</v>
      </c>
      <c r="P968" s="63">
        <f>IFERROR(VLOOKUP($B968,'TB YTD'!$4:$1048576,MATCH('List of Ledgers '!P$4,'TB YTD'!$4:$4,0),0),0)</f>
        <v>3238452</v>
      </c>
      <c r="Q968" s="63">
        <f>IFERROR(VLOOKUP($B968,'TB YTD'!$4:$1048576,MATCH('List of Ledgers '!Q$4,'TB YTD'!$4:$4,0),0),0)</f>
        <v>0</v>
      </c>
      <c r="R968" s="63"/>
    </row>
    <row r="969" spans="1:18" hidden="1" x14ac:dyDescent="0.25">
      <c r="A969" s="165">
        <f t="shared" si="3"/>
        <v>891</v>
      </c>
      <c r="B969" s="2" t="s">
        <v>1328</v>
      </c>
      <c r="C969" s="2" t="s">
        <v>781</v>
      </c>
      <c r="D969" s="12" t="s">
        <v>151</v>
      </c>
      <c r="E969" s="12" t="s">
        <v>351</v>
      </c>
      <c r="F969" s="12" t="s">
        <v>27</v>
      </c>
      <c r="G969" s="17" t="s">
        <v>9</v>
      </c>
      <c r="I969" s="37">
        <f>IFERROR(VLOOKUP(B969,'TB '!$A:$G,7,),0)</f>
        <v>0</v>
      </c>
      <c r="J969" s="37">
        <f>IFERROR(VLOOKUP($B969,'TB '!$4:$1048576,MATCH('List of Ledgers '!J$4,'TB '!$4:$4,0),0),0)</f>
        <v>17872.03</v>
      </c>
      <c r="K969" s="37">
        <f>IFERROR(VLOOKUP($B969,'TB '!$4:$1048576,MATCH('List of Ledgers '!K$4,'TB '!$4:$4,0),0),0)</f>
        <v>0</v>
      </c>
      <c r="L969" s="37">
        <f>IFERROR(VLOOKUP(B969,'TB '!$A:$J,10,),0)</f>
        <v>17872.03</v>
      </c>
      <c r="M969" s="71"/>
      <c r="N969" s="63">
        <f>IFERROR(VLOOKUP($B969,'TB YTD'!$4:$1048576,MATCH('List of Ledgers '!N$4,'TB YTD'!$4:$4,0),0),0)</f>
        <v>0</v>
      </c>
      <c r="O969" s="63">
        <f>IFERROR(VLOOKUP($B969,'TB YTD'!$4:$1048576,MATCH('List of Ledgers '!O$4,'TB YTD'!$4:$4,0),0),0)</f>
        <v>107971.45</v>
      </c>
      <c r="P969" s="63">
        <f>IFERROR(VLOOKUP($B969,'TB YTD'!$4:$1048576,MATCH('List of Ledgers '!P$4,'TB YTD'!$4:$4,0),0),0)</f>
        <v>0</v>
      </c>
      <c r="Q969" s="63">
        <f>IFERROR(VLOOKUP($B969,'TB YTD'!$4:$1048576,MATCH('List of Ledgers '!Q$4,'TB YTD'!$4:$4,0),0),0)</f>
        <v>107971.45</v>
      </c>
      <c r="R969" s="63"/>
    </row>
    <row r="970" spans="1:18" hidden="1" x14ac:dyDescent="0.25">
      <c r="A970" s="165">
        <f t="shared" si="3"/>
        <v>892</v>
      </c>
      <c r="B970" s="2" t="s">
        <v>1329</v>
      </c>
      <c r="C970" s="2" t="s">
        <v>154</v>
      </c>
      <c r="D970" s="17" t="s">
        <v>151</v>
      </c>
      <c r="E970" s="17" t="s">
        <v>152</v>
      </c>
      <c r="F970" s="12" t="s">
        <v>68</v>
      </c>
      <c r="G970" s="17" t="s">
        <v>4</v>
      </c>
      <c r="I970" s="37">
        <f>IFERROR(VLOOKUP(B970,'TB '!$A:$G,7,),0)</f>
        <v>0</v>
      </c>
      <c r="J970" s="37">
        <f>IFERROR(VLOOKUP($B970,'TB '!$4:$1048576,MATCH('List of Ledgers '!J$4,'TB '!$4:$4,0),0),0)</f>
        <v>0</v>
      </c>
      <c r="K970" s="37">
        <f>IFERROR(VLOOKUP($B970,'TB '!$4:$1048576,MATCH('List of Ledgers '!K$4,'TB '!$4:$4,0),0),0)</f>
        <v>0</v>
      </c>
      <c r="L970" s="37">
        <f>IFERROR(VLOOKUP(B970,'TB '!$A:$J,10,),0)</f>
        <v>0</v>
      </c>
      <c r="M970" s="71"/>
      <c r="N970" s="63">
        <f>IFERROR(VLOOKUP($B970,'TB YTD'!$4:$1048576,MATCH('List of Ledgers '!N$4,'TB YTD'!$4:$4,0),0),0)</f>
        <v>0</v>
      </c>
      <c r="O970" s="63">
        <f>IFERROR(VLOOKUP($B970,'TB YTD'!$4:$1048576,MATCH('List of Ledgers '!O$4,'TB YTD'!$4:$4,0),0),0)</f>
        <v>198285</v>
      </c>
      <c r="P970" s="63">
        <f>IFERROR(VLOOKUP($B970,'TB YTD'!$4:$1048576,MATCH('List of Ledgers '!P$4,'TB YTD'!$4:$4,0),0),0)</f>
        <v>0</v>
      </c>
      <c r="Q970" s="63">
        <f>IFERROR(VLOOKUP($B970,'TB YTD'!$4:$1048576,MATCH('List of Ledgers '!Q$4,'TB YTD'!$4:$4,0),0),0)</f>
        <v>198285</v>
      </c>
      <c r="R970" s="63"/>
    </row>
    <row r="971" spans="1:18" hidden="1" x14ac:dyDescent="0.25">
      <c r="A971" s="165">
        <f t="shared" si="3"/>
        <v>893</v>
      </c>
      <c r="B971" s="2" t="s">
        <v>1330</v>
      </c>
      <c r="C971" s="2" t="s">
        <v>876</v>
      </c>
      <c r="D971" s="17" t="s">
        <v>151</v>
      </c>
      <c r="E971" s="17" t="s">
        <v>152</v>
      </c>
      <c r="F971" s="12" t="s">
        <v>69</v>
      </c>
      <c r="G971" s="12" t="s">
        <v>9</v>
      </c>
      <c r="I971" s="37">
        <f>IFERROR(VLOOKUP(B971,'TB '!$A:$G,7,),0)</f>
        <v>0</v>
      </c>
      <c r="J971" s="37">
        <f>IFERROR(VLOOKUP($B971,'TB '!$4:$1048576,MATCH('List of Ledgers '!J$4,'TB '!$4:$4,0),0),0)</f>
        <v>0</v>
      </c>
      <c r="K971" s="37">
        <f>IFERROR(VLOOKUP($B971,'TB '!$4:$1048576,MATCH('List of Ledgers '!K$4,'TB '!$4:$4,0),0),0)</f>
        <v>0</v>
      </c>
      <c r="L971" s="37">
        <f>IFERROR(VLOOKUP(B971,'TB '!$A:$J,10,),0)</f>
        <v>0</v>
      </c>
      <c r="M971" s="71"/>
      <c r="N971" s="63">
        <f>IFERROR(VLOOKUP($B971,'TB YTD'!$4:$1048576,MATCH('List of Ledgers '!N$4,'TB YTD'!$4:$4,0),0),0)</f>
        <v>0</v>
      </c>
      <c r="O971" s="63">
        <f>IFERROR(VLOOKUP($B971,'TB YTD'!$4:$1048576,MATCH('List of Ledgers '!O$4,'TB YTD'!$4:$4,0),0),0)</f>
        <v>9535</v>
      </c>
      <c r="P971" s="63">
        <f>IFERROR(VLOOKUP($B971,'TB YTD'!$4:$1048576,MATCH('List of Ledgers '!P$4,'TB YTD'!$4:$4,0),0),0)</f>
        <v>0</v>
      </c>
      <c r="Q971" s="63">
        <f>IFERROR(VLOOKUP($B971,'TB YTD'!$4:$1048576,MATCH('List of Ledgers '!Q$4,'TB YTD'!$4:$4,0),0),0)</f>
        <v>9535</v>
      </c>
      <c r="R971" s="63"/>
    </row>
    <row r="972" spans="1:18" hidden="1" x14ac:dyDescent="0.25">
      <c r="A972" s="165">
        <f t="shared" si="3"/>
        <v>894</v>
      </c>
      <c r="B972" s="2" t="s">
        <v>1331</v>
      </c>
      <c r="C972" s="2" t="s">
        <v>377</v>
      </c>
      <c r="D972" s="17" t="s">
        <v>151</v>
      </c>
      <c r="E972" s="17" t="s">
        <v>152</v>
      </c>
      <c r="F972" s="12" t="s">
        <v>69</v>
      </c>
      <c r="G972" s="12" t="s">
        <v>7</v>
      </c>
      <c r="I972" s="37">
        <f>IFERROR(VLOOKUP(B972,'TB '!$A:$G,7,),0)</f>
        <v>0</v>
      </c>
      <c r="J972" s="37">
        <f>IFERROR(VLOOKUP($B972,'TB '!$4:$1048576,MATCH('List of Ledgers '!J$4,'TB '!$4:$4,0),0),0)</f>
        <v>0</v>
      </c>
      <c r="K972" s="37">
        <f>IFERROR(VLOOKUP($B972,'TB '!$4:$1048576,MATCH('List of Ledgers '!K$4,'TB '!$4:$4,0),0),0)</f>
        <v>0</v>
      </c>
      <c r="L972" s="37">
        <f>IFERROR(VLOOKUP(B972,'TB '!$A:$J,10,),0)</f>
        <v>0</v>
      </c>
      <c r="M972" s="71"/>
      <c r="N972" s="63">
        <f>IFERROR(VLOOKUP($B972,'TB YTD'!$4:$1048576,MATCH('List of Ledgers '!N$4,'TB YTD'!$4:$4,0),0),0)</f>
        <v>0</v>
      </c>
      <c r="O972" s="63">
        <f>IFERROR(VLOOKUP($B972,'TB YTD'!$4:$1048576,MATCH('List of Ledgers '!O$4,'TB YTD'!$4:$4,0),0),0)</f>
        <v>800</v>
      </c>
      <c r="P972" s="63">
        <f>IFERROR(VLOOKUP($B972,'TB YTD'!$4:$1048576,MATCH('List of Ledgers '!P$4,'TB YTD'!$4:$4,0),0),0)</f>
        <v>0</v>
      </c>
      <c r="Q972" s="63">
        <f>IFERROR(VLOOKUP($B972,'TB YTD'!$4:$1048576,MATCH('List of Ledgers '!Q$4,'TB YTD'!$4:$4,0),0),0)</f>
        <v>800</v>
      </c>
      <c r="R972" s="63"/>
    </row>
    <row r="973" spans="1:18" hidden="1" x14ac:dyDescent="0.25">
      <c r="A973" s="165">
        <f t="shared" si="3"/>
        <v>895</v>
      </c>
      <c r="B973" s="2" t="s">
        <v>1332</v>
      </c>
      <c r="C973" s="2" t="s">
        <v>1032</v>
      </c>
      <c r="D973" s="17" t="s">
        <v>128</v>
      </c>
      <c r="E973" s="17" t="s">
        <v>131</v>
      </c>
      <c r="G973" s="12" t="s">
        <v>9</v>
      </c>
      <c r="I973" s="37">
        <f>IFERROR(VLOOKUP(B973,'TB '!$A:$G,7,),0)</f>
        <v>-1596000</v>
      </c>
      <c r="J973" s="37">
        <f>IFERROR(VLOOKUP($B973,'TB '!$4:$1048576,MATCH('List of Ledgers '!J$4,'TB '!$4:$4,0),0),0)</f>
        <v>3066000</v>
      </c>
      <c r="K973" s="37">
        <f>IFERROR(VLOOKUP($B973,'TB '!$4:$1048576,MATCH('List of Ledgers '!K$4,'TB '!$4:$4,0),0),0)</f>
        <v>1470000</v>
      </c>
      <c r="L973" s="37">
        <f>IFERROR(VLOOKUP(B973,'TB '!$A:$J,10,),0)</f>
        <v>0</v>
      </c>
      <c r="M973" s="71"/>
      <c r="N973" s="63">
        <f>IFERROR(VLOOKUP($B973,'TB YTD'!$4:$1048576,MATCH('List of Ledgers '!N$4,'TB YTD'!$4:$4,0),0),0)</f>
        <v>0</v>
      </c>
      <c r="O973" s="63">
        <f>IFERROR(VLOOKUP($B973,'TB YTD'!$4:$1048576,MATCH('List of Ledgers '!O$4,'TB YTD'!$4:$4,0),0),0)</f>
        <v>3066000</v>
      </c>
      <c r="P973" s="63">
        <f>IFERROR(VLOOKUP($B973,'TB YTD'!$4:$1048576,MATCH('List of Ledgers '!P$4,'TB YTD'!$4:$4,0),0),0)</f>
        <v>3066000</v>
      </c>
      <c r="Q973" s="63">
        <f>IFERROR(VLOOKUP($B973,'TB YTD'!$4:$1048576,MATCH('List of Ledgers '!Q$4,'TB YTD'!$4:$4,0),0),0)</f>
        <v>0</v>
      </c>
      <c r="R973" s="63"/>
    </row>
    <row r="974" spans="1:18" hidden="1" x14ac:dyDescent="0.25">
      <c r="A974" s="165">
        <f t="shared" si="3"/>
        <v>896</v>
      </c>
      <c r="B974" s="2" t="s">
        <v>1333</v>
      </c>
      <c r="C974" s="2" t="s">
        <v>1032</v>
      </c>
      <c r="D974" s="17" t="s">
        <v>128</v>
      </c>
      <c r="E974" s="17" t="s">
        <v>131</v>
      </c>
      <c r="G974" s="12" t="s">
        <v>9</v>
      </c>
      <c r="I974" s="37">
        <f>IFERROR(VLOOKUP(B974,'TB '!$A:$G,7,),0)</f>
        <v>0</v>
      </c>
      <c r="J974" s="37">
        <f>IFERROR(VLOOKUP($B974,'TB '!$4:$1048576,MATCH('List of Ledgers '!J$4,'TB '!$4:$4,0),0),0)</f>
        <v>0</v>
      </c>
      <c r="K974" s="37">
        <f>IFERROR(VLOOKUP($B974,'TB '!$4:$1048576,MATCH('List of Ledgers '!K$4,'TB '!$4:$4,0),0),0)</f>
        <v>0</v>
      </c>
      <c r="L974" s="37">
        <f>IFERROR(VLOOKUP(B974,'TB '!$A:$J,10,),0)</f>
        <v>0</v>
      </c>
      <c r="M974" s="71"/>
      <c r="N974" s="63">
        <f>IFERROR(VLOOKUP($B974,'TB YTD'!$4:$1048576,MATCH('List of Ledgers '!N$4,'TB YTD'!$4:$4,0),0),0)</f>
        <v>0</v>
      </c>
      <c r="O974" s="63">
        <f>IFERROR(VLOOKUP($B974,'TB YTD'!$4:$1048576,MATCH('List of Ledgers '!O$4,'TB YTD'!$4:$4,0),0),0)</f>
        <v>1597050</v>
      </c>
      <c r="P974" s="63">
        <f>IFERROR(VLOOKUP($B974,'TB YTD'!$4:$1048576,MATCH('List of Ledgers '!P$4,'TB YTD'!$4:$4,0),0),0)</f>
        <v>1597050</v>
      </c>
      <c r="Q974" s="63">
        <f>IFERROR(VLOOKUP($B974,'TB YTD'!$4:$1048576,MATCH('List of Ledgers '!Q$4,'TB YTD'!$4:$4,0),0),0)</f>
        <v>0</v>
      </c>
      <c r="R974" s="63"/>
    </row>
    <row r="975" spans="1:18" hidden="1" x14ac:dyDescent="0.25">
      <c r="A975" s="165">
        <f t="shared" si="3"/>
        <v>897</v>
      </c>
      <c r="B975" s="2" t="s">
        <v>1344</v>
      </c>
      <c r="C975" s="2" t="s">
        <v>130</v>
      </c>
      <c r="D975" s="17" t="s">
        <v>128</v>
      </c>
      <c r="E975" s="17" t="s">
        <v>131</v>
      </c>
      <c r="G975" s="12" t="s">
        <v>7</v>
      </c>
      <c r="I975" s="37">
        <f>IFERROR(VLOOKUP(B975,'TB '!$A:$G,7,),0)</f>
        <v>0</v>
      </c>
      <c r="J975" s="37">
        <f>IFERROR(VLOOKUP($B975,'TB '!$4:$1048576,MATCH('List of Ledgers '!J$4,'TB '!$4:$4,0),0),0)</f>
        <v>35400</v>
      </c>
      <c r="K975" s="37">
        <f>IFERROR(VLOOKUP($B975,'TB '!$4:$1048576,MATCH('List of Ledgers '!K$4,'TB '!$4:$4,0),0),0)</f>
        <v>35400</v>
      </c>
      <c r="L975" s="37">
        <f>IFERROR(VLOOKUP(B975,'TB '!$A:$J,10,),0)</f>
        <v>0</v>
      </c>
      <c r="M975" s="71"/>
      <c r="N975" s="63">
        <f>IFERROR(VLOOKUP($B975,'TB YTD'!$4:$1048576,MATCH('List of Ledgers '!N$4,'TB YTD'!$4:$4,0),0),0)</f>
        <v>0</v>
      </c>
      <c r="O975" s="63">
        <f>IFERROR(VLOOKUP($B975,'TB YTD'!$4:$1048576,MATCH('List of Ledgers '!O$4,'TB YTD'!$4:$4,0),0),0)</f>
        <v>35400</v>
      </c>
      <c r="P975" s="63">
        <f>IFERROR(VLOOKUP($B975,'TB YTD'!$4:$1048576,MATCH('List of Ledgers '!P$4,'TB YTD'!$4:$4,0),0),0)</f>
        <v>35400</v>
      </c>
      <c r="Q975" s="63">
        <f>IFERROR(VLOOKUP($B975,'TB YTD'!$4:$1048576,MATCH('List of Ledgers '!Q$4,'TB YTD'!$4:$4,0),0),0)</f>
        <v>0</v>
      </c>
      <c r="R975" s="63"/>
    </row>
    <row r="976" spans="1:18" hidden="1" x14ac:dyDescent="0.25">
      <c r="A976" s="165">
        <f t="shared" si="3"/>
        <v>898</v>
      </c>
      <c r="B976" s="2" t="s">
        <v>1404</v>
      </c>
      <c r="C976" s="2" t="s">
        <v>1405</v>
      </c>
      <c r="D976" s="17" t="s">
        <v>151</v>
      </c>
      <c r="E976" s="17" t="s">
        <v>152</v>
      </c>
      <c r="F976" s="12" t="s">
        <v>58</v>
      </c>
      <c r="G976" s="12" t="s">
        <v>7</v>
      </c>
      <c r="I976" s="37">
        <f>IFERROR(VLOOKUP(B976,'TB '!$A:$G,7,),0)</f>
        <v>0</v>
      </c>
      <c r="J976" s="37">
        <f>IFERROR(VLOOKUP($B976,'TB '!$4:$1048576,MATCH('List of Ledgers '!J$4,'TB '!$4:$4,0),0),0)</f>
        <v>0</v>
      </c>
      <c r="K976" s="37">
        <f>IFERROR(VLOOKUP($B976,'TB '!$4:$1048576,MATCH('List of Ledgers '!K$4,'TB '!$4:$4,0),0),0)</f>
        <v>0</v>
      </c>
      <c r="L976" s="37">
        <f>IFERROR(VLOOKUP(B976,'TB '!$A:$J,10,),0)</f>
        <v>0</v>
      </c>
      <c r="M976" s="71"/>
      <c r="N976" s="63">
        <f>IFERROR(VLOOKUP($B976,'TB YTD'!$4:$1048576,MATCH('List of Ledgers '!N$4,'TB YTD'!$4:$4,0),0),0)</f>
        <v>0</v>
      </c>
      <c r="O976" s="63">
        <f>IFERROR(VLOOKUP($B976,'TB YTD'!$4:$1048576,MATCH('List of Ledgers '!O$4,'TB YTD'!$4:$4,0),0),0)</f>
        <v>0</v>
      </c>
      <c r="P976" s="63">
        <f>IFERROR(VLOOKUP($B976,'TB YTD'!$4:$1048576,MATCH('List of Ledgers '!P$4,'TB YTD'!$4:$4,0),0),0)</f>
        <v>0</v>
      </c>
      <c r="Q976" s="63">
        <f>IFERROR(VLOOKUP($B976,'TB YTD'!$4:$1048576,MATCH('List of Ledgers '!Q$4,'TB YTD'!$4:$4,0),0),0)</f>
        <v>0</v>
      </c>
      <c r="R976" s="63"/>
    </row>
    <row r="977" spans="1:18" hidden="1" x14ac:dyDescent="0.25">
      <c r="A977" s="165">
        <f t="shared" si="3"/>
        <v>899</v>
      </c>
      <c r="B977" s="2" t="s">
        <v>1406</v>
      </c>
      <c r="C977" s="2" t="s">
        <v>1032</v>
      </c>
      <c r="D977" s="17" t="s">
        <v>128</v>
      </c>
      <c r="E977" s="17" t="s">
        <v>131</v>
      </c>
      <c r="G977" s="12" t="s">
        <v>9</v>
      </c>
      <c r="I977" s="37">
        <f>IFERROR(VLOOKUP(B977,'TB '!$A:$G,7,),0)</f>
        <v>0</v>
      </c>
      <c r="J977" s="37">
        <f>IFERROR(VLOOKUP($B977,'TB '!$4:$1048576,MATCH('List of Ledgers '!J$4,'TB '!$4:$4,0),0),0)</f>
        <v>0</v>
      </c>
      <c r="K977" s="37">
        <f>IFERROR(VLOOKUP($B977,'TB '!$4:$1048576,MATCH('List of Ledgers '!K$4,'TB '!$4:$4,0),0),0)</f>
        <v>0</v>
      </c>
      <c r="L977" s="37">
        <f>IFERROR(VLOOKUP(B977,'TB '!$A:$J,10,),0)</f>
        <v>0</v>
      </c>
      <c r="M977" s="71"/>
      <c r="N977" s="63">
        <f>IFERROR(VLOOKUP($B977,'TB YTD'!$4:$1048576,MATCH('List of Ledgers '!N$4,'TB YTD'!$4:$4,0),0),0)</f>
        <v>0</v>
      </c>
      <c r="O977" s="63">
        <f>IFERROR(VLOOKUP($B977,'TB YTD'!$4:$1048576,MATCH('List of Ledgers '!O$4,'TB YTD'!$4:$4,0),0),0)</f>
        <v>0</v>
      </c>
      <c r="P977" s="63">
        <f>IFERROR(VLOOKUP($B977,'TB YTD'!$4:$1048576,MATCH('List of Ledgers '!P$4,'TB YTD'!$4:$4,0),0),0)</f>
        <v>0</v>
      </c>
      <c r="Q977" s="63">
        <f>IFERROR(VLOOKUP($B977,'TB YTD'!$4:$1048576,MATCH('List of Ledgers '!Q$4,'TB YTD'!$4:$4,0),0),0)</f>
        <v>0</v>
      </c>
      <c r="R977" s="63"/>
    </row>
    <row r="978" spans="1:18" hidden="1" x14ac:dyDescent="0.25">
      <c r="A978" s="165">
        <f t="shared" si="3"/>
        <v>900</v>
      </c>
      <c r="B978" s="2" t="s">
        <v>1345</v>
      </c>
      <c r="C978" s="2" t="s">
        <v>876</v>
      </c>
      <c r="D978" s="17" t="s">
        <v>151</v>
      </c>
      <c r="E978" s="17" t="s">
        <v>152</v>
      </c>
      <c r="F978" s="12" t="s">
        <v>42</v>
      </c>
      <c r="G978" s="12" t="s">
        <v>9</v>
      </c>
      <c r="I978" s="37">
        <f>IFERROR(VLOOKUP(B978,'TB '!$A:$G,7,),0)</f>
        <v>0</v>
      </c>
      <c r="J978" s="37">
        <f>IFERROR(VLOOKUP($B978,'TB '!$4:$1048576,MATCH('List of Ledgers '!J$4,'TB '!$4:$4,0),0),0)</f>
        <v>1817.7</v>
      </c>
      <c r="K978" s="37">
        <f>IFERROR(VLOOKUP($B978,'TB '!$4:$1048576,MATCH('List of Ledgers '!K$4,'TB '!$4:$4,0),0),0)</f>
        <v>0</v>
      </c>
      <c r="L978" s="37">
        <f>IFERROR(VLOOKUP(B978,'TB '!$A:$J,10,),0)</f>
        <v>1817.7</v>
      </c>
      <c r="M978" s="71"/>
      <c r="N978" s="63">
        <f>IFERROR(VLOOKUP($B978,'TB YTD'!$4:$1048576,MATCH('List of Ledgers '!N$4,'TB YTD'!$4:$4,0),0),0)</f>
        <v>0</v>
      </c>
      <c r="O978" s="63">
        <f>IFERROR(VLOOKUP($B978,'TB YTD'!$4:$1048576,MATCH('List of Ledgers '!O$4,'TB YTD'!$4:$4,0),0),0)</f>
        <v>4385.3999999999996</v>
      </c>
      <c r="P978" s="63">
        <f>IFERROR(VLOOKUP($B978,'TB YTD'!$4:$1048576,MATCH('List of Ledgers '!P$4,'TB YTD'!$4:$4,0),0),0)</f>
        <v>0</v>
      </c>
      <c r="Q978" s="63">
        <f>IFERROR(VLOOKUP($B978,'TB YTD'!$4:$1048576,MATCH('List of Ledgers '!Q$4,'TB YTD'!$4:$4,0),0),0)</f>
        <v>4385.3999999999996</v>
      </c>
      <c r="R978" s="63"/>
    </row>
    <row r="979" spans="1:18" hidden="1" x14ac:dyDescent="0.25">
      <c r="A979" s="165">
        <f t="shared" si="3"/>
        <v>901</v>
      </c>
      <c r="B979" s="2" t="s">
        <v>1346</v>
      </c>
      <c r="C979" s="2" t="s">
        <v>1032</v>
      </c>
      <c r="D979" s="17" t="s">
        <v>128</v>
      </c>
      <c r="E979" s="17" t="s">
        <v>131</v>
      </c>
      <c r="G979" s="12" t="s">
        <v>9</v>
      </c>
      <c r="I979" s="37">
        <f>IFERROR(VLOOKUP(B979,'TB '!$A:$G,7,),0)</f>
        <v>0</v>
      </c>
      <c r="J979" s="37">
        <f>IFERROR(VLOOKUP($B979,'TB '!$4:$1048576,MATCH('List of Ledgers '!J$4,'TB '!$4:$4,0),0),0)</f>
        <v>15930</v>
      </c>
      <c r="K979" s="37">
        <f>IFERROR(VLOOKUP($B979,'TB '!$4:$1048576,MATCH('List of Ledgers '!K$4,'TB '!$4:$4,0),0),0)</f>
        <v>15930</v>
      </c>
      <c r="L979" s="37">
        <f>IFERROR(VLOOKUP(B979,'TB '!$A:$J,10,),0)</f>
        <v>0</v>
      </c>
      <c r="M979" s="71"/>
      <c r="N979" s="63">
        <f>IFERROR(VLOOKUP($B979,'TB YTD'!$4:$1048576,MATCH('List of Ledgers '!N$4,'TB YTD'!$4:$4,0),0),0)</f>
        <v>0</v>
      </c>
      <c r="O979" s="63">
        <f>IFERROR(VLOOKUP($B979,'TB YTD'!$4:$1048576,MATCH('List of Ledgers '!O$4,'TB YTD'!$4:$4,0),0),0)</f>
        <v>15930</v>
      </c>
      <c r="P979" s="63">
        <f>IFERROR(VLOOKUP($B979,'TB YTD'!$4:$1048576,MATCH('List of Ledgers '!P$4,'TB YTD'!$4:$4,0),0),0)</f>
        <v>15930</v>
      </c>
      <c r="Q979" s="63">
        <f>IFERROR(VLOOKUP($B979,'TB YTD'!$4:$1048576,MATCH('List of Ledgers '!Q$4,'TB YTD'!$4:$4,0),0),0)</f>
        <v>0</v>
      </c>
      <c r="R979" s="63"/>
    </row>
    <row r="980" spans="1:18" hidden="1" x14ac:dyDescent="0.25">
      <c r="A980" s="165">
        <f t="shared" si="3"/>
        <v>902</v>
      </c>
      <c r="B980" s="2" t="s">
        <v>1347</v>
      </c>
      <c r="C980" s="2" t="s">
        <v>130</v>
      </c>
      <c r="D980" s="17" t="s">
        <v>128</v>
      </c>
      <c r="E980" s="17" t="s">
        <v>131</v>
      </c>
      <c r="G980" s="12" t="s">
        <v>7</v>
      </c>
      <c r="I980" s="37">
        <f>IFERROR(VLOOKUP(B980,'TB '!$A:$G,7,),0)</f>
        <v>0</v>
      </c>
      <c r="J980" s="37">
        <f>IFERROR(VLOOKUP($B980,'TB '!$4:$1048576,MATCH('List of Ledgers '!J$4,'TB '!$4:$4,0),0),0)</f>
        <v>5999</v>
      </c>
      <c r="K980" s="37">
        <f>IFERROR(VLOOKUP($B980,'TB '!$4:$1048576,MATCH('List of Ledgers '!K$4,'TB '!$4:$4,0),0),0)</f>
        <v>5999</v>
      </c>
      <c r="L980" s="37">
        <f>IFERROR(VLOOKUP(B980,'TB '!$A:$J,10,),0)</f>
        <v>0</v>
      </c>
      <c r="M980" s="71"/>
      <c r="N980" s="63">
        <f>IFERROR(VLOOKUP($B980,'TB YTD'!$4:$1048576,MATCH('List of Ledgers '!N$4,'TB YTD'!$4:$4,0),0),0)</f>
        <v>0</v>
      </c>
      <c r="O980" s="63">
        <f>IFERROR(VLOOKUP($B980,'TB YTD'!$4:$1048576,MATCH('List of Ledgers '!O$4,'TB YTD'!$4:$4,0),0),0)</f>
        <v>5999</v>
      </c>
      <c r="P980" s="63">
        <f>IFERROR(VLOOKUP($B980,'TB YTD'!$4:$1048576,MATCH('List of Ledgers '!P$4,'TB YTD'!$4:$4,0),0),0)</f>
        <v>5999</v>
      </c>
      <c r="Q980" s="63">
        <f>IFERROR(VLOOKUP($B980,'TB YTD'!$4:$1048576,MATCH('List of Ledgers '!Q$4,'TB YTD'!$4:$4,0),0),0)</f>
        <v>0</v>
      </c>
      <c r="R980" s="63"/>
    </row>
    <row r="981" spans="1:18" x14ac:dyDescent="0.25">
      <c r="A981" s="165">
        <f t="shared" si="3"/>
        <v>903</v>
      </c>
      <c r="B981" s="2" t="s">
        <v>1348</v>
      </c>
      <c r="C981" s="2" t="s">
        <v>876</v>
      </c>
      <c r="D981" s="17" t="s">
        <v>151</v>
      </c>
      <c r="E981" s="17" t="s">
        <v>152</v>
      </c>
      <c r="F981" s="12" t="s">
        <v>71</v>
      </c>
      <c r="G981" s="12" t="s">
        <v>9</v>
      </c>
      <c r="I981" s="37">
        <f>IFERROR(VLOOKUP(B981,'TB '!$A:$G,7,),0)</f>
        <v>0</v>
      </c>
      <c r="J981" s="37">
        <f>IFERROR(VLOOKUP($B981,'TB '!$4:$1048576,MATCH('List of Ledgers '!J$4,'TB '!$4:$4,0),0),0)</f>
        <v>52754.94</v>
      </c>
      <c r="K981" s="37">
        <f>IFERROR(VLOOKUP($B981,'TB '!$4:$1048576,MATCH('List of Ledgers '!K$4,'TB '!$4:$4,0),0),0)</f>
        <v>0</v>
      </c>
      <c r="L981" s="37">
        <f>IFERROR(VLOOKUP(B981,'TB '!$A:$J,10,),0)</f>
        <v>52754.94</v>
      </c>
      <c r="M981" s="71"/>
      <c r="N981" s="63">
        <f>IFERROR(VLOOKUP($B981,'TB YTD'!$4:$1048576,MATCH('List of Ledgers '!N$4,'TB YTD'!$4:$4,0),0),0)</f>
        <v>0</v>
      </c>
      <c r="O981" s="63">
        <f>IFERROR(VLOOKUP($B981,'TB YTD'!$4:$1048576,MATCH('List of Ledgers '!O$4,'TB YTD'!$4:$4,0),0),0)</f>
        <v>52754.94</v>
      </c>
      <c r="P981" s="63">
        <f>IFERROR(VLOOKUP($B981,'TB YTD'!$4:$1048576,MATCH('List of Ledgers '!P$4,'TB YTD'!$4:$4,0),0),0)</f>
        <v>0</v>
      </c>
      <c r="Q981" s="63">
        <f>IFERROR(VLOOKUP($B981,'TB YTD'!$4:$1048576,MATCH('List of Ledgers '!Q$4,'TB YTD'!$4:$4,0),0),0)</f>
        <v>52754.94</v>
      </c>
      <c r="R981" s="63"/>
    </row>
    <row r="982" spans="1:18" x14ac:dyDescent="0.25">
      <c r="A982" s="165">
        <f t="shared" si="3"/>
        <v>904</v>
      </c>
      <c r="B982" s="2" t="s">
        <v>1349</v>
      </c>
      <c r="C982" s="2" t="s">
        <v>876</v>
      </c>
      <c r="D982" s="17" t="s">
        <v>151</v>
      </c>
      <c r="E982" s="17" t="s">
        <v>152</v>
      </c>
      <c r="F982" s="12" t="s">
        <v>71</v>
      </c>
      <c r="G982" s="12" t="s">
        <v>9</v>
      </c>
      <c r="I982" s="37">
        <f>IFERROR(VLOOKUP(B982,'TB '!$A:$G,7,),0)</f>
        <v>0</v>
      </c>
      <c r="J982" s="37">
        <f>IFERROR(VLOOKUP($B982,'TB '!$4:$1048576,MATCH('List of Ledgers '!J$4,'TB '!$4:$4,0),0),0)</f>
        <v>12203.1</v>
      </c>
      <c r="K982" s="37">
        <f>IFERROR(VLOOKUP($B982,'TB '!$4:$1048576,MATCH('List of Ledgers '!K$4,'TB '!$4:$4,0),0),0)</f>
        <v>0</v>
      </c>
      <c r="L982" s="37">
        <f>IFERROR(VLOOKUP(B982,'TB '!$A:$J,10,),0)</f>
        <v>12203.1</v>
      </c>
      <c r="M982" s="71"/>
      <c r="N982" s="63">
        <f>IFERROR(VLOOKUP($B982,'TB YTD'!$4:$1048576,MATCH('List of Ledgers '!N$4,'TB YTD'!$4:$4,0),0),0)</f>
        <v>0</v>
      </c>
      <c r="O982" s="63">
        <f>IFERROR(VLOOKUP($B982,'TB YTD'!$4:$1048576,MATCH('List of Ledgers '!O$4,'TB YTD'!$4:$4,0),0),0)</f>
        <v>12203.1</v>
      </c>
      <c r="P982" s="63">
        <f>IFERROR(VLOOKUP($B982,'TB YTD'!$4:$1048576,MATCH('List of Ledgers '!P$4,'TB YTD'!$4:$4,0),0),0)</f>
        <v>0</v>
      </c>
      <c r="Q982" s="63">
        <f>IFERROR(VLOOKUP($B982,'TB YTD'!$4:$1048576,MATCH('List of Ledgers '!Q$4,'TB YTD'!$4:$4,0),0),0)</f>
        <v>12203.1</v>
      </c>
      <c r="R982" s="63"/>
    </row>
    <row r="983" spans="1:18" hidden="1" x14ac:dyDescent="0.25">
      <c r="A983" s="165">
        <f t="shared" si="3"/>
        <v>905</v>
      </c>
      <c r="B983" s="2" t="s">
        <v>1350</v>
      </c>
      <c r="C983" s="2" t="s">
        <v>1052</v>
      </c>
      <c r="D983" s="17" t="s">
        <v>128</v>
      </c>
      <c r="E983" s="17" t="s">
        <v>131</v>
      </c>
      <c r="G983" s="12" t="s">
        <v>4</v>
      </c>
      <c r="I983" s="37">
        <f>IFERROR(VLOOKUP(B983,'TB '!$A:$G,7,),0)</f>
        <v>0</v>
      </c>
      <c r="J983" s="37">
        <f>IFERROR(VLOOKUP($B983,'TB '!$4:$1048576,MATCH('List of Ledgers '!J$4,'TB '!$4:$4,0),0),0)</f>
        <v>220301</v>
      </c>
      <c r="K983" s="37">
        <f>IFERROR(VLOOKUP($B983,'TB '!$4:$1048576,MATCH('List of Ledgers '!K$4,'TB '!$4:$4,0),0),0)</f>
        <v>0</v>
      </c>
      <c r="L983" s="37">
        <f>IFERROR(VLOOKUP(B983,'TB '!$A:$J,10,),0)</f>
        <v>220301</v>
      </c>
      <c r="M983" s="71"/>
      <c r="N983" s="63">
        <f>IFERROR(VLOOKUP($B983,'TB YTD'!$4:$1048576,MATCH('List of Ledgers '!N$4,'TB YTD'!$4:$4,0),0),0)</f>
        <v>0</v>
      </c>
      <c r="O983" s="63">
        <f>IFERROR(VLOOKUP($B983,'TB YTD'!$4:$1048576,MATCH('List of Ledgers '!O$4,'TB YTD'!$4:$4,0),0),0)</f>
        <v>220301</v>
      </c>
      <c r="P983" s="63">
        <f>IFERROR(VLOOKUP($B983,'TB YTD'!$4:$1048576,MATCH('List of Ledgers '!P$4,'TB YTD'!$4:$4,0),0),0)</f>
        <v>0</v>
      </c>
      <c r="Q983" s="63">
        <f>IFERROR(VLOOKUP($B983,'TB YTD'!$4:$1048576,MATCH('List of Ledgers '!Q$4,'TB YTD'!$4:$4,0),0),0)</f>
        <v>220301</v>
      </c>
      <c r="R983" s="63"/>
    </row>
    <row r="984" spans="1:18" hidden="1" x14ac:dyDescent="0.25">
      <c r="A984" s="165">
        <f t="shared" si="3"/>
        <v>906</v>
      </c>
      <c r="B984" s="2" t="s">
        <v>1351</v>
      </c>
      <c r="C984" s="2" t="s">
        <v>310</v>
      </c>
      <c r="D984" s="17" t="s">
        <v>151</v>
      </c>
      <c r="E984" s="17" t="s">
        <v>272</v>
      </c>
      <c r="F984" s="12" t="s">
        <v>1411</v>
      </c>
      <c r="G984" s="12" t="s">
        <v>8</v>
      </c>
      <c r="I984" s="37">
        <f>IFERROR(VLOOKUP(B984,'TB '!$A:$G,7,),0)</f>
        <v>0</v>
      </c>
      <c r="J984" s="37">
        <f>IFERROR(VLOOKUP($B984,'TB '!$4:$1048576,MATCH('List of Ledgers '!J$4,'TB '!$4:$4,0),0),0)</f>
        <v>3500000</v>
      </c>
      <c r="K984" s="37">
        <f>IFERROR(VLOOKUP($B984,'TB '!$4:$1048576,MATCH('List of Ledgers '!K$4,'TB '!$4:$4,0),0),0)</f>
        <v>3500000</v>
      </c>
      <c r="L984" s="37">
        <f>IFERROR(VLOOKUP(B984,'TB '!$A:$J,10,),0)</f>
        <v>0</v>
      </c>
      <c r="M984" s="71"/>
      <c r="N984" s="63">
        <f>IFERROR(VLOOKUP($B984,'TB YTD'!$4:$1048576,MATCH('List of Ledgers '!N$4,'TB YTD'!$4:$4,0),0),0)</f>
        <v>0</v>
      </c>
      <c r="O984" s="63">
        <f>IFERROR(VLOOKUP($B984,'TB YTD'!$4:$1048576,MATCH('List of Ledgers '!O$4,'TB YTD'!$4:$4,0),0),0)</f>
        <v>3500000</v>
      </c>
      <c r="P984" s="63">
        <f>IFERROR(VLOOKUP($B984,'TB YTD'!$4:$1048576,MATCH('List of Ledgers '!P$4,'TB YTD'!$4:$4,0),0),0)</f>
        <v>3500000</v>
      </c>
      <c r="Q984" s="63">
        <f>IFERROR(VLOOKUP($B984,'TB YTD'!$4:$1048576,MATCH('List of Ledgers '!Q$4,'TB YTD'!$4:$4,0),0),0)</f>
        <v>0</v>
      </c>
      <c r="R984" s="63"/>
    </row>
    <row r="985" spans="1:18" hidden="1" x14ac:dyDescent="0.25">
      <c r="A985" s="165">
        <f t="shared" si="3"/>
        <v>907</v>
      </c>
      <c r="B985" s="2" t="s">
        <v>1352</v>
      </c>
      <c r="C985" s="2" t="s">
        <v>130</v>
      </c>
      <c r="D985" s="17" t="s">
        <v>128</v>
      </c>
      <c r="E985" s="17" t="s">
        <v>131</v>
      </c>
      <c r="G985" s="12" t="s">
        <v>7</v>
      </c>
      <c r="I985" s="37">
        <f>IFERROR(VLOOKUP(B985,'TB '!$A:$G,7,),0)</f>
        <v>0</v>
      </c>
      <c r="J985" s="37">
        <f>IFERROR(VLOOKUP($B985,'TB '!$4:$1048576,MATCH('List of Ledgers '!J$4,'TB '!$4:$4,0),0),0)</f>
        <v>3894</v>
      </c>
      <c r="K985" s="37">
        <f>IFERROR(VLOOKUP($B985,'TB '!$4:$1048576,MATCH('List of Ledgers '!K$4,'TB '!$4:$4,0),0),0)</f>
        <v>3894</v>
      </c>
      <c r="L985" s="37">
        <f>IFERROR(VLOOKUP(B985,'TB '!$A:$J,10,),0)</f>
        <v>0</v>
      </c>
      <c r="M985" s="71"/>
      <c r="N985" s="63">
        <f>IFERROR(VLOOKUP($B985,'TB YTD'!$4:$1048576,MATCH('List of Ledgers '!N$4,'TB YTD'!$4:$4,0),0),0)</f>
        <v>0</v>
      </c>
      <c r="O985" s="63">
        <f>IFERROR(VLOOKUP($B985,'TB YTD'!$4:$1048576,MATCH('List of Ledgers '!O$4,'TB YTD'!$4:$4,0),0),0)</f>
        <v>3894</v>
      </c>
      <c r="P985" s="63">
        <f>IFERROR(VLOOKUP($B985,'TB YTD'!$4:$1048576,MATCH('List of Ledgers '!P$4,'TB YTD'!$4:$4,0),0),0)</f>
        <v>3894</v>
      </c>
      <c r="Q985" s="63">
        <f>IFERROR(VLOOKUP($B985,'TB YTD'!$4:$1048576,MATCH('List of Ledgers '!Q$4,'TB YTD'!$4:$4,0),0),0)</f>
        <v>0</v>
      </c>
      <c r="R985" s="63"/>
    </row>
    <row r="986" spans="1:18" x14ac:dyDescent="0.25">
      <c r="A986" s="165">
        <f t="shared" si="3"/>
        <v>908</v>
      </c>
      <c r="B986" s="2" t="s">
        <v>1353</v>
      </c>
      <c r="C986" s="2" t="s">
        <v>876</v>
      </c>
      <c r="D986" s="17" t="s">
        <v>151</v>
      </c>
      <c r="E986" s="17" t="s">
        <v>152</v>
      </c>
      <c r="F986" s="12" t="s">
        <v>71</v>
      </c>
      <c r="G986" s="12" t="s">
        <v>9</v>
      </c>
      <c r="I986" s="37">
        <f>IFERROR(VLOOKUP(B986,'TB '!$A:$G,7,),0)</f>
        <v>0</v>
      </c>
      <c r="J986" s="37">
        <f>IFERROR(VLOOKUP($B986,'TB '!$4:$1048576,MATCH('List of Ledgers '!J$4,'TB '!$4:$4,0),0),0)</f>
        <v>14008.5</v>
      </c>
      <c r="K986" s="37">
        <f>IFERROR(VLOOKUP($B986,'TB '!$4:$1048576,MATCH('List of Ledgers '!K$4,'TB '!$4:$4,0),0),0)</f>
        <v>0</v>
      </c>
      <c r="L986" s="37">
        <f>IFERROR(VLOOKUP(B986,'TB '!$A:$J,10,),0)</f>
        <v>14008.5</v>
      </c>
      <c r="M986" s="71"/>
      <c r="N986" s="63">
        <f>IFERROR(VLOOKUP($B986,'TB YTD'!$4:$1048576,MATCH('List of Ledgers '!N$4,'TB YTD'!$4:$4,0),0),0)</f>
        <v>0</v>
      </c>
      <c r="O986" s="63">
        <f>IFERROR(VLOOKUP($B986,'TB YTD'!$4:$1048576,MATCH('List of Ledgers '!O$4,'TB YTD'!$4:$4,0),0),0)</f>
        <v>14008.5</v>
      </c>
      <c r="P986" s="63">
        <f>IFERROR(VLOOKUP($B986,'TB YTD'!$4:$1048576,MATCH('List of Ledgers '!P$4,'TB YTD'!$4:$4,0),0),0)</f>
        <v>0</v>
      </c>
      <c r="Q986" s="63">
        <f>IFERROR(VLOOKUP($B986,'TB YTD'!$4:$1048576,MATCH('List of Ledgers '!Q$4,'TB YTD'!$4:$4,0),0),0)</f>
        <v>14008.5</v>
      </c>
      <c r="R986" s="63"/>
    </row>
    <row r="987" spans="1:18" hidden="1" x14ac:dyDescent="0.25">
      <c r="A987" s="165">
        <f t="shared" si="3"/>
        <v>909</v>
      </c>
      <c r="B987" s="2" t="s">
        <v>1354</v>
      </c>
      <c r="C987" s="2" t="s">
        <v>1032</v>
      </c>
      <c r="D987" s="17" t="s">
        <v>128</v>
      </c>
      <c r="E987" s="17" t="s">
        <v>131</v>
      </c>
      <c r="G987" s="12" t="s">
        <v>9</v>
      </c>
      <c r="I987" s="37">
        <f>IFERROR(VLOOKUP(B987,'TB '!$A:$G,7,),0)</f>
        <v>-108055</v>
      </c>
      <c r="J987" s="37">
        <f>IFERROR(VLOOKUP($B987,'TB '!$4:$1048576,MATCH('List of Ledgers '!J$4,'TB '!$4:$4,0),0),0)</f>
        <v>108055</v>
      </c>
      <c r="K987" s="37">
        <f>IFERROR(VLOOKUP($B987,'TB '!$4:$1048576,MATCH('List of Ledgers '!K$4,'TB '!$4:$4,0),0),0)</f>
        <v>0</v>
      </c>
      <c r="L987" s="37">
        <f>IFERROR(VLOOKUP(B987,'TB '!$A:$J,10,),0)</f>
        <v>0</v>
      </c>
      <c r="M987" s="71"/>
      <c r="N987" s="63">
        <f>IFERROR(VLOOKUP($B987,'TB YTD'!$4:$1048576,MATCH('List of Ledgers '!N$4,'TB YTD'!$4:$4,0),0),0)</f>
        <v>0</v>
      </c>
      <c r="O987" s="63">
        <f>IFERROR(VLOOKUP($B987,'TB YTD'!$4:$1048576,MATCH('List of Ledgers '!O$4,'TB YTD'!$4:$4,0),0),0)</f>
        <v>108055</v>
      </c>
      <c r="P987" s="63">
        <f>IFERROR(VLOOKUP($B987,'TB YTD'!$4:$1048576,MATCH('List of Ledgers '!P$4,'TB YTD'!$4:$4,0),0),0)</f>
        <v>108055</v>
      </c>
      <c r="Q987" s="63">
        <f>IFERROR(VLOOKUP($B987,'TB YTD'!$4:$1048576,MATCH('List of Ledgers '!Q$4,'TB YTD'!$4:$4,0),0),0)</f>
        <v>0</v>
      </c>
      <c r="R987" s="63"/>
    </row>
    <row r="988" spans="1:18" hidden="1" x14ac:dyDescent="0.25">
      <c r="A988" s="165">
        <f t="shared" si="3"/>
        <v>910</v>
      </c>
      <c r="B988" s="2" t="s">
        <v>1355</v>
      </c>
      <c r="C988" s="2" t="s">
        <v>130</v>
      </c>
      <c r="D988" s="17" t="s">
        <v>128</v>
      </c>
      <c r="E988" s="17" t="s">
        <v>131</v>
      </c>
      <c r="G988" s="12" t="s">
        <v>7</v>
      </c>
      <c r="I988" s="37">
        <f>IFERROR(VLOOKUP(B988,'TB '!$A:$G,7,),0)</f>
        <v>0</v>
      </c>
      <c r="J988" s="37">
        <f>IFERROR(VLOOKUP($B988,'TB '!$4:$1048576,MATCH('List of Ledgers '!J$4,'TB '!$4:$4,0),0),0)</f>
        <v>10460</v>
      </c>
      <c r="K988" s="37">
        <f>IFERROR(VLOOKUP($B988,'TB '!$4:$1048576,MATCH('List of Ledgers '!K$4,'TB '!$4:$4,0),0),0)</f>
        <v>10460</v>
      </c>
      <c r="L988" s="37">
        <f>IFERROR(VLOOKUP(B988,'TB '!$A:$J,10,),0)</f>
        <v>0</v>
      </c>
      <c r="M988" s="71"/>
      <c r="N988" s="63">
        <f>IFERROR(VLOOKUP($B988,'TB YTD'!$4:$1048576,MATCH('List of Ledgers '!N$4,'TB YTD'!$4:$4,0),0),0)</f>
        <v>0</v>
      </c>
      <c r="O988" s="63">
        <f>IFERROR(VLOOKUP($B988,'TB YTD'!$4:$1048576,MATCH('List of Ledgers '!O$4,'TB YTD'!$4:$4,0),0),0)</f>
        <v>10460</v>
      </c>
      <c r="P988" s="63">
        <f>IFERROR(VLOOKUP($B988,'TB YTD'!$4:$1048576,MATCH('List of Ledgers '!P$4,'TB YTD'!$4:$4,0),0),0)</f>
        <v>10460</v>
      </c>
      <c r="Q988" s="63">
        <f>IFERROR(VLOOKUP($B988,'TB YTD'!$4:$1048576,MATCH('List of Ledgers '!Q$4,'TB YTD'!$4:$4,0),0),0)</f>
        <v>0</v>
      </c>
      <c r="R988" s="63"/>
    </row>
    <row r="989" spans="1:18" hidden="1" x14ac:dyDescent="0.25">
      <c r="A989" s="165">
        <f t="shared" si="3"/>
        <v>911</v>
      </c>
      <c r="B989" s="2" t="s">
        <v>1398</v>
      </c>
      <c r="C989" s="2" t="s">
        <v>189</v>
      </c>
      <c r="D989" s="17" t="s">
        <v>151</v>
      </c>
      <c r="E989" s="17" t="s">
        <v>152</v>
      </c>
      <c r="F989" s="12" t="s">
        <v>56</v>
      </c>
      <c r="G989" s="17" t="s">
        <v>7</v>
      </c>
      <c r="I989" s="37">
        <f>IFERROR(VLOOKUP(B989,'TB '!$A:$G,7,),0)</f>
        <v>0</v>
      </c>
      <c r="J989" s="37">
        <f>IFERROR(VLOOKUP($B989,'TB '!$4:$1048576,MATCH('List of Ledgers '!J$4,'TB '!$4:$4,0),0),0)</f>
        <v>0</v>
      </c>
      <c r="K989" s="37">
        <f>IFERROR(VLOOKUP($B989,'TB '!$4:$1048576,MATCH('List of Ledgers '!K$4,'TB '!$4:$4,0),0),0)</f>
        <v>0</v>
      </c>
      <c r="L989" s="37">
        <f>IFERROR(VLOOKUP(B989,'TB '!$A:$J,10,),0)</f>
        <v>0</v>
      </c>
      <c r="M989" s="71"/>
      <c r="N989" s="63">
        <f>IFERROR(VLOOKUP($B989,'TB YTD'!$4:$1048576,MATCH('List of Ledgers '!N$4,'TB YTD'!$4:$4,0),0),0)</f>
        <v>0</v>
      </c>
      <c r="O989" s="63">
        <f>IFERROR(VLOOKUP($B989,'TB YTD'!$4:$1048576,MATCH('List of Ledgers '!O$4,'TB YTD'!$4:$4,0),0),0)</f>
        <v>0</v>
      </c>
      <c r="P989" s="63">
        <f>IFERROR(VLOOKUP($B989,'TB YTD'!$4:$1048576,MATCH('List of Ledgers '!P$4,'TB YTD'!$4:$4,0),0),0)</f>
        <v>604</v>
      </c>
      <c r="Q989" s="63">
        <f>IFERROR(VLOOKUP($B989,'TB YTD'!$4:$1048576,MATCH('List of Ledgers '!Q$4,'TB YTD'!$4:$4,0),0),0)</f>
        <v>-604</v>
      </c>
      <c r="R989" s="63"/>
    </row>
    <row r="990" spans="1:18" x14ac:dyDescent="0.25">
      <c r="A990" s="165">
        <f t="shared" si="3"/>
        <v>912</v>
      </c>
      <c r="B990" s="2" t="s">
        <v>1356</v>
      </c>
      <c r="C990" s="2" t="s">
        <v>876</v>
      </c>
      <c r="D990" s="17" t="s">
        <v>151</v>
      </c>
      <c r="E990" s="17" t="s">
        <v>152</v>
      </c>
      <c r="F990" s="12" t="s">
        <v>71</v>
      </c>
      <c r="G990" s="12" t="s">
        <v>9</v>
      </c>
      <c r="I990" s="37">
        <f>IFERROR(VLOOKUP(B990,'TB '!$A:$G,7,),0)</f>
        <v>0</v>
      </c>
      <c r="J990" s="37">
        <f>IFERROR(VLOOKUP($B990,'TB '!$4:$1048576,MATCH('List of Ledgers '!J$4,'TB '!$4:$4,0),0),0)</f>
        <v>3540</v>
      </c>
      <c r="K990" s="37">
        <f>IFERROR(VLOOKUP($B990,'TB '!$4:$1048576,MATCH('List of Ledgers '!K$4,'TB '!$4:$4,0),0),0)</f>
        <v>0</v>
      </c>
      <c r="L990" s="37">
        <f>IFERROR(VLOOKUP(B990,'TB '!$A:$J,10,),0)</f>
        <v>3540</v>
      </c>
      <c r="M990" s="71"/>
      <c r="N990" s="63">
        <f>IFERROR(VLOOKUP($B990,'TB YTD'!$4:$1048576,MATCH('List of Ledgers '!N$4,'TB YTD'!$4:$4,0),0),0)</f>
        <v>0</v>
      </c>
      <c r="O990" s="63">
        <f>IFERROR(VLOOKUP($B990,'TB YTD'!$4:$1048576,MATCH('List of Ledgers '!O$4,'TB YTD'!$4:$4,0),0),0)</f>
        <v>3540</v>
      </c>
      <c r="P990" s="63">
        <f>IFERROR(VLOOKUP($B990,'TB YTD'!$4:$1048576,MATCH('List of Ledgers '!P$4,'TB YTD'!$4:$4,0),0),0)</f>
        <v>0</v>
      </c>
      <c r="Q990" s="63">
        <f>IFERROR(VLOOKUP($B990,'TB YTD'!$4:$1048576,MATCH('List of Ledgers '!Q$4,'TB YTD'!$4:$4,0),0),0)</f>
        <v>3540</v>
      </c>
      <c r="R990" s="63"/>
    </row>
    <row r="991" spans="1:18" x14ac:dyDescent="0.25">
      <c r="A991" s="165">
        <f t="shared" si="3"/>
        <v>913</v>
      </c>
      <c r="B991" s="2" t="s">
        <v>1357</v>
      </c>
      <c r="C991" s="2" t="s">
        <v>876</v>
      </c>
      <c r="D991" s="17" t="s">
        <v>151</v>
      </c>
      <c r="E991" s="17" t="s">
        <v>152</v>
      </c>
      <c r="F991" s="12" t="s">
        <v>71</v>
      </c>
      <c r="G991" s="12" t="s">
        <v>9</v>
      </c>
      <c r="I991" s="37">
        <f>IFERROR(VLOOKUP(B991,'TB '!$A:$G,7,),0)</f>
        <v>0</v>
      </c>
      <c r="J991" s="37">
        <f>IFERROR(VLOOKUP($B991,'TB '!$4:$1048576,MATCH('List of Ledgers '!J$4,'TB '!$4:$4,0),0),0)</f>
        <v>15961.22</v>
      </c>
      <c r="K991" s="37">
        <f>IFERROR(VLOOKUP($B991,'TB '!$4:$1048576,MATCH('List of Ledgers '!K$4,'TB '!$4:$4,0),0),0)</f>
        <v>0</v>
      </c>
      <c r="L991" s="37">
        <f>IFERROR(VLOOKUP(B991,'TB '!$A:$J,10,),0)</f>
        <v>15961.22</v>
      </c>
      <c r="M991" s="71"/>
      <c r="N991" s="63">
        <f>IFERROR(VLOOKUP($B991,'TB YTD'!$4:$1048576,MATCH('List of Ledgers '!N$4,'TB YTD'!$4:$4,0),0),0)</f>
        <v>0</v>
      </c>
      <c r="O991" s="63">
        <f>IFERROR(VLOOKUP($B991,'TB YTD'!$4:$1048576,MATCH('List of Ledgers '!O$4,'TB YTD'!$4:$4,0),0),0)</f>
        <v>15961.22</v>
      </c>
      <c r="P991" s="63">
        <f>IFERROR(VLOOKUP($B991,'TB YTD'!$4:$1048576,MATCH('List of Ledgers '!P$4,'TB YTD'!$4:$4,0),0),0)</f>
        <v>0</v>
      </c>
      <c r="Q991" s="63">
        <f>IFERROR(VLOOKUP($B991,'TB YTD'!$4:$1048576,MATCH('List of Ledgers '!Q$4,'TB YTD'!$4:$4,0),0),0)</f>
        <v>15961.22</v>
      </c>
      <c r="R991" s="63"/>
    </row>
    <row r="992" spans="1:18" hidden="1" x14ac:dyDescent="0.25">
      <c r="A992" s="165">
        <f t="shared" si="3"/>
        <v>914</v>
      </c>
      <c r="B992" s="2" t="s">
        <v>1358</v>
      </c>
      <c r="C992" s="2" t="s">
        <v>310</v>
      </c>
      <c r="D992" s="17" t="s">
        <v>151</v>
      </c>
      <c r="E992" s="17" t="s">
        <v>272</v>
      </c>
      <c r="F992" s="12" t="s">
        <v>1358</v>
      </c>
      <c r="G992" s="12" t="s">
        <v>8</v>
      </c>
      <c r="I992" s="37">
        <f>IFERROR(VLOOKUP(B992,'TB '!$A:$G,7,),0)</f>
        <v>0</v>
      </c>
      <c r="J992" s="37">
        <f>IFERROR(VLOOKUP($B992,'TB '!$4:$1048576,MATCH('List of Ledgers '!J$4,'TB '!$4:$4,0),0),0)</f>
        <v>0</v>
      </c>
      <c r="K992" s="37">
        <f>IFERROR(VLOOKUP($B992,'TB '!$4:$1048576,MATCH('List of Ledgers '!K$4,'TB '!$4:$4,0),0),0)</f>
        <v>200000</v>
      </c>
      <c r="L992" s="37">
        <f>IFERROR(VLOOKUP(B992,'TB '!$A:$J,10,),0)</f>
        <v>-200000</v>
      </c>
      <c r="M992" s="71"/>
      <c r="N992" s="63">
        <f>IFERROR(VLOOKUP($B992,'TB YTD'!$4:$1048576,MATCH('List of Ledgers '!N$4,'TB YTD'!$4:$4,0),0),0)</f>
        <v>0</v>
      </c>
      <c r="O992" s="63">
        <f>IFERROR(VLOOKUP($B992,'TB YTD'!$4:$1048576,MATCH('List of Ledgers '!O$4,'TB YTD'!$4:$4,0),0),0)</f>
        <v>0</v>
      </c>
      <c r="P992" s="63">
        <f>IFERROR(VLOOKUP($B992,'TB YTD'!$4:$1048576,MATCH('List of Ledgers '!P$4,'TB YTD'!$4:$4,0),0),0)</f>
        <v>200000</v>
      </c>
      <c r="Q992" s="63">
        <f>IFERROR(VLOOKUP($B992,'TB YTD'!$4:$1048576,MATCH('List of Ledgers '!Q$4,'TB YTD'!$4:$4,0),0),0)</f>
        <v>-200000</v>
      </c>
      <c r="R992" s="63"/>
    </row>
    <row r="993" spans="1:18" x14ac:dyDescent="0.25">
      <c r="A993" s="165">
        <f t="shared" si="3"/>
        <v>915</v>
      </c>
      <c r="B993" s="2" t="s">
        <v>1359</v>
      </c>
      <c r="C993" s="2" t="s">
        <v>876</v>
      </c>
      <c r="D993" s="17" t="s">
        <v>151</v>
      </c>
      <c r="E993" s="17" t="s">
        <v>152</v>
      </c>
      <c r="F993" s="12" t="s">
        <v>71</v>
      </c>
      <c r="G993" s="12" t="s">
        <v>9</v>
      </c>
      <c r="I993" s="37">
        <f>IFERROR(VLOOKUP(B993,'TB '!$A:$G,7,),0)</f>
        <v>0</v>
      </c>
      <c r="J993" s="37">
        <f>IFERROR(VLOOKUP($B993,'TB '!$4:$1048576,MATCH('List of Ledgers '!J$4,'TB '!$4:$4,0),0),0)</f>
        <v>4784.1899999999996</v>
      </c>
      <c r="K993" s="37">
        <f>IFERROR(VLOOKUP($B993,'TB '!$4:$1048576,MATCH('List of Ledgers '!K$4,'TB '!$4:$4,0),0),0)</f>
        <v>0</v>
      </c>
      <c r="L993" s="37">
        <f>IFERROR(VLOOKUP(B993,'TB '!$A:$J,10,),0)</f>
        <v>4784.1899999999996</v>
      </c>
      <c r="M993" s="71"/>
      <c r="N993" s="63">
        <f>IFERROR(VLOOKUP($B993,'TB YTD'!$4:$1048576,MATCH('List of Ledgers '!N$4,'TB YTD'!$4:$4,0),0),0)</f>
        <v>0</v>
      </c>
      <c r="O993" s="63">
        <f>IFERROR(VLOOKUP($B993,'TB YTD'!$4:$1048576,MATCH('List of Ledgers '!O$4,'TB YTD'!$4:$4,0),0),0)</f>
        <v>4784.1899999999996</v>
      </c>
      <c r="P993" s="63">
        <f>IFERROR(VLOOKUP($B993,'TB YTD'!$4:$1048576,MATCH('List of Ledgers '!P$4,'TB YTD'!$4:$4,0),0),0)</f>
        <v>0</v>
      </c>
      <c r="Q993" s="63">
        <f>IFERROR(VLOOKUP($B993,'TB YTD'!$4:$1048576,MATCH('List of Ledgers '!Q$4,'TB YTD'!$4:$4,0),0),0)</f>
        <v>4784.1899999999996</v>
      </c>
      <c r="R993" s="63"/>
    </row>
    <row r="994" spans="1:18" hidden="1" x14ac:dyDescent="0.25">
      <c r="A994" s="165">
        <f t="shared" si="3"/>
        <v>916</v>
      </c>
      <c r="B994" s="2" t="s">
        <v>1360</v>
      </c>
      <c r="C994" s="2" t="s">
        <v>374</v>
      </c>
      <c r="D994" s="17"/>
      <c r="E994" s="17"/>
      <c r="I994" s="37">
        <f>IFERROR(VLOOKUP(B994,'TB '!$A:$G,7,),0)</f>
        <v>100000</v>
      </c>
      <c r="J994" s="37">
        <f>IFERROR(VLOOKUP($B994,'TB '!$4:$1048576,MATCH('List of Ledgers '!J$4,'TB '!$4:$4,0),0),0)</f>
        <v>0</v>
      </c>
      <c r="K994" s="37">
        <f>IFERROR(VLOOKUP($B994,'TB '!$4:$1048576,MATCH('List of Ledgers '!K$4,'TB '!$4:$4,0),0),0)</f>
        <v>0</v>
      </c>
      <c r="L994" s="37">
        <f>IFERROR(VLOOKUP(B994,'TB '!$A:$J,10,),0)</f>
        <v>100000</v>
      </c>
      <c r="M994" s="71"/>
      <c r="N994" s="63">
        <f>IFERROR(VLOOKUP($B994,'TB YTD'!$4:$1048576,MATCH('List of Ledgers '!N$4,'TB YTD'!$4:$4,0),0),0)</f>
        <v>0</v>
      </c>
      <c r="O994" s="63">
        <f>IFERROR(VLOOKUP($B994,'TB YTD'!$4:$1048576,MATCH('List of Ledgers '!O$4,'TB YTD'!$4:$4,0),0),0)</f>
        <v>100000</v>
      </c>
      <c r="P994" s="63">
        <f>IFERROR(VLOOKUP($B994,'TB YTD'!$4:$1048576,MATCH('List of Ledgers '!P$4,'TB YTD'!$4:$4,0),0),0)</f>
        <v>0</v>
      </c>
      <c r="Q994" s="63">
        <f>IFERROR(VLOOKUP($B994,'TB YTD'!$4:$1048576,MATCH('List of Ledgers '!Q$4,'TB YTD'!$4:$4,0),0),0)</f>
        <v>100000</v>
      </c>
      <c r="R994" s="63"/>
    </row>
    <row r="995" spans="1:18" hidden="1" x14ac:dyDescent="0.25">
      <c r="A995" s="165">
        <f t="shared" si="3"/>
        <v>917</v>
      </c>
      <c r="B995" s="2" t="s">
        <v>1361</v>
      </c>
      <c r="C995" s="2" t="s">
        <v>1032</v>
      </c>
      <c r="D995" s="17" t="s">
        <v>128</v>
      </c>
      <c r="E995" s="17" t="s">
        <v>131</v>
      </c>
      <c r="G995" s="12" t="s">
        <v>9</v>
      </c>
      <c r="I995" s="37">
        <f>IFERROR(VLOOKUP(B995,'TB '!$A:$G,7,),0)</f>
        <v>-339916</v>
      </c>
      <c r="J995" s="37">
        <f>IFERROR(VLOOKUP($B995,'TB '!$4:$1048576,MATCH('List of Ledgers '!J$4,'TB '!$4:$4,0),0),0)</f>
        <v>339916</v>
      </c>
      <c r="K995" s="37">
        <f>IFERROR(VLOOKUP($B995,'TB '!$4:$1048576,MATCH('List of Ledgers '!K$4,'TB '!$4:$4,0),0),0)</f>
        <v>684600</v>
      </c>
      <c r="L995" s="37">
        <f>IFERROR(VLOOKUP(B995,'TB '!$A:$J,10,),0)</f>
        <v>-684600</v>
      </c>
      <c r="M995" s="71"/>
      <c r="N995" s="63">
        <f>IFERROR(VLOOKUP($B995,'TB YTD'!$4:$1048576,MATCH('List of Ledgers '!N$4,'TB YTD'!$4:$4,0),0),0)</f>
        <v>0</v>
      </c>
      <c r="O995" s="63">
        <f>IFERROR(VLOOKUP($B995,'TB YTD'!$4:$1048576,MATCH('List of Ledgers '!O$4,'TB YTD'!$4:$4,0),0),0)</f>
        <v>343350</v>
      </c>
      <c r="P995" s="63">
        <f>IFERROR(VLOOKUP($B995,'TB YTD'!$4:$1048576,MATCH('List of Ledgers '!P$4,'TB YTD'!$4:$4,0),0),0)</f>
        <v>1027950</v>
      </c>
      <c r="Q995" s="63">
        <f>IFERROR(VLOOKUP($B995,'TB YTD'!$4:$1048576,MATCH('List of Ledgers '!Q$4,'TB YTD'!$4:$4,0),0),0)</f>
        <v>-684600</v>
      </c>
      <c r="R995" s="63"/>
    </row>
    <row r="996" spans="1:18" hidden="1" x14ac:dyDescent="0.25">
      <c r="A996" s="165">
        <f t="shared" ref="A996:A1034" si="4">A995+1</f>
        <v>918</v>
      </c>
      <c r="B996" s="2" t="s">
        <v>1362</v>
      </c>
      <c r="C996" s="2" t="s">
        <v>437</v>
      </c>
      <c r="D996" s="17"/>
      <c r="E996" s="17"/>
      <c r="I996" s="37">
        <f>IFERROR(VLOOKUP(B996,'TB '!$A:$G,7,),0)</f>
        <v>0</v>
      </c>
      <c r="J996" s="37">
        <f>IFERROR(VLOOKUP($B996,'TB '!$4:$1048576,MATCH('List of Ledgers '!J$4,'TB '!$4:$4,0),0),0)</f>
        <v>5000000</v>
      </c>
      <c r="K996" s="37">
        <f>IFERROR(VLOOKUP($B996,'TB '!$4:$1048576,MATCH('List of Ledgers '!K$4,'TB '!$4:$4,0),0),0)</f>
        <v>0</v>
      </c>
      <c r="L996" s="37">
        <f>IFERROR(VLOOKUP(B996,'TB '!$A:$J,10,),0)</f>
        <v>5000000</v>
      </c>
      <c r="M996" s="71"/>
      <c r="N996" s="63">
        <f>IFERROR(VLOOKUP($B996,'TB YTD'!$4:$1048576,MATCH('List of Ledgers '!N$4,'TB YTD'!$4:$4,0),0),0)</f>
        <v>0</v>
      </c>
      <c r="O996" s="63">
        <f>IFERROR(VLOOKUP($B996,'TB YTD'!$4:$1048576,MATCH('List of Ledgers '!O$4,'TB YTD'!$4:$4,0),0),0)</f>
        <v>5000000</v>
      </c>
      <c r="P996" s="63">
        <f>IFERROR(VLOOKUP($B996,'TB YTD'!$4:$1048576,MATCH('List of Ledgers '!P$4,'TB YTD'!$4:$4,0),0),0)</f>
        <v>0</v>
      </c>
      <c r="Q996" s="63">
        <f>IFERROR(VLOOKUP($B996,'TB YTD'!$4:$1048576,MATCH('List of Ledgers '!Q$4,'TB YTD'!$4:$4,0),0),0)</f>
        <v>5000000</v>
      </c>
      <c r="R996" s="63"/>
    </row>
    <row r="997" spans="1:18" hidden="1" x14ac:dyDescent="0.25">
      <c r="A997" s="165">
        <f t="shared" si="4"/>
        <v>919</v>
      </c>
      <c r="B997" s="2" t="s">
        <v>1363</v>
      </c>
      <c r="C997" s="2" t="s">
        <v>437</v>
      </c>
      <c r="D997" s="17"/>
      <c r="E997" s="17"/>
      <c r="I997" s="37">
        <f>IFERROR(VLOOKUP(B997,'TB '!$A:$G,7,),0)</f>
        <v>0</v>
      </c>
      <c r="J997" s="37">
        <f>IFERROR(VLOOKUP($B997,'TB '!$4:$1048576,MATCH('List of Ledgers '!J$4,'TB '!$4:$4,0),0),0)</f>
        <v>5000000</v>
      </c>
      <c r="K997" s="37">
        <f>IFERROR(VLOOKUP($B997,'TB '!$4:$1048576,MATCH('List of Ledgers '!K$4,'TB '!$4:$4,0),0),0)</f>
        <v>0</v>
      </c>
      <c r="L997" s="37">
        <f>IFERROR(VLOOKUP(B997,'TB '!$A:$J,10,),0)</f>
        <v>5000000</v>
      </c>
      <c r="M997" s="71"/>
      <c r="N997" s="63">
        <f>IFERROR(VLOOKUP($B997,'TB YTD'!$4:$1048576,MATCH('List of Ledgers '!N$4,'TB YTD'!$4:$4,0),0),0)</f>
        <v>0</v>
      </c>
      <c r="O997" s="63">
        <f>IFERROR(VLOOKUP($B997,'TB YTD'!$4:$1048576,MATCH('List of Ledgers '!O$4,'TB YTD'!$4:$4,0),0),0)</f>
        <v>5000000</v>
      </c>
      <c r="P997" s="63">
        <f>IFERROR(VLOOKUP($B997,'TB YTD'!$4:$1048576,MATCH('List of Ledgers '!P$4,'TB YTD'!$4:$4,0),0),0)</f>
        <v>0</v>
      </c>
      <c r="Q997" s="63">
        <f>IFERROR(VLOOKUP($B997,'TB YTD'!$4:$1048576,MATCH('List of Ledgers '!Q$4,'TB YTD'!$4:$4,0),0),0)</f>
        <v>5000000</v>
      </c>
      <c r="R997" s="63"/>
    </row>
    <row r="998" spans="1:18" hidden="1" x14ac:dyDescent="0.25">
      <c r="A998" s="165">
        <f t="shared" si="4"/>
        <v>920</v>
      </c>
      <c r="B998" s="2" t="s">
        <v>1364</v>
      </c>
      <c r="C998" s="2" t="s">
        <v>437</v>
      </c>
      <c r="D998" s="17"/>
      <c r="E998" s="17"/>
      <c r="I998" s="37">
        <f>IFERROR(VLOOKUP(B998,'TB '!$A:$G,7,),0)</f>
        <v>0</v>
      </c>
      <c r="J998" s="37">
        <f>IFERROR(VLOOKUP($B998,'TB '!$4:$1048576,MATCH('List of Ledgers '!J$4,'TB '!$4:$4,0),0),0)</f>
        <v>5000000</v>
      </c>
      <c r="K998" s="37">
        <f>IFERROR(VLOOKUP($B998,'TB '!$4:$1048576,MATCH('List of Ledgers '!K$4,'TB '!$4:$4,0),0),0)</f>
        <v>0</v>
      </c>
      <c r="L998" s="37">
        <f>IFERROR(VLOOKUP(B998,'TB '!$A:$J,10,),0)</f>
        <v>5000000</v>
      </c>
      <c r="M998" s="71"/>
      <c r="N998" s="63">
        <f>IFERROR(VLOOKUP($B998,'TB YTD'!$4:$1048576,MATCH('List of Ledgers '!N$4,'TB YTD'!$4:$4,0),0),0)</f>
        <v>0</v>
      </c>
      <c r="O998" s="63">
        <f>IFERROR(VLOOKUP($B998,'TB YTD'!$4:$1048576,MATCH('List of Ledgers '!O$4,'TB YTD'!$4:$4,0),0),0)</f>
        <v>5000000</v>
      </c>
      <c r="P998" s="63">
        <f>IFERROR(VLOOKUP($B998,'TB YTD'!$4:$1048576,MATCH('List of Ledgers '!P$4,'TB YTD'!$4:$4,0),0),0)</f>
        <v>0</v>
      </c>
      <c r="Q998" s="63">
        <f>IFERROR(VLOOKUP($B998,'TB YTD'!$4:$1048576,MATCH('List of Ledgers '!Q$4,'TB YTD'!$4:$4,0),0),0)</f>
        <v>5000000</v>
      </c>
      <c r="R998" s="63"/>
    </row>
    <row r="999" spans="1:18" hidden="1" x14ac:dyDescent="0.25">
      <c r="A999" s="165">
        <f t="shared" si="4"/>
        <v>921</v>
      </c>
      <c r="B999" s="2" t="s">
        <v>1365</v>
      </c>
      <c r="C999" s="2" t="s">
        <v>437</v>
      </c>
      <c r="D999" s="17"/>
      <c r="E999" s="17"/>
      <c r="I999" s="37">
        <f>IFERROR(VLOOKUP(B999,'TB '!$A:$G,7,),0)</f>
        <v>0</v>
      </c>
      <c r="J999" s="37">
        <f>IFERROR(VLOOKUP($B999,'TB '!$4:$1048576,MATCH('List of Ledgers '!J$4,'TB '!$4:$4,0),0),0)</f>
        <v>5000000</v>
      </c>
      <c r="K999" s="37">
        <f>IFERROR(VLOOKUP($B999,'TB '!$4:$1048576,MATCH('List of Ledgers '!K$4,'TB '!$4:$4,0),0),0)</f>
        <v>446098.28</v>
      </c>
      <c r="L999" s="37">
        <f>IFERROR(VLOOKUP(B999,'TB '!$A:$J,10,),0)</f>
        <v>4553901.72</v>
      </c>
      <c r="M999" s="71"/>
      <c r="N999" s="63">
        <f>IFERROR(VLOOKUP($B999,'TB YTD'!$4:$1048576,MATCH('List of Ledgers '!N$4,'TB YTD'!$4:$4,0),0),0)</f>
        <v>0</v>
      </c>
      <c r="O999" s="63">
        <f>IFERROR(VLOOKUP($B999,'TB YTD'!$4:$1048576,MATCH('List of Ledgers '!O$4,'TB YTD'!$4:$4,0),0),0)</f>
        <v>5000000</v>
      </c>
      <c r="P999" s="63">
        <f>IFERROR(VLOOKUP($B999,'TB YTD'!$4:$1048576,MATCH('List of Ledgers '!P$4,'TB YTD'!$4:$4,0),0),0)</f>
        <v>446098.28</v>
      </c>
      <c r="Q999" s="63">
        <f>IFERROR(VLOOKUP($B999,'TB YTD'!$4:$1048576,MATCH('List of Ledgers '!Q$4,'TB YTD'!$4:$4,0),0),0)</f>
        <v>4553901.72</v>
      </c>
      <c r="R999" s="63"/>
    </row>
    <row r="1000" spans="1:18" hidden="1" x14ac:dyDescent="0.25">
      <c r="A1000" s="165">
        <f t="shared" si="4"/>
        <v>922</v>
      </c>
      <c r="B1000" s="2" t="s">
        <v>1366</v>
      </c>
      <c r="C1000" s="2" t="s">
        <v>437</v>
      </c>
      <c r="D1000" s="17"/>
      <c r="E1000" s="17"/>
      <c r="I1000" s="37">
        <f>IFERROR(VLOOKUP(B1000,'TB '!$A:$G,7,),0)</f>
        <v>0</v>
      </c>
      <c r="J1000" s="37">
        <f>IFERROR(VLOOKUP($B1000,'TB '!$4:$1048576,MATCH('List of Ledgers '!J$4,'TB '!$4:$4,0),0),0)</f>
        <v>5000000</v>
      </c>
      <c r="K1000" s="37">
        <f>IFERROR(VLOOKUP($B1000,'TB '!$4:$1048576,MATCH('List of Ledgers '!K$4,'TB '!$4:$4,0),0),0)</f>
        <v>5000000</v>
      </c>
      <c r="L1000" s="37">
        <f>IFERROR(VLOOKUP(B1000,'TB '!$A:$J,10,),0)</f>
        <v>0</v>
      </c>
      <c r="M1000" s="71"/>
      <c r="N1000" s="63">
        <f>IFERROR(VLOOKUP($B1000,'TB YTD'!$4:$1048576,MATCH('List of Ledgers '!N$4,'TB YTD'!$4:$4,0),0),0)</f>
        <v>0</v>
      </c>
      <c r="O1000" s="63">
        <f>IFERROR(VLOOKUP($B1000,'TB YTD'!$4:$1048576,MATCH('List of Ledgers '!O$4,'TB YTD'!$4:$4,0),0),0)</f>
        <v>5000000</v>
      </c>
      <c r="P1000" s="63">
        <f>IFERROR(VLOOKUP($B1000,'TB YTD'!$4:$1048576,MATCH('List of Ledgers '!P$4,'TB YTD'!$4:$4,0),0),0)</f>
        <v>5000000</v>
      </c>
      <c r="Q1000" s="63">
        <f>IFERROR(VLOOKUP($B1000,'TB YTD'!$4:$1048576,MATCH('List of Ledgers '!Q$4,'TB YTD'!$4:$4,0),0),0)</f>
        <v>0</v>
      </c>
      <c r="R1000" s="63"/>
    </row>
    <row r="1001" spans="1:18" hidden="1" x14ac:dyDescent="0.25">
      <c r="A1001" s="165">
        <f t="shared" si="4"/>
        <v>923</v>
      </c>
      <c r="B1001" s="2" t="s">
        <v>1367</v>
      </c>
      <c r="C1001" s="2" t="s">
        <v>495</v>
      </c>
      <c r="D1001" s="17" t="s">
        <v>128</v>
      </c>
      <c r="E1001" s="17" t="s">
        <v>134</v>
      </c>
      <c r="G1001" s="17" t="s">
        <v>7</v>
      </c>
      <c r="I1001" s="37">
        <f>IFERROR(VLOOKUP(B1001,'TB '!$A:$G,7,),0)</f>
        <v>0</v>
      </c>
      <c r="J1001" s="37">
        <f>IFERROR(VLOOKUP($B1001,'TB '!$4:$1048576,MATCH('List of Ledgers '!J$4,'TB '!$4:$4,0),0),0)</f>
        <v>4130000</v>
      </c>
      <c r="K1001" s="37">
        <f>IFERROR(VLOOKUP($B1001,'TB '!$4:$1048576,MATCH('List of Ledgers '!K$4,'TB '!$4:$4,0),0),0)</f>
        <v>4130000</v>
      </c>
      <c r="L1001" s="37">
        <f>IFERROR(VLOOKUP(B1001,'TB '!$A:$J,10,),0)</f>
        <v>0</v>
      </c>
      <c r="M1001" s="71"/>
      <c r="N1001" s="63">
        <f>IFERROR(VLOOKUP($B1001,'TB YTD'!$4:$1048576,MATCH('List of Ledgers '!N$4,'TB YTD'!$4:$4,0),0),0)</f>
        <v>0</v>
      </c>
      <c r="O1001" s="63">
        <f>IFERROR(VLOOKUP($B1001,'TB YTD'!$4:$1048576,MATCH('List of Ledgers '!O$4,'TB YTD'!$4:$4,0),0),0)</f>
        <v>4130000</v>
      </c>
      <c r="P1001" s="63">
        <f>IFERROR(VLOOKUP($B1001,'TB YTD'!$4:$1048576,MATCH('List of Ledgers '!P$4,'TB YTD'!$4:$4,0),0),0)</f>
        <v>4130000</v>
      </c>
      <c r="Q1001" s="63">
        <f>IFERROR(VLOOKUP($B1001,'TB YTD'!$4:$1048576,MATCH('List of Ledgers '!Q$4,'TB YTD'!$4:$4,0),0),0)</f>
        <v>0</v>
      </c>
      <c r="R1001" s="63"/>
    </row>
    <row r="1002" spans="1:18" hidden="1" x14ac:dyDescent="0.25">
      <c r="A1002" s="165">
        <f t="shared" si="4"/>
        <v>924</v>
      </c>
      <c r="B1002" s="2" t="s">
        <v>1368</v>
      </c>
      <c r="C1002" s="2" t="s">
        <v>130</v>
      </c>
      <c r="D1002" s="17" t="s">
        <v>128</v>
      </c>
      <c r="E1002" s="17" t="s">
        <v>131</v>
      </c>
      <c r="G1002" s="12" t="s">
        <v>7</v>
      </c>
      <c r="I1002" s="37">
        <f>IFERROR(VLOOKUP(B1002,'TB '!$A:$G,7,),0)</f>
        <v>461145</v>
      </c>
      <c r="J1002" s="37">
        <f>IFERROR(VLOOKUP($B1002,'TB '!$4:$1048576,MATCH('List of Ledgers '!J$4,'TB '!$4:$4,0),0),0)</f>
        <v>0</v>
      </c>
      <c r="K1002" s="37">
        <f>IFERROR(VLOOKUP($B1002,'TB '!$4:$1048576,MATCH('List of Ledgers '!K$4,'TB '!$4:$4,0),0),0)</f>
        <v>86308.03</v>
      </c>
      <c r="L1002" s="37">
        <f>IFERROR(VLOOKUP(B1002,'TB '!$A:$J,10,),0)</f>
        <v>374836.97</v>
      </c>
      <c r="M1002" s="71"/>
      <c r="N1002" s="63">
        <f>IFERROR(VLOOKUP($B1002,'TB YTD'!$4:$1048576,MATCH('List of Ledgers '!N$4,'TB YTD'!$4:$4,0),0),0)</f>
        <v>0</v>
      </c>
      <c r="O1002" s="63">
        <f>IFERROR(VLOOKUP($B1002,'TB YTD'!$4:$1048576,MATCH('List of Ledgers '!O$4,'TB YTD'!$4:$4,0),0),0)</f>
        <v>461145</v>
      </c>
      <c r="P1002" s="63">
        <f>IFERROR(VLOOKUP($B1002,'TB YTD'!$4:$1048576,MATCH('List of Ledgers '!P$4,'TB YTD'!$4:$4,0),0),0)</f>
        <v>86308.03</v>
      </c>
      <c r="Q1002" s="63">
        <f>IFERROR(VLOOKUP($B1002,'TB YTD'!$4:$1048576,MATCH('List of Ledgers '!Q$4,'TB YTD'!$4:$4,0),0),0)</f>
        <v>374836.97</v>
      </c>
      <c r="R1002" s="63"/>
    </row>
    <row r="1003" spans="1:18" hidden="1" x14ac:dyDescent="0.25">
      <c r="A1003" s="165">
        <f t="shared" si="4"/>
        <v>925</v>
      </c>
      <c r="B1003" s="2" t="s">
        <v>1399</v>
      </c>
      <c r="C1003" s="2" t="s">
        <v>1032</v>
      </c>
      <c r="D1003" s="17" t="s">
        <v>128</v>
      </c>
      <c r="E1003" s="17" t="s">
        <v>131</v>
      </c>
      <c r="G1003" s="12" t="s">
        <v>9</v>
      </c>
      <c r="I1003" s="37">
        <f>IFERROR(VLOOKUP(B1003,'TB '!$A:$G,7,),0)</f>
        <v>0</v>
      </c>
      <c r="J1003" s="37">
        <f>IFERROR(VLOOKUP($B1003,'TB '!$4:$1048576,MATCH('List of Ledgers '!J$4,'TB '!$4:$4,0),0),0)</f>
        <v>0</v>
      </c>
      <c r="K1003" s="37">
        <f>IFERROR(VLOOKUP($B1003,'TB '!$4:$1048576,MATCH('List of Ledgers '!K$4,'TB '!$4:$4,0),0),0)</f>
        <v>0</v>
      </c>
      <c r="L1003" s="37">
        <f>IFERROR(VLOOKUP(B1003,'TB '!$A:$J,10,),0)</f>
        <v>0</v>
      </c>
      <c r="M1003" s="71"/>
      <c r="N1003" s="63">
        <f>IFERROR(VLOOKUP($B1003,'TB YTD'!$4:$1048576,MATCH('List of Ledgers '!N$4,'TB YTD'!$4:$4,0),0),0)</f>
        <v>0</v>
      </c>
      <c r="O1003" s="63">
        <f>IFERROR(VLOOKUP($B1003,'TB YTD'!$4:$1048576,MATCH('List of Ledgers '!O$4,'TB YTD'!$4:$4,0),0),0)</f>
        <v>32450</v>
      </c>
      <c r="P1003" s="63">
        <f>IFERROR(VLOOKUP($B1003,'TB YTD'!$4:$1048576,MATCH('List of Ledgers '!P$4,'TB YTD'!$4:$4,0),0),0)</f>
        <v>32450</v>
      </c>
      <c r="Q1003" s="63">
        <f>IFERROR(VLOOKUP($B1003,'TB YTD'!$4:$1048576,MATCH('List of Ledgers '!Q$4,'TB YTD'!$4:$4,0),0),0)</f>
        <v>0</v>
      </c>
      <c r="R1003" s="63"/>
    </row>
    <row r="1004" spans="1:18" hidden="1" x14ac:dyDescent="0.25">
      <c r="A1004" s="165">
        <f t="shared" si="4"/>
        <v>926</v>
      </c>
      <c r="B1004" s="2" t="s">
        <v>1369</v>
      </c>
      <c r="C1004" s="2" t="s">
        <v>495</v>
      </c>
      <c r="D1004" s="17" t="s">
        <v>128</v>
      </c>
      <c r="E1004" s="17" t="s">
        <v>134</v>
      </c>
      <c r="G1004" s="17" t="s">
        <v>7</v>
      </c>
      <c r="I1004" s="37">
        <f>IFERROR(VLOOKUP(B1004,'TB '!$A:$G,7,),0)</f>
        <v>0</v>
      </c>
      <c r="J1004" s="37">
        <f>IFERROR(VLOOKUP($B1004,'TB '!$4:$1048576,MATCH('List of Ledgers '!J$4,'TB '!$4:$4,0),0),0)</f>
        <v>2360000</v>
      </c>
      <c r="K1004" s="37">
        <f>IFERROR(VLOOKUP($B1004,'TB '!$4:$1048576,MATCH('List of Ledgers '!K$4,'TB '!$4:$4,0),0),0)</f>
        <v>2360000</v>
      </c>
      <c r="L1004" s="37">
        <f>IFERROR(VLOOKUP(B1004,'TB '!$A:$J,10,),0)</f>
        <v>0</v>
      </c>
      <c r="M1004" s="71"/>
      <c r="N1004" s="63">
        <f>IFERROR(VLOOKUP($B1004,'TB YTD'!$4:$1048576,MATCH('List of Ledgers '!N$4,'TB YTD'!$4:$4,0),0),0)</f>
        <v>0</v>
      </c>
      <c r="O1004" s="63">
        <f>IFERROR(VLOOKUP($B1004,'TB YTD'!$4:$1048576,MATCH('List of Ledgers '!O$4,'TB YTD'!$4:$4,0),0),0)</f>
        <v>2360000</v>
      </c>
      <c r="P1004" s="63">
        <f>IFERROR(VLOOKUP($B1004,'TB YTD'!$4:$1048576,MATCH('List of Ledgers '!P$4,'TB YTD'!$4:$4,0),0),0)</f>
        <v>2360000</v>
      </c>
      <c r="Q1004" s="63">
        <f>IFERROR(VLOOKUP($B1004,'TB YTD'!$4:$1048576,MATCH('List of Ledgers '!Q$4,'TB YTD'!$4:$4,0),0),0)</f>
        <v>0</v>
      </c>
      <c r="R1004" s="63"/>
    </row>
    <row r="1005" spans="1:18" hidden="1" x14ac:dyDescent="0.25">
      <c r="A1005" s="165">
        <f t="shared" si="4"/>
        <v>927</v>
      </c>
      <c r="B1005" s="2" t="s">
        <v>1370</v>
      </c>
      <c r="C1005" s="2" t="s">
        <v>189</v>
      </c>
      <c r="D1005" s="17" t="s">
        <v>151</v>
      </c>
      <c r="E1005" s="17" t="s">
        <v>152</v>
      </c>
      <c r="F1005" s="12" t="s">
        <v>53</v>
      </c>
      <c r="G1005" s="17" t="s">
        <v>7</v>
      </c>
      <c r="I1005" s="37">
        <f>IFERROR(VLOOKUP(B1005,'TB '!$A:$G,7,),0)</f>
        <v>0</v>
      </c>
      <c r="J1005" s="37">
        <f>IFERROR(VLOOKUP($B1005,'TB '!$4:$1048576,MATCH('List of Ledgers '!J$4,'TB '!$4:$4,0),0),0)</f>
        <v>2632602</v>
      </c>
      <c r="K1005" s="37">
        <f>IFERROR(VLOOKUP($B1005,'TB '!$4:$1048576,MATCH('List of Ledgers '!K$4,'TB '!$4:$4,0),0),0)</f>
        <v>0</v>
      </c>
      <c r="L1005" s="37">
        <f>IFERROR(VLOOKUP(B1005,'TB '!$A:$J,10,),0)</f>
        <v>2632602</v>
      </c>
      <c r="M1005" s="71"/>
      <c r="N1005" s="63">
        <f>IFERROR(VLOOKUP($B1005,'TB YTD'!$4:$1048576,MATCH('List of Ledgers '!N$4,'TB YTD'!$4:$4,0),0),0)</f>
        <v>0</v>
      </c>
      <c r="O1005" s="63">
        <f>IFERROR(VLOOKUP($B1005,'TB YTD'!$4:$1048576,MATCH('List of Ledgers '!O$4,'TB YTD'!$4:$4,0),0),0)</f>
        <v>2632602</v>
      </c>
      <c r="P1005" s="63">
        <f>IFERROR(VLOOKUP($B1005,'TB YTD'!$4:$1048576,MATCH('List of Ledgers '!P$4,'TB YTD'!$4:$4,0),0),0)</f>
        <v>0</v>
      </c>
      <c r="Q1005" s="63">
        <f>IFERROR(VLOOKUP($B1005,'TB YTD'!$4:$1048576,MATCH('List of Ledgers '!Q$4,'TB YTD'!$4:$4,0),0),0)</f>
        <v>2632602</v>
      </c>
      <c r="R1005" s="63"/>
    </row>
    <row r="1006" spans="1:18" x14ac:dyDescent="0.25">
      <c r="A1006" s="165">
        <f t="shared" si="4"/>
        <v>928</v>
      </c>
      <c r="B1006" s="2" t="s">
        <v>1371</v>
      </c>
      <c r="C1006" s="2" t="s">
        <v>876</v>
      </c>
      <c r="D1006" s="17" t="s">
        <v>151</v>
      </c>
      <c r="E1006" s="17" t="s">
        <v>152</v>
      </c>
      <c r="F1006" s="12" t="s">
        <v>71</v>
      </c>
      <c r="G1006" s="12" t="s">
        <v>9</v>
      </c>
      <c r="I1006" s="37">
        <f>IFERROR(VLOOKUP(B1006,'TB '!$A:$G,7,),0)</f>
        <v>0</v>
      </c>
      <c r="J1006" s="37">
        <f>IFERROR(VLOOKUP($B1006,'TB '!$4:$1048576,MATCH('List of Ledgers '!J$4,'TB '!$4:$4,0),0),0)</f>
        <v>4609.25</v>
      </c>
      <c r="K1006" s="37">
        <f>IFERROR(VLOOKUP($B1006,'TB '!$4:$1048576,MATCH('List of Ledgers '!K$4,'TB '!$4:$4,0),0),0)</f>
        <v>0</v>
      </c>
      <c r="L1006" s="37">
        <f>IFERROR(VLOOKUP(B1006,'TB '!$A:$J,10,),0)</f>
        <v>4609.25</v>
      </c>
      <c r="M1006" s="71"/>
      <c r="N1006" s="63">
        <f>IFERROR(VLOOKUP($B1006,'TB YTD'!$4:$1048576,MATCH('List of Ledgers '!N$4,'TB YTD'!$4:$4,0),0),0)</f>
        <v>0</v>
      </c>
      <c r="O1006" s="63">
        <f>IFERROR(VLOOKUP($B1006,'TB YTD'!$4:$1048576,MATCH('List of Ledgers '!O$4,'TB YTD'!$4:$4,0),0),0)</f>
        <v>4609.25</v>
      </c>
      <c r="P1006" s="63">
        <f>IFERROR(VLOOKUP($B1006,'TB YTD'!$4:$1048576,MATCH('List of Ledgers '!P$4,'TB YTD'!$4:$4,0),0),0)</f>
        <v>0</v>
      </c>
      <c r="Q1006" s="63">
        <f>IFERROR(VLOOKUP($B1006,'TB YTD'!$4:$1048576,MATCH('List of Ledgers '!Q$4,'TB YTD'!$4:$4,0),0),0)</f>
        <v>4609.25</v>
      </c>
      <c r="R1006" s="63"/>
    </row>
    <row r="1007" spans="1:18" hidden="1" x14ac:dyDescent="0.25">
      <c r="A1007" s="165">
        <f t="shared" si="4"/>
        <v>929</v>
      </c>
      <c r="B1007" s="2" t="s">
        <v>1372</v>
      </c>
      <c r="C1007" s="2" t="s">
        <v>495</v>
      </c>
      <c r="D1007" s="17" t="s">
        <v>128</v>
      </c>
      <c r="E1007" s="17" t="s">
        <v>134</v>
      </c>
      <c r="G1007" s="17" t="s">
        <v>7</v>
      </c>
      <c r="I1007" s="37">
        <f>IFERROR(VLOOKUP(B1007,'TB '!$A:$G,7,),0)</f>
        <v>0</v>
      </c>
      <c r="J1007" s="37">
        <f>IFERROR(VLOOKUP($B1007,'TB '!$4:$1048576,MATCH('List of Ledgers '!J$4,'TB '!$4:$4,0),0),0)</f>
        <v>14160000</v>
      </c>
      <c r="K1007" s="37">
        <f>IFERROR(VLOOKUP($B1007,'TB '!$4:$1048576,MATCH('List of Ledgers '!K$4,'TB '!$4:$4,0),0),0)</f>
        <v>14160000</v>
      </c>
      <c r="L1007" s="37">
        <f>IFERROR(VLOOKUP(B1007,'TB '!$A:$J,10,),0)</f>
        <v>0</v>
      </c>
      <c r="M1007" s="71"/>
      <c r="N1007" s="63">
        <f>IFERROR(VLOOKUP($B1007,'TB YTD'!$4:$1048576,MATCH('List of Ledgers '!N$4,'TB YTD'!$4:$4,0),0),0)</f>
        <v>0</v>
      </c>
      <c r="O1007" s="63">
        <f>IFERROR(VLOOKUP($B1007,'TB YTD'!$4:$1048576,MATCH('List of Ledgers '!O$4,'TB YTD'!$4:$4,0),0),0)</f>
        <v>14160000</v>
      </c>
      <c r="P1007" s="63">
        <f>IFERROR(VLOOKUP($B1007,'TB YTD'!$4:$1048576,MATCH('List of Ledgers '!P$4,'TB YTD'!$4:$4,0),0),0)</f>
        <v>14160000</v>
      </c>
      <c r="Q1007" s="63">
        <f>IFERROR(VLOOKUP($B1007,'TB YTD'!$4:$1048576,MATCH('List of Ledgers '!Q$4,'TB YTD'!$4:$4,0),0),0)</f>
        <v>0</v>
      </c>
      <c r="R1007" s="63"/>
    </row>
    <row r="1008" spans="1:18" hidden="1" x14ac:dyDescent="0.25">
      <c r="A1008" s="165">
        <f t="shared" si="4"/>
        <v>930</v>
      </c>
      <c r="B1008" s="2" t="s">
        <v>1373</v>
      </c>
      <c r="C1008" s="2" t="s">
        <v>1032</v>
      </c>
      <c r="D1008" s="17" t="s">
        <v>128</v>
      </c>
      <c r="E1008" s="17" t="s">
        <v>131</v>
      </c>
      <c r="G1008" s="12" t="s">
        <v>9</v>
      </c>
      <c r="I1008" s="37">
        <f>IFERROR(VLOOKUP(B1008,'TB '!$A:$G,7,),0)</f>
        <v>0</v>
      </c>
      <c r="J1008" s="37">
        <f>IFERROR(VLOOKUP($B1008,'TB '!$4:$1048576,MATCH('List of Ledgers '!J$4,'TB '!$4:$4,0),0),0)</f>
        <v>11930100</v>
      </c>
      <c r="K1008" s="37">
        <f>IFERROR(VLOOKUP($B1008,'TB '!$4:$1048576,MATCH('List of Ledgers '!K$4,'TB '!$4:$4,0),0),0)</f>
        <v>11930100</v>
      </c>
      <c r="L1008" s="37">
        <f>IFERROR(VLOOKUP(B1008,'TB '!$A:$J,10,),0)</f>
        <v>0</v>
      </c>
      <c r="M1008" s="71"/>
      <c r="N1008" s="63">
        <f>IFERROR(VLOOKUP($B1008,'TB YTD'!$4:$1048576,MATCH('List of Ledgers '!N$4,'TB YTD'!$4:$4,0),0),0)</f>
        <v>0</v>
      </c>
      <c r="O1008" s="63">
        <f>IFERROR(VLOOKUP($B1008,'TB YTD'!$4:$1048576,MATCH('List of Ledgers '!O$4,'TB YTD'!$4:$4,0),0),0)</f>
        <v>11930100</v>
      </c>
      <c r="P1008" s="63">
        <f>IFERROR(VLOOKUP($B1008,'TB YTD'!$4:$1048576,MATCH('List of Ledgers '!P$4,'TB YTD'!$4:$4,0),0),0)</f>
        <v>11930100</v>
      </c>
      <c r="Q1008" s="63">
        <f>IFERROR(VLOOKUP($B1008,'TB YTD'!$4:$1048576,MATCH('List of Ledgers '!Q$4,'TB YTD'!$4:$4,0),0),0)</f>
        <v>0</v>
      </c>
      <c r="R1008" s="63"/>
    </row>
    <row r="1009" spans="1:18" hidden="1" x14ac:dyDescent="0.25">
      <c r="A1009" s="165">
        <f t="shared" si="4"/>
        <v>931</v>
      </c>
      <c r="B1009" s="2" t="s">
        <v>1407</v>
      </c>
      <c r="C1009" s="2" t="s">
        <v>1408</v>
      </c>
      <c r="D1009" s="17"/>
      <c r="E1009" s="17"/>
      <c r="I1009" s="37">
        <f>IFERROR(VLOOKUP(B1009,'TB '!$A:$G,7,),0)</f>
        <v>0</v>
      </c>
      <c r="J1009" s="37">
        <f>IFERROR(VLOOKUP($B1009,'TB '!$4:$1048576,MATCH('List of Ledgers '!J$4,'TB '!$4:$4,0),0),0)</f>
        <v>0</v>
      </c>
      <c r="K1009" s="37">
        <f>IFERROR(VLOOKUP($B1009,'TB '!$4:$1048576,MATCH('List of Ledgers '!K$4,'TB '!$4:$4,0),0),0)</f>
        <v>0</v>
      </c>
      <c r="L1009" s="37">
        <f>IFERROR(VLOOKUP(B1009,'TB '!$A:$J,10,),0)</f>
        <v>0</v>
      </c>
      <c r="M1009" s="71"/>
      <c r="N1009" s="63">
        <f>IFERROR(VLOOKUP($B1009,'TB YTD'!$4:$1048576,MATCH('List of Ledgers '!N$4,'TB YTD'!$4:$4,0),0),0)</f>
        <v>0</v>
      </c>
      <c r="O1009" s="63">
        <f>IFERROR(VLOOKUP($B1009,'TB YTD'!$4:$1048576,MATCH('List of Ledgers '!O$4,'TB YTD'!$4:$4,0),0),0)</f>
        <v>0</v>
      </c>
      <c r="P1009" s="63">
        <f>IFERROR(VLOOKUP($B1009,'TB YTD'!$4:$1048576,MATCH('List of Ledgers '!P$4,'TB YTD'!$4:$4,0),0),0)</f>
        <v>0</v>
      </c>
      <c r="Q1009" s="63">
        <f>IFERROR(VLOOKUP($B1009,'TB YTD'!$4:$1048576,MATCH('List of Ledgers '!Q$4,'TB YTD'!$4:$4,0),0),0)</f>
        <v>0</v>
      </c>
      <c r="R1009" s="63"/>
    </row>
    <row r="1010" spans="1:18" hidden="1" x14ac:dyDescent="0.25">
      <c r="A1010" s="165">
        <f t="shared" si="4"/>
        <v>932</v>
      </c>
      <c r="B1010" s="2" t="s">
        <v>1409</v>
      </c>
      <c r="C1010" s="2" t="s">
        <v>1408</v>
      </c>
      <c r="D1010" s="17"/>
      <c r="E1010" s="17"/>
      <c r="I1010" s="37">
        <f>IFERROR(VLOOKUP(B1010,'TB '!$A:$G,7,),0)</f>
        <v>0</v>
      </c>
      <c r="J1010" s="37">
        <f>IFERROR(VLOOKUP($B1010,'TB '!$4:$1048576,MATCH('List of Ledgers '!J$4,'TB '!$4:$4,0),0),0)</f>
        <v>0</v>
      </c>
      <c r="K1010" s="37">
        <f>IFERROR(VLOOKUP($B1010,'TB '!$4:$1048576,MATCH('List of Ledgers '!K$4,'TB '!$4:$4,0),0),0)</f>
        <v>0</v>
      </c>
      <c r="L1010" s="37">
        <f>IFERROR(VLOOKUP(B1010,'TB '!$A:$J,10,),0)</f>
        <v>0</v>
      </c>
      <c r="M1010" s="71"/>
      <c r="N1010" s="63">
        <f>IFERROR(VLOOKUP($B1010,'TB YTD'!$4:$1048576,MATCH('List of Ledgers '!N$4,'TB YTD'!$4:$4,0),0),0)</f>
        <v>0</v>
      </c>
      <c r="O1010" s="63">
        <f>IFERROR(VLOOKUP($B1010,'TB YTD'!$4:$1048576,MATCH('List of Ledgers '!O$4,'TB YTD'!$4:$4,0),0),0)</f>
        <v>0</v>
      </c>
      <c r="P1010" s="63">
        <f>IFERROR(VLOOKUP($B1010,'TB YTD'!$4:$1048576,MATCH('List of Ledgers '!P$4,'TB YTD'!$4:$4,0),0),0)</f>
        <v>0</v>
      </c>
      <c r="Q1010" s="63">
        <f>IFERROR(VLOOKUP($B1010,'TB YTD'!$4:$1048576,MATCH('List of Ledgers '!Q$4,'TB YTD'!$4:$4,0),0),0)</f>
        <v>0</v>
      </c>
      <c r="R1010" s="63"/>
    </row>
    <row r="1011" spans="1:18" x14ac:dyDescent="0.25">
      <c r="A1011" s="165">
        <f t="shared" si="4"/>
        <v>933</v>
      </c>
      <c r="B1011" s="2" t="s">
        <v>1374</v>
      </c>
      <c r="C1011" s="2" t="s">
        <v>876</v>
      </c>
      <c r="D1011" s="17" t="s">
        <v>151</v>
      </c>
      <c r="E1011" s="17" t="s">
        <v>152</v>
      </c>
      <c r="F1011" s="12" t="s">
        <v>71</v>
      </c>
      <c r="G1011" s="12" t="s">
        <v>9</v>
      </c>
      <c r="I1011" s="37">
        <f>IFERROR(VLOOKUP(B1011,'TB '!$A:$G,7,),0)</f>
        <v>0</v>
      </c>
      <c r="J1011" s="37">
        <f>IFERROR(VLOOKUP($B1011,'TB '!$4:$1048576,MATCH('List of Ledgers '!J$4,'TB '!$4:$4,0),0),0)</f>
        <v>8851.94</v>
      </c>
      <c r="K1011" s="37">
        <f>IFERROR(VLOOKUP($B1011,'TB '!$4:$1048576,MATCH('List of Ledgers '!K$4,'TB '!$4:$4,0),0),0)</f>
        <v>0</v>
      </c>
      <c r="L1011" s="37">
        <f>IFERROR(VLOOKUP(B1011,'TB '!$A:$J,10,),0)</f>
        <v>8851.94</v>
      </c>
      <c r="M1011" s="71"/>
      <c r="N1011" s="63">
        <f>IFERROR(VLOOKUP($B1011,'TB YTD'!$4:$1048576,MATCH('List of Ledgers '!N$4,'TB YTD'!$4:$4,0),0),0)</f>
        <v>0</v>
      </c>
      <c r="O1011" s="63">
        <f>IFERROR(VLOOKUP($B1011,'TB YTD'!$4:$1048576,MATCH('List of Ledgers '!O$4,'TB YTD'!$4:$4,0),0),0)</f>
        <v>8851.94</v>
      </c>
      <c r="P1011" s="63">
        <f>IFERROR(VLOOKUP($B1011,'TB YTD'!$4:$1048576,MATCH('List of Ledgers '!P$4,'TB YTD'!$4:$4,0),0),0)</f>
        <v>0</v>
      </c>
      <c r="Q1011" s="63">
        <f>IFERROR(VLOOKUP($B1011,'TB YTD'!$4:$1048576,MATCH('List of Ledgers '!Q$4,'TB YTD'!$4:$4,0),0),0)</f>
        <v>8851.94</v>
      </c>
      <c r="R1011" s="63"/>
    </row>
    <row r="1012" spans="1:18" x14ac:dyDescent="0.25">
      <c r="A1012" s="165">
        <f t="shared" si="4"/>
        <v>934</v>
      </c>
      <c r="B1012" s="2" t="s">
        <v>1375</v>
      </c>
      <c r="C1012" s="2" t="s">
        <v>876</v>
      </c>
      <c r="D1012" s="17" t="s">
        <v>151</v>
      </c>
      <c r="E1012" s="17" t="s">
        <v>152</v>
      </c>
      <c r="F1012" s="12" t="s">
        <v>71</v>
      </c>
      <c r="G1012" s="12" t="s">
        <v>9</v>
      </c>
      <c r="I1012" s="37">
        <f>IFERROR(VLOOKUP(B1012,'TB '!$A:$G,7,),0)</f>
        <v>0</v>
      </c>
      <c r="J1012" s="37">
        <f>IFERROR(VLOOKUP($B1012,'TB '!$4:$1048576,MATCH('List of Ledgers '!J$4,'TB '!$4:$4,0),0),0)</f>
        <v>2565.1999999999998</v>
      </c>
      <c r="K1012" s="37">
        <f>IFERROR(VLOOKUP($B1012,'TB '!$4:$1048576,MATCH('List of Ledgers '!K$4,'TB '!$4:$4,0),0),0)</f>
        <v>0</v>
      </c>
      <c r="L1012" s="37">
        <f>IFERROR(VLOOKUP(B1012,'TB '!$A:$J,10,),0)</f>
        <v>2565.1999999999998</v>
      </c>
      <c r="M1012" s="71"/>
      <c r="N1012" s="63">
        <f>IFERROR(VLOOKUP($B1012,'TB YTD'!$4:$1048576,MATCH('List of Ledgers '!N$4,'TB YTD'!$4:$4,0),0),0)</f>
        <v>0</v>
      </c>
      <c r="O1012" s="63">
        <f>IFERROR(VLOOKUP($B1012,'TB YTD'!$4:$1048576,MATCH('List of Ledgers '!O$4,'TB YTD'!$4:$4,0),0),0)</f>
        <v>2565.1999999999998</v>
      </c>
      <c r="P1012" s="63">
        <f>IFERROR(VLOOKUP($B1012,'TB YTD'!$4:$1048576,MATCH('List of Ledgers '!P$4,'TB YTD'!$4:$4,0),0),0)</f>
        <v>0</v>
      </c>
      <c r="Q1012" s="63">
        <f>IFERROR(VLOOKUP($B1012,'TB YTD'!$4:$1048576,MATCH('List of Ledgers '!Q$4,'TB YTD'!$4:$4,0),0),0)</f>
        <v>2565.1999999999998</v>
      </c>
      <c r="R1012" s="63"/>
    </row>
    <row r="1013" spans="1:18" hidden="1" x14ac:dyDescent="0.25">
      <c r="A1013" s="165">
        <f t="shared" si="4"/>
        <v>935</v>
      </c>
      <c r="B1013" s="2" t="s">
        <v>1376</v>
      </c>
      <c r="C1013" s="2" t="s">
        <v>1032</v>
      </c>
      <c r="D1013" s="17" t="s">
        <v>128</v>
      </c>
      <c r="E1013" s="17" t="s">
        <v>131</v>
      </c>
      <c r="G1013" s="12" t="s">
        <v>9</v>
      </c>
      <c r="I1013" s="37">
        <f>IFERROR(VLOOKUP(B1013,'TB '!$A:$G,7,),0)</f>
        <v>-20244</v>
      </c>
      <c r="J1013" s="37">
        <f>IFERROR(VLOOKUP($B1013,'TB '!$4:$1048576,MATCH('List of Ledgers '!J$4,'TB '!$4:$4,0),0),0)</f>
        <v>20244</v>
      </c>
      <c r="K1013" s="37">
        <f>IFERROR(VLOOKUP($B1013,'TB '!$4:$1048576,MATCH('List of Ledgers '!K$4,'TB '!$4:$4,0),0),0)</f>
        <v>0</v>
      </c>
      <c r="L1013" s="37">
        <f>IFERROR(VLOOKUP(B1013,'TB '!$A:$J,10,),0)</f>
        <v>0</v>
      </c>
      <c r="M1013" s="71"/>
      <c r="N1013" s="63">
        <f>IFERROR(VLOOKUP($B1013,'TB YTD'!$4:$1048576,MATCH('List of Ledgers '!N$4,'TB YTD'!$4:$4,0),0),0)</f>
        <v>0</v>
      </c>
      <c r="O1013" s="63">
        <f>IFERROR(VLOOKUP($B1013,'TB YTD'!$4:$1048576,MATCH('List of Ledgers '!O$4,'TB YTD'!$4:$4,0),0),0)</f>
        <v>20244</v>
      </c>
      <c r="P1013" s="63">
        <f>IFERROR(VLOOKUP($B1013,'TB YTD'!$4:$1048576,MATCH('List of Ledgers '!P$4,'TB YTD'!$4:$4,0),0),0)</f>
        <v>20244</v>
      </c>
      <c r="Q1013" s="63">
        <f>IFERROR(VLOOKUP($B1013,'TB YTD'!$4:$1048576,MATCH('List of Ledgers '!Q$4,'TB YTD'!$4:$4,0),0),0)</f>
        <v>0</v>
      </c>
      <c r="R1013" s="63"/>
    </row>
    <row r="1014" spans="1:18" hidden="1" x14ac:dyDescent="0.25">
      <c r="A1014" s="165">
        <f t="shared" si="4"/>
        <v>936</v>
      </c>
      <c r="B1014" s="2" t="s">
        <v>1377</v>
      </c>
      <c r="C1014" s="2" t="s">
        <v>1079</v>
      </c>
      <c r="D1014" s="17" t="s">
        <v>128</v>
      </c>
      <c r="E1014" s="17" t="s">
        <v>134</v>
      </c>
      <c r="G1014" s="12" t="s">
        <v>9</v>
      </c>
      <c r="I1014" s="37">
        <f>IFERROR(VLOOKUP(B1014,'TB '!$A:$G,7,),0)</f>
        <v>0</v>
      </c>
      <c r="J1014" s="37">
        <f>IFERROR(VLOOKUP($B1014,'TB '!$4:$1048576,MATCH('List of Ledgers '!J$4,'TB '!$4:$4,0),0),0)</f>
        <v>9601691</v>
      </c>
      <c r="K1014" s="37">
        <f>IFERROR(VLOOKUP($B1014,'TB '!$4:$1048576,MATCH('List of Ledgers '!K$4,'TB '!$4:$4,0),0),0)</f>
        <v>0</v>
      </c>
      <c r="L1014" s="37">
        <f>IFERROR(VLOOKUP(B1014,'TB '!$A:$J,10,),0)</f>
        <v>9601691</v>
      </c>
      <c r="M1014" s="71"/>
      <c r="N1014" s="63">
        <f>IFERROR(VLOOKUP($B1014,'TB YTD'!$4:$1048576,MATCH('List of Ledgers '!N$4,'TB YTD'!$4:$4,0),0),0)</f>
        <v>0</v>
      </c>
      <c r="O1014" s="63">
        <f>IFERROR(VLOOKUP($B1014,'TB YTD'!$4:$1048576,MATCH('List of Ledgers '!O$4,'TB YTD'!$4:$4,0),0),0)</f>
        <v>9601691</v>
      </c>
      <c r="P1014" s="63">
        <f>IFERROR(VLOOKUP($B1014,'TB YTD'!$4:$1048576,MATCH('List of Ledgers '!P$4,'TB YTD'!$4:$4,0),0),0)</f>
        <v>0</v>
      </c>
      <c r="Q1014" s="63">
        <f>IFERROR(VLOOKUP($B1014,'TB YTD'!$4:$1048576,MATCH('List of Ledgers '!Q$4,'TB YTD'!$4:$4,0),0),0)</f>
        <v>9601691</v>
      </c>
      <c r="R1014" s="63"/>
    </row>
    <row r="1015" spans="1:18" hidden="1" x14ac:dyDescent="0.25">
      <c r="A1015" s="165">
        <f t="shared" si="4"/>
        <v>937</v>
      </c>
      <c r="B1015" s="2" t="s">
        <v>1378</v>
      </c>
      <c r="C1015" s="2" t="s">
        <v>1032</v>
      </c>
      <c r="D1015" s="17" t="s">
        <v>128</v>
      </c>
      <c r="E1015" s="17" t="s">
        <v>131</v>
      </c>
      <c r="G1015" s="12" t="s">
        <v>9</v>
      </c>
      <c r="I1015" s="37">
        <f>IFERROR(VLOOKUP(B1015,'TB '!$A:$G,7,),0)</f>
        <v>0</v>
      </c>
      <c r="J1015" s="37">
        <f>IFERROR(VLOOKUP($B1015,'TB '!$4:$1048576,MATCH('List of Ledgers '!J$4,'TB '!$4:$4,0),0),0)</f>
        <v>1512000</v>
      </c>
      <c r="K1015" s="37">
        <f>IFERROR(VLOOKUP($B1015,'TB '!$4:$1048576,MATCH('List of Ledgers '!K$4,'TB '!$4:$4,0),0),0)</f>
        <v>1512000</v>
      </c>
      <c r="L1015" s="37">
        <f>IFERROR(VLOOKUP(B1015,'TB '!$A:$J,10,),0)</f>
        <v>0</v>
      </c>
      <c r="M1015" s="71"/>
      <c r="N1015" s="63">
        <f>IFERROR(VLOOKUP($B1015,'TB YTD'!$4:$1048576,MATCH('List of Ledgers '!N$4,'TB YTD'!$4:$4,0),0),0)</f>
        <v>0</v>
      </c>
      <c r="O1015" s="63">
        <f>IFERROR(VLOOKUP($B1015,'TB YTD'!$4:$1048576,MATCH('List of Ledgers '!O$4,'TB YTD'!$4:$4,0),0),0)</f>
        <v>1512000</v>
      </c>
      <c r="P1015" s="63">
        <f>IFERROR(VLOOKUP($B1015,'TB YTD'!$4:$1048576,MATCH('List of Ledgers '!P$4,'TB YTD'!$4:$4,0),0),0)</f>
        <v>1512000</v>
      </c>
      <c r="Q1015" s="63">
        <f>IFERROR(VLOOKUP($B1015,'TB YTD'!$4:$1048576,MATCH('List of Ledgers '!Q$4,'TB YTD'!$4:$4,0),0),0)</f>
        <v>0</v>
      </c>
      <c r="R1015" s="63"/>
    </row>
    <row r="1016" spans="1:18" hidden="1" x14ac:dyDescent="0.25">
      <c r="A1016" s="165">
        <f t="shared" si="4"/>
        <v>938</v>
      </c>
      <c r="B1016" s="2" t="s">
        <v>1379</v>
      </c>
      <c r="C1016" s="2" t="s">
        <v>1079</v>
      </c>
      <c r="D1016" s="17" t="s">
        <v>128</v>
      </c>
      <c r="E1016" s="17" t="s">
        <v>134</v>
      </c>
      <c r="G1016" s="12" t="s">
        <v>9</v>
      </c>
      <c r="I1016" s="37">
        <f>IFERROR(VLOOKUP(B1016,'TB '!$A:$G,7,),0)</f>
        <v>0</v>
      </c>
      <c r="J1016" s="37">
        <f>IFERROR(VLOOKUP($B1016,'TB '!$4:$1048576,MATCH('List of Ledgers '!J$4,'TB '!$4:$4,0),0),0)</f>
        <v>3250967</v>
      </c>
      <c r="K1016" s="37">
        <f>IFERROR(VLOOKUP($B1016,'TB '!$4:$1048576,MATCH('List of Ledgers '!K$4,'TB '!$4:$4,0),0),0)</f>
        <v>0</v>
      </c>
      <c r="L1016" s="37">
        <f>IFERROR(VLOOKUP(B1016,'TB '!$A:$J,10,),0)</f>
        <v>3250967</v>
      </c>
      <c r="M1016" s="71"/>
      <c r="N1016" s="63">
        <f>IFERROR(VLOOKUP($B1016,'TB YTD'!$4:$1048576,MATCH('List of Ledgers '!N$4,'TB YTD'!$4:$4,0),0),0)</f>
        <v>0</v>
      </c>
      <c r="O1016" s="63">
        <f>IFERROR(VLOOKUP($B1016,'TB YTD'!$4:$1048576,MATCH('List of Ledgers '!O$4,'TB YTD'!$4:$4,0),0),0)</f>
        <v>3250967</v>
      </c>
      <c r="P1016" s="63">
        <f>IFERROR(VLOOKUP($B1016,'TB YTD'!$4:$1048576,MATCH('List of Ledgers '!P$4,'TB YTD'!$4:$4,0),0),0)</f>
        <v>0</v>
      </c>
      <c r="Q1016" s="63">
        <f>IFERROR(VLOOKUP($B1016,'TB YTD'!$4:$1048576,MATCH('List of Ledgers '!Q$4,'TB YTD'!$4:$4,0),0),0)</f>
        <v>3250967</v>
      </c>
      <c r="R1016" s="63"/>
    </row>
    <row r="1017" spans="1:18" hidden="1" x14ac:dyDescent="0.25">
      <c r="A1017" s="165">
        <f t="shared" si="4"/>
        <v>939</v>
      </c>
      <c r="B1017" s="2" t="s">
        <v>1380</v>
      </c>
      <c r="C1017" s="2" t="s">
        <v>1410</v>
      </c>
      <c r="D1017" s="17" t="s">
        <v>128</v>
      </c>
      <c r="E1017" s="17" t="s">
        <v>134</v>
      </c>
      <c r="G1017" s="17" t="s">
        <v>4</v>
      </c>
      <c r="I1017" s="37">
        <f>IFERROR(VLOOKUP(B1017,'TB '!$A:$G,7,),0)</f>
        <v>0</v>
      </c>
      <c r="J1017" s="37">
        <f>IFERROR(VLOOKUP($B1017,'TB '!$4:$1048576,MATCH('List of Ledgers '!J$4,'TB '!$4:$4,0),0),0)</f>
        <v>4565399</v>
      </c>
      <c r="K1017" s="37">
        <f>IFERROR(VLOOKUP($B1017,'TB '!$4:$1048576,MATCH('List of Ledgers '!K$4,'TB '!$4:$4,0),0),0)</f>
        <v>0</v>
      </c>
      <c r="L1017" s="37">
        <f>IFERROR(VLOOKUP(B1017,'TB '!$A:$J,10,),0)</f>
        <v>4565399</v>
      </c>
      <c r="M1017" s="71"/>
      <c r="N1017" s="63">
        <f>IFERROR(VLOOKUP($B1017,'TB YTD'!$4:$1048576,MATCH('List of Ledgers '!N$4,'TB YTD'!$4:$4,0),0),0)</f>
        <v>0</v>
      </c>
      <c r="O1017" s="63">
        <f>IFERROR(VLOOKUP($B1017,'TB YTD'!$4:$1048576,MATCH('List of Ledgers '!O$4,'TB YTD'!$4:$4,0),0),0)</f>
        <v>4565399</v>
      </c>
      <c r="P1017" s="63">
        <f>IFERROR(VLOOKUP($B1017,'TB YTD'!$4:$1048576,MATCH('List of Ledgers '!P$4,'TB YTD'!$4:$4,0),0),0)</f>
        <v>0</v>
      </c>
      <c r="Q1017" s="63">
        <f>IFERROR(VLOOKUP($B1017,'TB YTD'!$4:$1048576,MATCH('List of Ledgers '!Q$4,'TB YTD'!$4:$4,0),0),0)</f>
        <v>4565399</v>
      </c>
      <c r="R1017" s="63"/>
    </row>
    <row r="1018" spans="1:18" x14ac:dyDescent="0.25">
      <c r="A1018" s="165">
        <f t="shared" si="4"/>
        <v>940</v>
      </c>
      <c r="B1018" s="2" t="s">
        <v>1381</v>
      </c>
      <c r="C1018" s="2" t="s">
        <v>876</v>
      </c>
      <c r="D1018" s="17" t="s">
        <v>151</v>
      </c>
      <c r="E1018" s="17" t="s">
        <v>152</v>
      </c>
      <c r="F1018" s="12" t="s">
        <v>71</v>
      </c>
      <c r="G1018" s="12" t="s">
        <v>9</v>
      </c>
      <c r="I1018" s="37">
        <f>IFERROR(VLOOKUP(B1018,'TB '!$A:$G,7,),0)</f>
        <v>0</v>
      </c>
      <c r="J1018" s="37">
        <f>IFERROR(VLOOKUP($B1018,'TB '!$4:$1048576,MATCH('List of Ledgers '!J$4,'TB '!$4:$4,0),0),0)</f>
        <v>1242</v>
      </c>
      <c r="K1018" s="37">
        <f>IFERROR(VLOOKUP($B1018,'TB '!$4:$1048576,MATCH('List of Ledgers '!K$4,'TB '!$4:$4,0),0),0)</f>
        <v>0</v>
      </c>
      <c r="L1018" s="37">
        <f>IFERROR(VLOOKUP(B1018,'TB '!$A:$J,10,),0)</f>
        <v>1242</v>
      </c>
      <c r="M1018" s="71"/>
      <c r="N1018" s="63">
        <f>IFERROR(VLOOKUP($B1018,'TB YTD'!$4:$1048576,MATCH('List of Ledgers '!N$4,'TB YTD'!$4:$4,0),0),0)</f>
        <v>0</v>
      </c>
      <c r="O1018" s="63">
        <f>IFERROR(VLOOKUP($B1018,'TB YTD'!$4:$1048576,MATCH('List of Ledgers '!O$4,'TB YTD'!$4:$4,0),0),0)</f>
        <v>1242</v>
      </c>
      <c r="P1018" s="63">
        <f>IFERROR(VLOOKUP($B1018,'TB YTD'!$4:$1048576,MATCH('List of Ledgers '!P$4,'TB YTD'!$4:$4,0),0),0)</f>
        <v>0</v>
      </c>
      <c r="Q1018" s="63">
        <f>IFERROR(VLOOKUP($B1018,'TB YTD'!$4:$1048576,MATCH('List of Ledgers '!Q$4,'TB YTD'!$4:$4,0),0),0)</f>
        <v>1242</v>
      </c>
      <c r="R1018" s="63"/>
    </row>
    <row r="1019" spans="1:18" hidden="1" x14ac:dyDescent="0.25">
      <c r="A1019" s="165">
        <f t="shared" si="4"/>
        <v>941</v>
      </c>
      <c r="B1019" s="2" t="s">
        <v>1382</v>
      </c>
      <c r="C1019" s="2" t="s">
        <v>876</v>
      </c>
      <c r="D1019" s="17" t="s">
        <v>151</v>
      </c>
      <c r="E1019" s="17" t="s">
        <v>152</v>
      </c>
      <c r="F1019" s="12" t="s">
        <v>58</v>
      </c>
      <c r="G1019" s="12" t="s">
        <v>9</v>
      </c>
      <c r="I1019" s="37">
        <f>IFERROR(VLOOKUP(B1019,'TB '!$A:$G,7,),0)</f>
        <v>0</v>
      </c>
      <c r="J1019" s="37">
        <f>IFERROR(VLOOKUP($B1019,'TB '!$4:$1048576,MATCH('List of Ledgers '!J$4,'TB '!$4:$4,0),0),0)</f>
        <v>25257</v>
      </c>
      <c r="K1019" s="37">
        <f>IFERROR(VLOOKUP($B1019,'TB '!$4:$1048576,MATCH('List of Ledgers '!K$4,'TB '!$4:$4,0),0),0)</f>
        <v>0</v>
      </c>
      <c r="L1019" s="37">
        <f>IFERROR(VLOOKUP(B1019,'TB '!$A:$J,10,),0)</f>
        <v>25257</v>
      </c>
      <c r="M1019" s="71"/>
      <c r="N1019" s="63">
        <f>IFERROR(VLOOKUP($B1019,'TB YTD'!$4:$1048576,MATCH('List of Ledgers '!N$4,'TB YTD'!$4:$4,0),0),0)</f>
        <v>0</v>
      </c>
      <c r="O1019" s="63">
        <f>IFERROR(VLOOKUP($B1019,'TB YTD'!$4:$1048576,MATCH('List of Ledgers '!O$4,'TB YTD'!$4:$4,0),0),0)</f>
        <v>39472</v>
      </c>
      <c r="P1019" s="63">
        <f>IFERROR(VLOOKUP($B1019,'TB YTD'!$4:$1048576,MATCH('List of Ledgers '!P$4,'TB YTD'!$4:$4,0),0),0)</f>
        <v>0</v>
      </c>
      <c r="Q1019" s="63">
        <f>IFERROR(VLOOKUP($B1019,'TB YTD'!$4:$1048576,MATCH('List of Ledgers '!Q$4,'TB YTD'!$4:$4,0),0),0)</f>
        <v>39472</v>
      </c>
      <c r="R1019" s="63"/>
    </row>
    <row r="1020" spans="1:18" hidden="1" x14ac:dyDescent="0.25">
      <c r="A1020" s="165">
        <f t="shared" si="4"/>
        <v>942</v>
      </c>
      <c r="B1020" s="2" t="s">
        <v>1383</v>
      </c>
      <c r="C1020" s="2" t="s">
        <v>1079</v>
      </c>
      <c r="D1020" s="17" t="s">
        <v>128</v>
      </c>
      <c r="E1020" s="17" t="s">
        <v>134</v>
      </c>
      <c r="G1020" s="12" t="s">
        <v>9</v>
      </c>
      <c r="I1020" s="37">
        <f>IFERROR(VLOOKUP(B1020,'TB '!$A:$G,7,),0)</f>
        <v>0</v>
      </c>
      <c r="J1020" s="37">
        <f>IFERROR(VLOOKUP($B1020,'TB '!$4:$1048576,MATCH('List of Ledgers '!J$4,'TB '!$4:$4,0),0),0)</f>
        <v>3425069</v>
      </c>
      <c r="K1020" s="37">
        <f>IFERROR(VLOOKUP($B1020,'TB '!$4:$1048576,MATCH('List of Ledgers '!K$4,'TB '!$4:$4,0),0),0)</f>
        <v>677408.8</v>
      </c>
      <c r="L1020" s="37">
        <f>IFERROR(VLOOKUP(B1020,'TB '!$A:$J,10,),0)</f>
        <v>2747660.2</v>
      </c>
      <c r="M1020" s="71"/>
      <c r="N1020" s="63">
        <f>IFERROR(VLOOKUP($B1020,'TB YTD'!$4:$1048576,MATCH('List of Ledgers '!N$4,'TB YTD'!$4:$4,0),0),0)</f>
        <v>0</v>
      </c>
      <c r="O1020" s="63">
        <f>IFERROR(VLOOKUP($B1020,'TB YTD'!$4:$1048576,MATCH('List of Ledgers '!O$4,'TB YTD'!$4:$4,0),0),0)</f>
        <v>3425069</v>
      </c>
      <c r="P1020" s="63">
        <f>IFERROR(VLOOKUP($B1020,'TB YTD'!$4:$1048576,MATCH('List of Ledgers '!P$4,'TB YTD'!$4:$4,0),0),0)</f>
        <v>677408.8</v>
      </c>
      <c r="Q1020" s="63">
        <f>IFERROR(VLOOKUP($B1020,'TB YTD'!$4:$1048576,MATCH('List of Ledgers '!Q$4,'TB YTD'!$4:$4,0),0),0)</f>
        <v>2747660.2</v>
      </c>
      <c r="R1020" s="63"/>
    </row>
    <row r="1021" spans="1:18" hidden="1" x14ac:dyDescent="0.25">
      <c r="A1021" s="165">
        <f t="shared" si="4"/>
        <v>943</v>
      </c>
      <c r="B1021" s="2" t="s">
        <v>1384</v>
      </c>
      <c r="C1021" s="2" t="s">
        <v>1032</v>
      </c>
      <c r="D1021" s="17" t="s">
        <v>128</v>
      </c>
      <c r="E1021" s="17" t="s">
        <v>131</v>
      </c>
      <c r="G1021" s="12" t="s">
        <v>9</v>
      </c>
      <c r="I1021" s="37">
        <f>IFERROR(VLOOKUP(B1021,'TB '!$A:$G,7,),0)</f>
        <v>50000</v>
      </c>
      <c r="J1021" s="37">
        <f>IFERROR(VLOOKUP($B1021,'TB '!$4:$1048576,MATCH('List of Ledgers '!J$4,'TB '!$4:$4,0),0),0)</f>
        <v>100000</v>
      </c>
      <c r="K1021" s="37">
        <f>IFERROR(VLOOKUP($B1021,'TB '!$4:$1048576,MATCH('List of Ledgers '!K$4,'TB '!$4:$4,0),0),0)</f>
        <v>0</v>
      </c>
      <c r="L1021" s="37">
        <f>IFERROR(VLOOKUP(B1021,'TB '!$A:$J,10,),0)</f>
        <v>150000</v>
      </c>
      <c r="M1021" s="71"/>
      <c r="N1021" s="63">
        <f>IFERROR(VLOOKUP($B1021,'TB YTD'!$4:$1048576,MATCH('List of Ledgers '!N$4,'TB YTD'!$4:$4,0),0),0)</f>
        <v>0</v>
      </c>
      <c r="O1021" s="63">
        <f>IFERROR(VLOOKUP($B1021,'TB YTD'!$4:$1048576,MATCH('List of Ledgers '!O$4,'TB YTD'!$4:$4,0),0),0)</f>
        <v>150000</v>
      </c>
      <c r="P1021" s="63">
        <f>IFERROR(VLOOKUP($B1021,'TB YTD'!$4:$1048576,MATCH('List of Ledgers '!P$4,'TB YTD'!$4:$4,0),0),0)</f>
        <v>0</v>
      </c>
      <c r="Q1021" s="63">
        <f>IFERROR(VLOOKUP($B1021,'TB YTD'!$4:$1048576,MATCH('List of Ledgers '!Q$4,'TB YTD'!$4:$4,0),0),0)</f>
        <v>150000</v>
      </c>
      <c r="R1021" s="63"/>
    </row>
    <row r="1022" spans="1:18" hidden="1" x14ac:dyDescent="0.25">
      <c r="A1022" s="165">
        <f t="shared" si="4"/>
        <v>944</v>
      </c>
      <c r="B1022" s="2" t="s">
        <v>1385</v>
      </c>
      <c r="C1022" s="2" t="s">
        <v>495</v>
      </c>
      <c r="D1022" s="17" t="s">
        <v>128</v>
      </c>
      <c r="E1022" s="17" t="s">
        <v>134</v>
      </c>
      <c r="G1022" s="17" t="s">
        <v>7</v>
      </c>
      <c r="I1022" s="37">
        <f>IFERROR(VLOOKUP(B1022,'TB '!$A:$G,7,),0)</f>
        <v>0</v>
      </c>
      <c r="J1022" s="37">
        <f>IFERROR(VLOOKUP($B1022,'TB '!$4:$1048576,MATCH('List of Ledgers '!J$4,'TB '!$4:$4,0),0),0)</f>
        <v>3540000</v>
      </c>
      <c r="K1022" s="37">
        <f>IFERROR(VLOOKUP($B1022,'TB '!$4:$1048576,MATCH('List of Ledgers '!K$4,'TB '!$4:$4,0),0),0)</f>
        <v>3540000</v>
      </c>
      <c r="L1022" s="37">
        <f>IFERROR(VLOOKUP(B1022,'TB '!$A:$J,10,),0)</f>
        <v>0</v>
      </c>
      <c r="M1022" s="71"/>
      <c r="N1022" s="63">
        <f>IFERROR(VLOOKUP($B1022,'TB YTD'!$4:$1048576,MATCH('List of Ledgers '!N$4,'TB YTD'!$4:$4,0),0),0)</f>
        <v>0</v>
      </c>
      <c r="O1022" s="63">
        <f>IFERROR(VLOOKUP($B1022,'TB YTD'!$4:$1048576,MATCH('List of Ledgers '!O$4,'TB YTD'!$4:$4,0),0),0)</f>
        <v>3540000</v>
      </c>
      <c r="P1022" s="63">
        <f>IFERROR(VLOOKUP($B1022,'TB YTD'!$4:$1048576,MATCH('List of Ledgers '!P$4,'TB YTD'!$4:$4,0),0),0)</f>
        <v>3540000</v>
      </c>
      <c r="Q1022" s="63">
        <f>IFERROR(VLOOKUP($B1022,'TB YTD'!$4:$1048576,MATCH('List of Ledgers '!Q$4,'TB YTD'!$4:$4,0),0),0)</f>
        <v>0</v>
      </c>
      <c r="R1022" s="63"/>
    </row>
    <row r="1023" spans="1:18" hidden="1" x14ac:dyDescent="0.25">
      <c r="A1023" s="165">
        <f t="shared" si="4"/>
        <v>945</v>
      </c>
      <c r="B1023" s="2" t="s">
        <v>1386</v>
      </c>
      <c r="C1023" s="2" t="s">
        <v>1032</v>
      </c>
      <c r="D1023" s="17" t="s">
        <v>128</v>
      </c>
      <c r="E1023" s="17" t="s">
        <v>131</v>
      </c>
      <c r="G1023" s="12" t="s">
        <v>9</v>
      </c>
      <c r="I1023" s="37">
        <f>IFERROR(VLOOKUP(B1023,'TB '!$A:$G,7,),0)</f>
        <v>0</v>
      </c>
      <c r="J1023" s="37">
        <f>IFERROR(VLOOKUP($B1023,'TB '!$4:$1048576,MATCH('List of Ledgers '!J$4,'TB '!$4:$4,0),0),0)</f>
        <v>257250</v>
      </c>
      <c r="K1023" s="37">
        <f>IFERROR(VLOOKUP($B1023,'TB '!$4:$1048576,MATCH('List of Ledgers '!K$4,'TB '!$4:$4,0),0),0)</f>
        <v>257250</v>
      </c>
      <c r="L1023" s="37">
        <f>IFERROR(VLOOKUP(B1023,'TB '!$A:$J,10,),0)</f>
        <v>0</v>
      </c>
      <c r="M1023" s="71"/>
      <c r="N1023" s="63">
        <f>IFERROR(VLOOKUP($B1023,'TB YTD'!$4:$1048576,MATCH('List of Ledgers '!N$4,'TB YTD'!$4:$4,0),0),0)</f>
        <v>0</v>
      </c>
      <c r="O1023" s="63">
        <f>IFERROR(VLOOKUP($B1023,'TB YTD'!$4:$1048576,MATCH('List of Ledgers '!O$4,'TB YTD'!$4:$4,0),0),0)</f>
        <v>257250</v>
      </c>
      <c r="P1023" s="63">
        <f>IFERROR(VLOOKUP($B1023,'TB YTD'!$4:$1048576,MATCH('List of Ledgers '!P$4,'TB YTD'!$4:$4,0),0),0)</f>
        <v>257250</v>
      </c>
      <c r="Q1023" s="63">
        <f>IFERROR(VLOOKUP($B1023,'TB YTD'!$4:$1048576,MATCH('List of Ledgers '!Q$4,'TB YTD'!$4:$4,0),0),0)</f>
        <v>0</v>
      </c>
      <c r="R1023" s="63"/>
    </row>
    <row r="1024" spans="1:18" hidden="1" x14ac:dyDescent="0.25">
      <c r="A1024" s="165">
        <f t="shared" si="4"/>
        <v>946</v>
      </c>
      <c r="B1024" s="2" t="s">
        <v>1387</v>
      </c>
      <c r="C1024" s="2" t="s">
        <v>1079</v>
      </c>
      <c r="D1024" s="17" t="s">
        <v>128</v>
      </c>
      <c r="E1024" s="17" t="s">
        <v>134</v>
      </c>
      <c r="G1024" s="12" t="s">
        <v>9</v>
      </c>
      <c r="I1024" s="37">
        <f>IFERROR(VLOOKUP(B1024,'TB '!$A:$G,7,),0)</f>
        <v>0</v>
      </c>
      <c r="J1024" s="37">
        <f>IFERROR(VLOOKUP($B1024,'TB '!$4:$1048576,MATCH('List of Ledgers '!J$4,'TB '!$4:$4,0),0),0)</f>
        <v>2612131</v>
      </c>
      <c r="K1024" s="37">
        <f>IFERROR(VLOOKUP($B1024,'TB '!$4:$1048576,MATCH('List of Ledgers '!K$4,'TB '!$4:$4,0),0),0)</f>
        <v>0</v>
      </c>
      <c r="L1024" s="37">
        <f>IFERROR(VLOOKUP(B1024,'TB '!$A:$J,10,),0)</f>
        <v>2612131</v>
      </c>
      <c r="M1024" s="71"/>
      <c r="N1024" s="63">
        <f>IFERROR(VLOOKUP($B1024,'TB YTD'!$4:$1048576,MATCH('List of Ledgers '!N$4,'TB YTD'!$4:$4,0),0),0)</f>
        <v>0</v>
      </c>
      <c r="O1024" s="63">
        <f>IFERROR(VLOOKUP($B1024,'TB YTD'!$4:$1048576,MATCH('List of Ledgers '!O$4,'TB YTD'!$4:$4,0),0),0)</f>
        <v>2612131</v>
      </c>
      <c r="P1024" s="63">
        <f>IFERROR(VLOOKUP($B1024,'TB YTD'!$4:$1048576,MATCH('List of Ledgers '!P$4,'TB YTD'!$4:$4,0),0),0)</f>
        <v>0</v>
      </c>
      <c r="Q1024" s="63">
        <f>IFERROR(VLOOKUP($B1024,'TB YTD'!$4:$1048576,MATCH('List of Ledgers '!Q$4,'TB YTD'!$4:$4,0),0),0)</f>
        <v>2612131</v>
      </c>
      <c r="R1024" s="63"/>
    </row>
    <row r="1025" spans="1:18" hidden="1" x14ac:dyDescent="0.25">
      <c r="A1025" s="165">
        <f t="shared" si="4"/>
        <v>947</v>
      </c>
      <c r="B1025" s="2" t="s">
        <v>1388</v>
      </c>
      <c r="C1025" s="2" t="s">
        <v>250</v>
      </c>
      <c r="D1025" s="17" t="s">
        <v>128</v>
      </c>
      <c r="E1025" s="17" t="s">
        <v>131</v>
      </c>
      <c r="G1025" s="17" t="s">
        <v>7</v>
      </c>
      <c r="I1025" s="37">
        <f>IFERROR(VLOOKUP(B1025,'TB '!$A:$G,7,),0)</f>
        <v>0</v>
      </c>
      <c r="J1025" s="37">
        <f>IFERROR(VLOOKUP($B1025,'TB '!$4:$1048576,MATCH('List of Ledgers '!J$4,'TB '!$4:$4,0),0),0)</f>
        <v>91382</v>
      </c>
      <c r="K1025" s="37">
        <f>IFERROR(VLOOKUP($B1025,'TB '!$4:$1048576,MATCH('List of Ledgers '!K$4,'TB '!$4:$4,0),0),0)</f>
        <v>91382</v>
      </c>
      <c r="L1025" s="37">
        <f>IFERROR(VLOOKUP(B1025,'TB '!$A:$J,10,),0)</f>
        <v>0</v>
      </c>
      <c r="M1025" s="71"/>
      <c r="N1025" s="63">
        <f>IFERROR(VLOOKUP($B1025,'TB YTD'!$4:$1048576,MATCH('List of Ledgers '!N$4,'TB YTD'!$4:$4,0),0),0)</f>
        <v>0</v>
      </c>
      <c r="O1025" s="63">
        <f>IFERROR(VLOOKUP($B1025,'TB YTD'!$4:$1048576,MATCH('List of Ledgers '!O$4,'TB YTD'!$4:$4,0),0),0)</f>
        <v>91382</v>
      </c>
      <c r="P1025" s="63">
        <f>IFERROR(VLOOKUP($B1025,'TB YTD'!$4:$1048576,MATCH('List of Ledgers '!P$4,'TB YTD'!$4:$4,0),0),0)</f>
        <v>91382</v>
      </c>
      <c r="Q1025" s="63">
        <f>IFERROR(VLOOKUP($B1025,'TB YTD'!$4:$1048576,MATCH('List of Ledgers '!Q$4,'TB YTD'!$4:$4,0),0),0)</f>
        <v>0</v>
      </c>
      <c r="R1025" s="63"/>
    </row>
    <row r="1026" spans="1:18" hidden="1" x14ac:dyDescent="0.25">
      <c r="A1026" s="165">
        <f t="shared" si="4"/>
        <v>948</v>
      </c>
      <c r="B1026" s="2" t="s">
        <v>1389</v>
      </c>
      <c r="C1026" s="2" t="s">
        <v>1032</v>
      </c>
      <c r="D1026" s="17" t="s">
        <v>128</v>
      </c>
      <c r="E1026" s="17" t="s">
        <v>131</v>
      </c>
      <c r="G1026" s="12" t="s">
        <v>9</v>
      </c>
      <c r="I1026" s="37">
        <f>IFERROR(VLOOKUP(B1026,'TB '!$A:$G,7,),0)</f>
        <v>0</v>
      </c>
      <c r="J1026" s="37">
        <f>IFERROR(VLOOKUP($B1026,'TB '!$4:$1048576,MATCH('List of Ledgers '!J$4,'TB '!$4:$4,0),0),0)</f>
        <v>3912300</v>
      </c>
      <c r="K1026" s="37">
        <f>IFERROR(VLOOKUP($B1026,'TB '!$4:$1048576,MATCH('List of Ledgers '!K$4,'TB '!$4:$4,0),0),0)</f>
        <v>3912300</v>
      </c>
      <c r="L1026" s="37">
        <f>IFERROR(VLOOKUP(B1026,'TB '!$A:$J,10,),0)</f>
        <v>0</v>
      </c>
      <c r="M1026" s="71"/>
      <c r="N1026" s="63">
        <f>IFERROR(VLOOKUP($B1026,'TB YTD'!$4:$1048576,MATCH('List of Ledgers '!N$4,'TB YTD'!$4:$4,0),0),0)</f>
        <v>0</v>
      </c>
      <c r="O1026" s="63">
        <f>IFERROR(VLOOKUP($B1026,'TB YTD'!$4:$1048576,MATCH('List of Ledgers '!O$4,'TB YTD'!$4:$4,0),0),0)</f>
        <v>3912300</v>
      </c>
      <c r="P1026" s="63">
        <f>IFERROR(VLOOKUP($B1026,'TB YTD'!$4:$1048576,MATCH('List of Ledgers '!P$4,'TB YTD'!$4:$4,0),0),0)</f>
        <v>3912300</v>
      </c>
      <c r="Q1026" s="63">
        <f>IFERROR(VLOOKUP($B1026,'TB YTD'!$4:$1048576,MATCH('List of Ledgers '!Q$4,'TB YTD'!$4:$4,0),0),0)</f>
        <v>0</v>
      </c>
      <c r="R1026" s="63"/>
    </row>
    <row r="1027" spans="1:18" hidden="1" x14ac:dyDescent="0.25">
      <c r="A1027" s="165">
        <f t="shared" si="4"/>
        <v>949</v>
      </c>
      <c r="B1027" s="2" t="s">
        <v>1390</v>
      </c>
      <c r="C1027" s="2" t="s">
        <v>1032</v>
      </c>
      <c r="D1027" s="17" t="s">
        <v>128</v>
      </c>
      <c r="E1027" s="17" t="s">
        <v>131</v>
      </c>
      <c r="G1027" s="12" t="s">
        <v>9</v>
      </c>
      <c r="I1027" s="37">
        <f>IFERROR(VLOOKUP(B1027,'TB '!$A:$G,7,),0)</f>
        <v>-5983</v>
      </c>
      <c r="J1027" s="37">
        <f>IFERROR(VLOOKUP($B1027,'TB '!$4:$1048576,MATCH('List of Ledgers '!J$4,'TB '!$4:$4,0),0),0)</f>
        <v>22780</v>
      </c>
      <c r="K1027" s="37">
        <f>IFERROR(VLOOKUP($B1027,'TB '!$4:$1048576,MATCH('List of Ledgers '!K$4,'TB '!$4:$4,0),0),0)</f>
        <v>16797</v>
      </c>
      <c r="L1027" s="37">
        <f>IFERROR(VLOOKUP(B1027,'TB '!$A:$J,10,),0)</f>
        <v>0</v>
      </c>
      <c r="M1027" s="71"/>
      <c r="N1027" s="63">
        <f>IFERROR(VLOOKUP($B1027,'TB YTD'!$4:$1048576,MATCH('List of Ledgers '!N$4,'TB YTD'!$4:$4,0),0),0)</f>
        <v>0</v>
      </c>
      <c r="O1027" s="63">
        <f>IFERROR(VLOOKUP($B1027,'TB YTD'!$4:$1048576,MATCH('List of Ledgers '!O$4,'TB YTD'!$4:$4,0),0),0)</f>
        <v>22780</v>
      </c>
      <c r="P1027" s="63">
        <f>IFERROR(VLOOKUP($B1027,'TB YTD'!$4:$1048576,MATCH('List of Ledgers '!P$4,'TB YTD'!$4:$4,0),0),0)</f>
        <v>22780</v>
      </c>
      <c r="Q1027" s="63">
        <f>IFERROR(VLOOKUP($B1027,'TB YTD'!$4:$1048576,MATCH('List of Ledgers '!Q$4,'TB YTD'!$4:$4,0),0),0)</f>
        <v>0</v>
      </c>
      <c r="R1027" s="63"/>
    </row>
    <row r="1028" spans="1:18" hidden="1" x14ac:dyDescent="0.25">
      <c r="A1028" s="165">
        <f t="shared" si="4"/>
        <v>950</v>
      </c>
      <c r="B1028" s="2" t="s">
        <v>1391</v>
      </c>
      <c r="C1028" s="2" t="s">
        <v>140</v>
      </c>
      <c r="D1028" s="17" t="s">
        <v>128</v>
      </c>
      <c r="E1028" s="17" t="s">
        <v>131</v>
      </c>
      <c r="G1028" s="12" t="s">
        <v>7</v>
      </c>
      <c r="I1028" s="37">
        <f>IFERROR(VLOOKUP(B1028,'TB '!$A:$G,7,),0)</f>
        <v>0</v>
      </c>
      <c r="J1028" s="37">
        <f>IFERROR(VLOOKUP($B1028,'TB '!$4:$1048576,MATCH('List of Ledgers '!J$4,'TB '!$4:$4,0),0),0)</f>
        <v>0</v>
      </c>
      <c r="K1028" s="37">
        <f>IFERROR(VLOOKUP($B1028,'TB '!$4:$1048576,MATCH('List of Ledgers '!K$4,'TB '!$4:$4,0),0),0)</f>
        <v>3506</v>
      </c>
      <c r="L1028" s="37">
        <f>IFERROR(VLOOKUP(B1028,'TB '!$A:$J,10,),0)</f>
        <v>-3506</v>
      </c>
      <c r="M1028" s="71"/>
      <c r="N1028" s="63">
        <f>IFERROR(VLOOKUP($B1028,'TB YTD'!$4:$1048576,MATCH('List of Ledgers '!N$4,'TB YTD'!$4:$4,0),0),0)</f>
        <v>0</v>
      </c>
      <c r="O1028" s="63">
        <f>IFERROR(VLOOKUP($B1028,'TB YTD'!$4:$1048576,MATCH('List of Ledgers '!O$4,'TB YTD'!$4:$4,0),0),0)</f>
        <v>0</v>
      </c>
      <c r="P1028" s="63">
        <f>IFERROR(VLOOKUP($B1028,'TB YTD'!$4:$1048576,MATCH('List of Ledgers '!P$4,'TB YTD'!$4:$4,0),0),0)</f>
        <v>3506</v>
      </c>
      <c r="Q1028" s="63">
        <f>IFERROR(VLOOKUP($B1028,'TB YTD'!$4:$1048576,MATCH('List of Ledgers '!Q$4,'TB YTD'!$4:$4,0),0),0)</f>
        <v>-3506</v>
      </c>
      <c r="R1028" s="63"/>
    </row>
    <row r="1029" spans="1:18" hidden="1" x14ac:dyDescent="0.25">
      <c r="A1029" s="165">
        <f t="shared" si="4"/>
        <v>951</v>
      </c>
      <c r="B1029" s="2" t="s">
        <v>1392</v>
      </c>
      <c r="C1029" s="2" t="s">
        <v>530</v>
      </c>
      <c r="D1029" s="17"/>
      <c r="E1029" s="17"/>
      <c r="I1029" s="37">
        <f>IFERROR(VLOOKUP(B1029,'TB '!$A:$G,7,),0)</f>
        <v>0</v>
      </c>
      <c r="J1029" s="37">
        <f>IFERROR(VLOOKUP($B1029,'TB '!$4:$1048576,MATCH('List of Ledgers '!J$4,'TB '!$4:$4,0),0),0)</f>
        <v>263263</v>
      </c>
      <c r="K1029" s="37">
        <f>IFERROR(VLOOKUP($B1029,'TB '!$4:$1048576,MATCH('List of Ledgers '!K$4,'TB '!$4:$4,0),0),0)</f>
        <v>263263</v>
      </c>
      <c r="L1029" s="37">
        <f>IFERROR(VLOOKUP(B1029,'TB '!$A:$J,10,),0)</f>
        <v>0</v>
      </c>
      <c r="M1029" s="71"/>
      <c r="N1029" s="63">
        <f>IFERROR(VLOOKUP($B1029,'TB YTD'!$4:$1048576,MATCH('List of Ledgers '!N$4,'TB YTD'!$4:$4,0),0),0)</f>
        <v>0</v>
      </c>
      <c r="O1029" s="63">
        <f>IFERROR(VLOOKUP($B1029,'TB YTD'!$4:$1048576,MATCH('List of Ledgers '!O$4,'TB YTD'!$4:$4,0),0),0)</f>
        <v>263263</v>
      </c>
      <c r="P1029" s="63">
        <f>IFERROR(VLOOKUP($B1029,'TB YTD'!$4:$1048576,MATCH('List of Ledgers '!P$4,'TB YTD'!$4:$4,0),0),0)</f>
        <v>263263</v>
      </c>
      <c r="Q1029" s="63">
        <f>IFERROR(VLOOKUP($B1029,'TB YTD'!$4:$1048576,MATCH('List of Ledgers '!Q$4,'TB YTD'!$4:$4,0),0),0)</f>
        <v>0</v>
      </c>
      <c r="R1029" s="63"/>
    </row>
    <row r="1030" spans="1:18" hidden="1" x14ac:dyDescent="0.25">
      <c r="A1030" s="165">
        <f t="shared" si="4"/>
        <v>952</v>
      </c>
      <c r="B1030" s="2" t="s">
        <v>1393</v>
      </c>
      <c r="C1030" s="2" t="s">
        <v>1410</v>
      </c>
      <c r="D1030" s="17" t="s">
        <v>128</v>
      </c>
      <c r="E1030" s="17" t="s">
        <v>134</v>
      </c>
      <c r="G1030" s="17" t="s">
        <v>4</v>
      </c>
      <c r="I1030" s="37">
        <f>IFERROR(VLOOKUP(B1030,'TB '!$A:$G,7,),0)</f>
        <v>0</v>
      </c>
      <c r="J1030" s="37">
        <f>IFERROR(VLOOKUP($B1030,'TB '!$4:$1048576,MATCH('List of Ledgers '!J$4,'TB '!$4:$4,0),0),0)</f>
        <v>13881504</v>
      </c>
      <c r="K1030" s="37">
        <f>IFERROR(VLOOKUP($B1030,'TB '!$4:$1048576,MATCH('List of Ledgers '!K$4,'TB '!$4:$4,0),0),0)</f>
        <v>6940752</v>
      </c>
      <c r="L1030" s="37">
        <f>IFERROR(VLOOKUP(B1030,'TB '!$A:$J,10,),0)</f>
        <v>6940752</v>
      </c>
      <c r="M1030" s="71"/>
      <c r="N1030" s="63">
        <f>IFERROR(VLOOKUP($B1030,'TB YTD'!$4:$1048576,MATCH('List of Ledgers '!N$4,'TB YTD'!$4:$4,0),0),0)</f>
        <v>0</v>
      </c>
      <c r="O1030" s="63">
        <f>IFERROR(VLOOKUP($B1030,'TB YTD'!$4:$1048576,MATCH('List of Ledgers '!O$4,'TB YTD'!$4:$4,0),0),0)</f>
        <v>13881504</v>
      </c>
      <c r="P1030" s="63">
        <f>IFERROR(VLOOKUP($B1030,'TB YTD'!$4:$1048576,MATCH('List of Ledgers '!P$4,'TB YTD'!$4:$4,0),0),0)</f>
        <v>6940752</v>
      </c>
      <c r="Q1030" s="63">
        <f>IFERROR(VLOOKUP($B1030,'TB YTD'!$4:$1048576,MATCH('List of Ledgers '!Q$4,'TB YTD'!$4:$4,0),0),0)</f>
        <v>6940752</v>
      </c>
      <c r="R1030" s="63"/>
    </row>
    <row r="1031" spans="1:18" x14ac:dyDescent="0.25">
      <c r="A1031" s="165">
        <f t="shared" si="4"/>
        <v>953</v>
      </c>
      <c r="B1031" s="2" t="s">
        <v>1394</v>
      </c>
      <c r="C1031" s="2" t="s">
        <v>876</v>
      </c>
      <c r="D1031" s="17" t="s">
        <v>151</v>
      </c>
      <c r="E1031" s="17" t="s">
        <v>152</v>
      </c>
      <c r="F1031" s="12" t="s">
        <v>71</v>
      </c>
      <c r="G1031" s="12" t="s">
        <v>9</v>
      </c>
      <c r="I1031" s="37">
        <f>IFERROR(VLOOKUP(B1031,'TB '!$A:$G,7,),0)</f>
        <v>0</v>
      </c>
      <c r="J1031" s="37">
        <f>IFERROR(VLOOKUP($B1031,'TB '!$4:$1048576,MATCH('List of Ledgers '!J$4,'TB '!$4:$4,0),0),0)</f>
        <v>2000</v>
      </c>
      <c r="K1031" s="37">
        <f>IFERROR(VLOOKUP($B1031,'TB '!$4:$1048576,MATCH('List of Ledgers '!K$4,'TB '!$4:$4,0),0),0)</f>
        <v>0</v>
      </c>
      <c r="L1031" s="37">
        <f>IFERROR(VLOOKUP(B1031,'TB '!$A:$J,10,),0)</f>
        <v>2000</v>
      </c>
      <c r="M1031" s="71"/>
      <c r="N1031" s="63">
        <f>IFERROR(VLOOKUP($B1031,'TB YTD'!$4:$1048576,MATCH('List of Ledgers '!N$4,'TB YTD'!$4:$4,0),0),0)</f>
        <v>0</v>
      </c>
      <c r="O1031" s="63">
        <f>IFERROR(VLOOKUP($B1031,'TB YTD'!$4:$1048576,MATCH('List of Ledgers '!O$4,'TB YTD'!$4:$4,0),0),0)</f>
        <v>2000</v>
      </c>
      <c r="P1031" s="63">
        <f>IFERROR(VLOOKUP($B1031,'TB YTD'!$4:$1048576,MATCH('List of Ledgers '!P$4,'TB YTD'!$4:$4,0),0),0)</f>
        <v>0</v>
      </c>
      <c r="Q1031" s="63">
        <f>IFERROR(VLOOKUP($B1031,'TB YTD'!$4:$1048576,MATCH('List of Ledgers '!Q$4,'TB YTD'!$4:$4,0),0),0)</f>
        <v>2000</v>
      </c>
      <c r="R1031" s="63"/>
    </row>
    <row r="1032" spans="1:18" x14ac:dyDescent="0.25">
      <c r="A1032" s="165">
        <f t="shared" si="4"/>
        <v>954</v>
      </c>
      <c r="B1032" s="2" t="s">
        <v>1395</v>
      </c>
      <c r="C1032" s="2" t="s">
        <v>876</v>
      </c>
      <c r="D1032" s="17" t="s">
        <v>151</v>
      </c>
      <c r="E1032" s="17" t="s">
        <v>152</v>
      </c>
      <c r="F1032" s="12" t="s">
        <v>71</v>
      </c>
      <c r="G1032" s="12" t="s">
        <v>9</v>
      </c>
      <c r="I1032" s="37">
        <f>IFERROR(VLOOKUP(B1032,'TB '!$A:$G,7,),0)</f>
        <v>0</v>
      </c>
      <c r="J1032" s="37">
        <f>IFERROR(VLOOKUP($B1032,'TB '!$4:$1048576,MATCH('List of Ledgers '!J$4,'TB '!$4:$4,0),0),0)</f>
        <v>281610</v>
      </c>
      <c r="K1032" s="37">
        <f>IFERROR(VLOOKUP($B1032,'TB '!$4:$1048576,MATCH('List of Ledgers '!K$4,'TB '!$4:$4,0),0),0)</f>
        <v>0</v>
      </c>
      <c r="L1032" s="37">
        <f>IFERROR(VLOOKUP(B1032,'TB '!$A:$J,10,),0)</f>
        <v>281610</v>
      </c>
      <c r="M1032" s="71"/>
      <c r="N1032" s="63">
        <f>IFERROR(VLOOKUP($B1032,'TB YTD'!$4:$1048576,MATCH('List of Ledgers '!N$4,'TB YTD'!$4:$4,0),0),0)</f>
        <v>0</v>
      </c>
      <c r="O1032" s="63">
        <f>IFERROR(VLOOKUP($B1032,'TB YTD'!$4:$1048576,MATCH('List of Ledgers '!O$4,'TB YTD'!$4:$4,0),0),0)</f>
        <v>281610</v>
      </c>
      <c r="P1032" s="63">
        <f>IFERROR(VLOOKUP($B1032,'TB YTD'!$4:$1048576,MATCH('List of Ledgers '!P$4,'TB YTD'!$4:$4,0),0),0)</f>
        <v>0</v>
      </c>
      <c r="Q1032" s="63">
        <f>IFERROR(VLOOKUP($B1032,'TB YTD'!$4:$1048576,MATCH('List of Ledgers '!Q$4,'TB YTD'!$4:$4,0),0),0)</f>
        <v>281610</v>
      </c>
      <c r="R1032" s="63"/>
    </row>
    <row r="1033" spans="1:18" hidden="1" x14ac:dyDescent="0.25">
      <c r="A1033" s="165">
        <f t="shared" si="4"/>
        <v>955</v>
      </c>
      <c r="B1033" s="2" t="s">
        <v>1396</v>
      </c>
      <c r="C1033" s="2" t="s">
        <v>130</v>
      </c>
      <c r="D1033" s="17" t="s">
        <v>128</v>
      </c>
      <c r="E1033" s="17" t="s">
        <v>131</v>
      </c>
      <c r="G1033" s="12" t="s">
        <v>7</v>
      </c>
      <c r="I1033" s="37">
        <f>IFERROR(VLOOKUP(B1033,'TB '!$A:$G,7,),0)</f>
        <v>0</v>
      </c>
      <c r="J1033" s="37">
        <f>IFERROR(VLOOKUP($B1033,'TB '!$4:$1048576,MATCH('List of Ledgers '!J$4,'TB '!$4:$4,0),0),0)</f>
        <v>0</v>
      </c>
      <c r="K1033" s="37">
        <f>IFERROR(VLOOKUP($B1033,'TB '!$4:$1048576,MATCH('List of Ledgers '!K$4,'TB '!$4:$4,0),0),0)</f>
        <v>19517</v>
      </c>
      <c r="L1033" s="37">
        <f>IFERROR(VLOOKUP(B1033,'TB '!$A:$J,10,),0)</f>
        <v>-19517</v>
      </c>
      <c r="M1033" s="71"/>
      <c r="N1033" s="63">
        <f>IFERROR(VLOOKUP($B1033,'TB YTD'!$4:$1048576,MATCH('List of Ledgers '!N$4,'TB YTD'!$4:$4,0),0),0)</f>
        <v>0</v>
      </c>
      <c r="O1033" s="63">
        <f>IFERROR(VLOOKUP($B1033,'TB YTD'!$4:$1048576,MATCH('List of Ledgers '!O$4,'TB YTD'!$4:$4,0),0),0)</f>
        <v>0</v>
      </c>
      <c r="P1033" s="63">
        <f>IFERROR(VLOOKUP($B1033,'TB YTD'!$4:$1048576,MATCH('List of Ledgers '!P$4,'TB YTD'!$4:$4,0),0),0)</f>
        <v>19517</v>
      </c>
      <c r="Q1033" s="63">
        <f>IFERROR(VLOOKUP($B1033,'TB YTD'!$4:$1048576,MATCH('List of Ledgers '!Q$4,'TB YTD'!$4:$4,0),0),0)</f>
        <v>-19517</v>
      </c>
      <c r="R1033" s="63"/>
    </row>
    <row r="1034" spans="1:18" hidden="1" x14ac:dyDescent="0.25">
      <c r="A1034" s="165">
        <f t="shared" si="4"/>
        <v>956</v>
      </c>
      <c r="B1034" s="2" t="s">
        <v>1397</v>
      </c>
      <c r="C1034" s="2" t="s">
        <v>250</v>
      </c>
      <c r="D1034" s="17" t="s">
        <v>128</v>
      </c>
      <c r="E1034" s="17" t="s">
        <v>131</v>
      </c>
      <c r="G1034" s="17" t="s">
        <v>7</v>
      </c>
      <c r="I1034" s="37">
        <f>IFERROR(VLOOKUP(B1034,'TB '!$A:$G,7,),0)</f>
        <v>0</v>
      </c>
      <c r="J1034" s="37">
        <f>IFERROR(VLOOKUP($B1034,'TB '!$4:$1048576,MATCH('List of Ledgers '!J$4,'TB '!$4:$4,0),0),0)</f>
        <v>13351</v>
      </c>
      <c r="K1034" s="37">
        <f>IFERROR(VLOOKUP($B1034,'TB '!$4:$1048576,MATCH('List of Ledgers '!K$4,'TB '!$4:$4,0),0),0)</f>
        <v>13351</v>
      </c>
      <c r="L1034" s="37">
        <f>IFERROR(VLOOKUP(B1034,'TB '!$A:$J,10,),0)</f>
        <v>0</v>
      </c>
      <c r="M1034" s="71"/>
      <c r="N1034" s="63">
        <f>IFERROR(VLOOKUP($B1034,'TB YTD'!$4:$1048576,MATCH('List of Ledgers '!N$4,'TB YTD'!$4:$4,0),0),0)</f>
        <v>0</v>
      </c>
      <c r="O1034" s="63">
        <f>IFERROR(VLOOKUP($B1034,'TB YTD'!$4:$1048576,MATCH('List of Ledgers '!O$4,'TB YTD'!$4:$4,0),0),0)</f>
        <v>13351</v>
      </c>
      <c r="P1034" s="63">
        <f>IFERROR(VLOOKUP($B1034,'TB YTD'!$4:$1048576,MATCH('List of Ledgers '!P$4,'TB YTD'!$4:$4,0),0),0)</f>
        <v>13351</v>
      </c>
      <c r="Q1034" s="63">
        <f>IFERROR(VLOOKUP($B1034,'TB YTD'!$4:$1048576,MATCH('List of Ledgers '!Q$4,'TB YTD'!$4:$4,0),0),0)</f>
        <v>0</v>
      </c>
      <c r="R1034" s="63"/>
    </row>
  </sheetData>
  <autoFilter ref="A4:T1034" xr:uid="{00000000-0001-0000-0400-000000000000}">
    <filterColumn colId="5">
      <filters>
        <filter val="Port Expenses"/>
      </filters>
    </filterColumn>
    <filterColumn colId="6">
      <filters>
        <filter val="Spices - Vashi"/>
      </filters>
    </filterColumn>
  </autoFilter>
  <printOptions horizontalCentered="1" verticalCentered="1"/>
  <pageMargins left="0" right="0" top="0.74803149606299213" bottom="0.74803149606299213" header="0.31496062992125984" footer="0.31496062992125984"/>
  <pageSetup paperSize="9" scale="9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5"/>
  <sheetViews>
    <sheetView topLeftCell="A32" zoomScale="85" zoomScaleNormal="85" workbookViewId="0">
      <selection activeCell="A56" sqref="A56"/>
    </sheetView>
  </sheetViews>
  <sheetFormatPr defaultColWidth="9.42578125" defaultRowHeight="15" x14ac:dyDescent="0.25"/>
  <cols>
    <col min="1" max="1" width="17.7109375" style="2" bestFit="1" customWidth="1"/>
    <col min="2" max="2" width="21" style="15" bestFit="1" customWidth="1"/>
    <col min="3" max="3" width="18.28515625" style="15" bestFit="1" customWidth="1"/>
    <col min="4" max="4" width="19.140625" style="15" bestFit="1" customWidth="1"/>
    <col min="5" max="5" width="20.28515625" style="15" bestFit="1" customWidth="1"/>
    <col min="6" max="7" width="12.7109375" style="15" bestFit="1" customWidth="1"/>
    <col min="8" max="8" width="8.7109375" style="15" bestFit="1" customWidth="1"/>
    <col min="9" max="9" width="14.28515625" style="15" bestFit="1" customWidth="1"/>
    <col min="10" max="10" width="14.85546875" style="15" bestFit="1" customWidth="1"/>
    <col min="11" max="11" width="12.7109375" style="2" bestFit="1" customWidth="1"/>
    <col min="12" max="12" width="12.5703125" style="2" customWidth="1"/>
    <col min="13" max="16384" width="9.42578125" style="2"/>
  </cols>
  <sheetData>
    <row r="1" spans="1:12" ht="13.9" x14ac:dyDescent="0.25">
      <c r="A1" s="58" t="str">
        <f>'P&amp;L'!L5</f>
        <v>Mar'26</v>
      </c>
    </row>
    <row r="2" spans="1:12" ht="13.9" x14ac:dyDescent="0.25">
      <c r="A2" s="202" t="s">
        <v>110</v>
      </c>
      <c r="B2" s="204" t="s">
        <v>1096</v>
      </c>
    </row>
    <row r="4" spans="1:12" ht="14.45" x14ac:dyDescent="0.3">
      <c r="A4" s="202" t="s">
        <v>1097</v>
      </c>
      <c r="B4" s="203" t="s">
        <v>1098</v>
      </c>
      <c r="C4" s="204"/>
      <c r="D4" s="204"/>
      <c r="E4" s="204"/>
      <c r="F4" s="204"/>
      <c r="G4" s="204"/>
      <c r="H4" s="204"/>
      <c r="I4" s="204"/>
      <c r="J4" s="204"/>
      <c r="K4" s="204"/>
      <c r="L4"/>
    </row>
    <row r="5" spans="1:12" ht="14.45" x14ac:dyDescent="0.3">
      <c r="A5" s="205" t="s">
        <v>1099</v>
      </c>
      <c r="B5" s="206" t="s">
        <v>2</v>
      </c>
      <c r="C5" s="206" t="s">
        <v>3</v>
      </c>
      <c r="D5" s="206" t="s">
        <v>7</v>
      </c>
      <c r="E5" s="206" t="s">
        <v>11</v>
      </c>
      <c r="F5" s="206" t="s">
        <v>1100</v>
      </c>
      <c r="G5" s="206" t="s">
        <v>4</v>
      </c>
      <c r="H5" s="206" t="s">
        <v>5</v>
      </c>
      <c r="I5" s="206" t="s">
        <v>9</v>
      </c>
      <c r="J5" s="206" t="s">
        <v>8</v>
      </c>
      <c r="K5" s="206" t="s">
        <v>22</v>
      </c>
      <c r="L5"/>
    </row>
    <row r="6" spans="1:12" ht="14.45" x14ac:dyDescent="0.3">
      <c r="A6" s="207" t="s">
        <v>351</v>
      </c>
      <c r="B6" s="208">
        <v>0</v>
      </c>
      <c r="C6" s="208">
        <v>-28434.720000000001</v>
      </c>
      <c r="D6" s="208">
        <v>0</v>
      </c>
      <c r="E6" s="208"/>
      <c r="F6" s="208"/>
      <c r="G6" s="208">
        <v>0</v>
      </c>
      <c r="H6" s="208"/>
      <c r="I6" s="208">
        <v>-75012624.840000004</v>
      </c>
      <c r="J6" s="208"/>
      <c r="K6" s="208">
        <v>-75041059.560000002</v>
      </c>
      <c r="L6"/>
    </row>
    <row r="7" spans="1:12" ht="14.45" x14ac:dyDescent="0.3">
      <c r="A7" s="207" t="s">
        <v>272</v>
      </c>
      <c r="B7" s="208"/>
      <c r="C7" s="208"/>
      <c r="D7" s="208">
        <v>0</v>
      </c>
      <c r="E7" s="208">
        <v>0</v>
      </c>
      <c r="F7" s="208"/>
      <c r="G7" s="208">
        <v>-17000000</v>
      </c>
      <c r="H7" s="208"/>
      <c r="I7" s="208"/>
      <c r="J7" s="208">
        <v>-200000</v>
      </c>
      <c r="K7" s="208">
        <v>-17200000</v>
      </c>
      <c r="L7"/>
    </row>
    <row r="8" spans="1:12" ht="14.45" x14ac:dyDescent="0.3">
      <c r="A8" s="207" t="s">
        <v>362</v>
      </c>
      <c r="B8" s="208">
        <v>0</v>
      </c>
      <c r="C8" s="208">
        <v>28434.720000000001</v>
      </c>
      <c r="D8" s="208">
        <v>16540</v>
      </c>
      <c r="E8" s="208"/>
      <c r="F8" s="208"/>
      <c r="G8" s="208">
        <v>0</v>
      </c>
      <c r="H8" s="208"/>
      <c r="I8" s="208">
        <v>47910227.5</v>
      </c>
      <c r="J8" s="208"/>
      <c r="K8" s="208">
        <v>47955202.219999999</v>
      </c>
      <c r="L8"/>
    </row>
    <row r="9" spans="1:12" ht="14.45" x14ac:dyDescent="0.3">
      <c r="A9" s="207" t="s">
        <v>152</v>
      </c>
      <c r="B9" s="208">
        <v>0</v>
      </c>
      <c r="C9" s="208">
        <v>18401.57</v>
      </c>
      <c r="D9" s="208">
        <v>3160813.61</v>
      </c>
      <c r="E9" s="208">
        <v>0</v>
      </c>
      <c r="F9" s="208"/>
      <c r="G9" s="208">
        <v>123899.40000000001</v>
      </c>
      <c r="H9" s="208"/>
      <c r="I9" s="208">
        <v>1372299.0799999998</v>
      </c>
      <c r="J9" s="208">
        <v>1037123</v>
      </c>
      <c r="K9" s="208">
        <v>5712536.6599999992</v>
      </c>
      <c r="L9"/>
    </row>
    <row r="10" spans="1:12" ht="14.45" x14ac:dyDescent="0.3">
      <c r="A10" s="207" t="s">
        <v>131</v>
      </c>
      <c r="B10" s="208">
        <v>-23961</v>
      </c>
      <c r="C10" s="208">
        <v>90378</v>
      </c>
      <c r="D10" s="208">
        <v>398987.17</v>
      </c>
      <c r="E10" s="208"/>
      <c r="F10" s="208">
        <v>13176</v>
      </c>
      <c r="G10" s="208">
        <v>-570339</v>
      </c>
      <c r="H10" s="208"/>
      <c r="I10" s="208">
        <v>-5157720.7300000004</v>
      </c>
      <c r="J10" s="208"/>
      <c r="K10" s="208">
        <v>-5249479.5600000005</v>
      </c>
      <c r="L10"/>
    </row>
    <row r="11" spans="1:12" ht="14.45" x14ac:dyDescent="0.3">
      <c r="A11" s="207" t="s">
        <v>134</v>
      </c>
      <c r="B11" s="208">
        <v>-76286.880000000005</v>
      </c>
      <c r="C11" s="208">
        <v>-149317.59000000003</v>
      </c>
      <c r="D11" s="208">
        <v>0</v>
      </c>
      <c r="E11" s="208"/>
      <c r="F11" s="208"/>
      <c r="G11" s="208">
        <v>16543805.83</v>
      </c>
      <c r="H11" s="208"/>
      <c r="I11" s="208">
        <v>55524506.20000001</v>
      </c>
      <c r="J11" s="208"/>
      <c r="K11" s="208">
        <v>71842707.560000002</v>
      </c>
      <c r="L11"/>
    </row>
    <row r="12" spans="1:12" ht="14.45" x14ac:dyDescent="0.3">
      <c r="A12" s="209" t="s">
        <v>1100</v>
      </c>
      <c r="B12" s="208">
        <v>0</v>
      </c>
      <c r="C12" s="208"/>
      <c r="D12" s="208">
        <v>0</v>
      </c>
      <c r="E12" s="208">
        <v>-12484.11</v>
      </c>
      <c r="F12" s="208">
        <v>-60585017.790000007</v>
      </c>
      <c r="G12" s="208">
        <v>0</v>
      </c>
      <c r="H12" s="208"/>
      <c r="I12" s="208"/>
      <c r="J12" s="208"/>
      <c r="K12" s="208">
        <v>-60597501.900000006</v>
      </c>
      <c r="L12"/>
    </row>
    <row r="13" spans="1:12" ht="14.45" x14ac:dyDescent="0.3">
      <c r="A13" s="210" t="s">
        <v>1291</v>
      </c>
      <c r="B13" s="208">
        <v>0</v>
      </c>
      <c r="C13" s="208">
        <v>0</v>
      </c>
      <c r="D13" s="208">
        <v>18510</v>
      </c>
      <c r="E13" s="208"/>
      <c r="F13" s="208"/>
      <c r="G13" s="208">
        <v>79554.92</v>
      </c>
      <c r="H13" s="208">
        <v>0</v>
      </c>
      <c r="I13" s="208">
        <v>1684002.99</v>
      </c>
      <c r="J13" s="208"/>
      <c r="K13" s="208">
        <v>1782067.91</v>
      </c>
      <c r="L13"/>
    </row>
    <row r="14" spans="1:12" ht="14.45" x14ac:dyDescent="0.3">
      <c r="A14" s="207" t="s">
        <v>22</v>
      </c>
      <c r="B14" s="208">
        <v>-100247.88</v>
      </c>
      <c r="C14" s="208">
        <v>-40538.020000000019</v>
      </c>
      <c r="D14" s="208">
        <v>3594850.78</v>
      </c>
      <c r="E14" s="208">
        <v>-12484.11</v>
      </c>
      <c r="F14" s="208">
        <v>-60571841.790000007</v>
      </c>
      <c r="G14" s="208">
        <v>-823078.85000000137</v>
      </c>
      <c r="H14" s="208">
        <v>0</v>
      </c>
      <c r="I14" s="208">
        <v>26320690.200000003</v>
      </c>
      <c r="J14" s="208">
        <v>837123</v>
      </c>
      <c r="K14" s="208">
        <v>-30795526.670000013</v>
      </c>
      <c r="L14"/>
    </row>
    <row r="15" spans="1:12" ht="13.9" x14ac:dyDescent="0.25">
      <c r="A15" s="1" t="str">
        <f>'P&amp;L'!N5</f>
        <v>(April to Mar)</v>
      </c>
    </row>
    <row r="16" spans="1:12" ht="13.9" x14ac:dyDescent="0.25">
      <c r="A16" s="202" t="s">
        <v>110</v>
      </c>
      <c r="B16" s="204" t="s">
        <v>1096</v>
      </c>
    </row>
    <row r="18" spans="1:12" s="72" customFormat="1" ht="14.45" x14ac:dyDescent="0.3">
      <c r="A18" s="213" t="s">
        <v>1101</v>
      </c>
      <c r="B18" s="214" t="s">
        <v>1098</v>
      </c>
      <c r="C18" s="215"/>
      <c r="D18" s="215"/>
      <c r="E18" s="215"/>
      <c r="F18" s="215"/>
      <c r="G18" s="215"/>
      <c r="H18" s="215"/>
      <c r="I18" s="215"/>
      <c r="J18" s="215"/>
      <c r="K18" s="215"/>
      <c r="L18"/>
    </row>
    <row r="19" spans="1:12" s="73" customFormat="1" ht="14.45" x14ac:dyDescent="0.3">
      <c r="A19" s="216" t="s">
        <v>1099</v>
      </c>
      <c r="B19" s="217" t="s">
        <v>2</v>
      </c>
      <c r="C19" s="217" t="s">
        <v>3</v>
      </c>
      <c r="D19" s="217" t="s">
        <v>7</v>
      </c>
      <c r="E19" s="217" t="s">
        <v>11</v>
      </c>
      <c r="F19" s="217" t="s">
        <v>1100</v>
      </c>
      <c r="G19" s="217" t="s">
        <v>4</v>
      </c>
      <c r="H19" s="217" t="s">
        <v>5</v>
      </c>
      <c r="I19" s="217" t="s">
        <v>9</v>
      </c>
      <c r="J19" s="217" t="s">
        <v>8</v>
      </c>
      <c r="K19" s="217" t="s">
        <v>22</v>
      </c>
      <c r="L19"/>
    </row>
    <row r="20" spans="1:12" s="15" customFormat="1" ht="14.45" x14ac:dyDescent="0.3">
      <c r="A20" s="212" t="s">
        <v>351</v>
      </c>
      <c r="B20" s="208">
        <v>-1770750.32</v>
      </c>
      <c r="C20" s="208">
        <v>-837740.01</v>
      </c>
      <c r="D20" s="208">
        <v>0</v>
      </c>
      <c r="E20" s="208"/>
      <c r="F20" s="208"/>
      <c r="G20" s="208">
        <v>-105815329.29000001</v>
      </c>
      <c r="H20" s="208"/>
      <c r="I20" s="208">
        <v>-121016048.17999999</v>
      </c>
      <c r="J20" s="208"/>
      <c r="K20" s="208">
        <v>-229439867.80000001</v>
      </c>
      <c r="L20"/>
    </row>
    <row r="21" spans="1:12" s="15" customFormat="1" ht="14.45" x14ac:dyDescent="0.3">
      <c r="A21" s="212" t="s">
        <v>272</v>
      </c>
      <c r="B21" s="208"/>
      <c r="C21" s="208"/>
      <c r="D21" s="208">
        <v>-691117.44</v>
      </c>
      <c r="E21" s="208">
        <v>211354.19999999995</v>
      </c>
      <c r="F21" s="208"/>
      <c r="G21" s="208">
        <v>-17548744.239999998</v>
      </c>
      <c r="H21" s="208"/>
      <c r="I21" s="208"/>
      <c r="J21" s="208">
        <v>-200000</v>
      </c>
      <c r="K21" s="208">
        <v>-18228507.479999997</v>
      </c>
      <c r="L21"/>
    </row>
    <row r="22" spans="1:12" s="15" customFormat="1" ht="14.45" x14ac:dyDescent="0.3">
      <c r="A22" s="212" t="s">
        <v>362</v>
      </c>
      <c r="B22" s="208">
        <v>326142</v>
      </c>
      <c r="C22" s="208">
        <v>275057.52</v>
      </c>
      <c r="D22" s="208">
        <v>17570</v>
      </c>
      <c r="E22" s="208"/>
      <c r="F22" s="208"/>
      <c r="G22" s="208">
        <v>87535550.280000001</v>
      </c>
      <c r="H22" s="208"/>
      <c r="I22" s="208">
        <v>116243648.33</v>
      </c>
      <c r="J22" s="208"/>
      <c r="K22" s="208">
        <v>204397968.13</v>
      </c>
      <c r="L22"/>
    </row>
    <row r="23" spans="1:12" s="15" customFormat="1" ht="14.45" x14ac:dyDescent="0.3">
      <c r="A23" s="212" t="s">
        <v>152</v>
      </c>
      <c r="B23" s="208">
        <v>20850</v>
      </c>
      <c r="C23" s="208">
        <v>98226.57</v>
      </c>
      <c r="D23" s="208">
        <v>9641656.2899999991</v>
      </c>
      <c r="E23" s="208">
        <v>460.59</v>
      </c>
      <c r="F23" s="208"/>
      <c r="G23" s="208">
        <v>3051552.71</v>
      </c>
      <c r="H23" s="208"/>
      <c r="I23" s="208">
        <v>3779085.65</v>
      </c>
      <c r="J23" s="208">
        <v>6733716.4000000004</v>
      </c>
      <c r="K23" s="208">
        <v>23325548.210000001</v>
      </c>
      <c r="L23"/>
    </row>
    <row r="24" spans="1:12" s="15" customFormat="1" ht="14.45" x14ac:dyDescent="0.3">
      <c r="A24" s="212" t="s">
        <v>131</v>
      </c>
      <c r="B24" s="208">
        <v>-23961</v>
      </c>
      <c r="C24" s="208">
        <v>90378</v>
      </c>
      <c r="D24" s="208">
        <v>398987.17</v>
      </c>
      <c r="E24" s="208"/>
      <c r="F24" s="208">
        <v>13176</v>
      </c>
      <c r="G24" s="208">
        <v>-570339</v>
      </c>
      <c r="H24" s="208"/>
      <c r="I24" s="208">
        <v>-5157720.7300000004</v>
      </c>
      <c r="J24" s="208"/>
      <c r="K24" s="208">
        <v>-5249479.5600000005</v>
      </c>
      <c r="L24"/>
    </row>
    <row r="25" spans="1:12" s="15" customFormat="1" ht="14.45" x14ac:dyDescent="0.3">
      <c r="A25" s="212" t="s">
        <v>134</v>
      </c>
      <c r="B25" s="208">
        <v>-76286.880000000005</v>
      </c>
      <c r="C25" s="208">
        <v>-149317.59000000003</v>
      </c>
      <c r="D25" s="208">
        <v>0</v>
      </c>
      <c r="E25" s="208"/>
      <c r="F25" s="208"/>
      <c r="G25" s="208">
        <v>16543805.83</v>
      </c>
      <c r="H25" s="208"/>
      <c r="I25" s="208">
        <v>55524506.20000001</v>
      </c>
      <c r="J25" s="208"/>
      <c r="K25" s="208">
        <v>71842707.560000002</v>
      </c>
      <c r="L25"/>
    </row>
    <row r="26" spans="1:12" s="15" customFormat="1" ht="14.45" x14ac:dyDescent="0.3">
      <c r="A26" s="209" t="s">
        <v>1100</v>
      </c>
      <c r="B26" s="208">
        <v>0</v>
      </c>
      <c r="C26" s="208"/>
      <c r="D26" s="208">
        <v>0</v>
      </c>
      <c r="E26" s="208">
        <v>-12484.11</v>
      </c>
      <c r="F26" s="208">
        <v>-71652804.890000001</v>
      </c>
      <c r="G26" s="208">
        <v>0</v>
      </c>
      <c r="H26" s="208"/>
      <c r="I26" s="208"/>
      <c r="J26" s="208"/>
      <c r="K26" s="208">
        <v>-71665289</v>
      </c>
      <c r="L26"/>
    </row>
    <row r="27" spans="1:12" ht="14.45" x14ac:dyDescent="0.3">
      <c r="A27" s="210" t="s">
        <v>1291</v>
      </c>
      <c r="B27" s="208">
        <v>0</v>
      </c>
      <c r="C27" s="208">
        <v>0</v>
      </c>
      <c r="D27" s="208">
        <v>60190</v>
      </c>
      <c r="E27" s="208"/>
      <c r="F27" s="208"/>
      <c r="G27" s="208">
        <v>621733.82000000007</v>
      </c>
      <c r="H27" s="208">
        <v>0</v>
      </c>
      <c r="I27" s="208">
        <v>3182401.93</v>
      </c>
      <c r="J27" s="208"/>
      <c r="K27" s="208">
        <v>3864325.75</v>
      </c>
      <c r="L27"/>
    </row>
    <row r="28" spans="1:12" ht="13.9" x14ac:dyDescent="0.25">
      <c r="A28" s="212" t="s">
        <v>22</v>
      </c>
      <c r="B28" s="208">
        <v>-1524006.2000000002</v>
      </c>
      <c r="C28" s="208">
        <v>-523395.51</v>
      </c>
      <c r="D28" s="208">
        <v>9427286.0199999996</v>
      </c>
      <c r="E28" s="208">
        <v>199330.67999999993</v>
      </c>
      <c r="F28" s="208">
        <v>-71639628.890000001</v>
      </c>
      <c r="G28" s="208">
        <v>-16181769.890000001</v>
      </c>
      <c r="H28" s="208">
        <v>0</v>
      </c>
      <c r="I28" s="208">
        <v>52555873.200000018</v>
      </c>
      <c r="J28" s="208">
        <v>6533716.4000000004</v>
      </c>
      <c r="K28" s="208">
        <v>-21152594.190000005</v>
      </c>
    </row>
    <row r="30" spans="1:12" ht="13.9" x14ac:dyDescent="0.25">
      <c r="A30" s="211" t="s">
        <v>134</v>
      </c>
      <c r="B30" s="218" t="s">
        <v>1102</v>
      </c>
      <c r="C30" s="218" t="s">
        <v>1103</v>
      </c>
      <c r="D30" s="218" t="s">
        <v>1104</v>
      </c>
      <c r="E30" s="218" t="s">
        <v>1097</v>
      </c>
    </row>
    <row r="31" spans="1:12" ht="13.9" x14ac:dyDescent="0.25">
      <c r="A31" s="207" t="s">
        <v>2</v>
      </c>
      <c r="B31" s="208">
        <v>-76286.880000000005</v>
      </c>
      <c r="C31" s="208">
        <v>0</v>
      </c>
      <c r="D31" s="208">
        <v>0</v>
      </c>
      <c r="E31" s="208">
        <v>-76286.880000000005</v>
      </c>
    </row>
    <row r="32" spans="1:12" ht="13.9" x14ac:dyDescent="0.25">
      <c r="A32" s="207" t="s">
        <v>3</v>
      </c>
      <c r="B32" s="208">
        <v>-123082.59000000001</v>
      </c>
      <c r="C32" s="208">
        <v>38553</v>
      </c>
      <c r="D32" s="208">
        <v>64788</v>
      </c>
      <c r="E32" s="208">
        <v>-149317.59000000003</v>
      </c>
    </row>
    <row r="33" spans="1:5" ht="13.9" x14ac:dyDescent="0.25">
      <c r="A33" s="207" t="s">
        <v>82</v>
      </c>
      <c r="B33" s="208">
        <v>0</v>
      </c>
      <c r="C33" s="208">
        <v>0</v>
      </c>
      <c r="D33" s="208">
        <v>0</v>
      </c>
      <c r="E33" s="208">
        <v>0</v>
      </c>
    </row>
    <row r="34" spans="1:5" ht="13.9" x14ac:dyDescent="0.25">
      <c r="A34" s="207" t="s">
        <v>7</v>
      </c>
      <c r="B34" s="208">
        <v>0</v>
      </c>
      <c r="C34" s="208">
        <v>24190000</v>
      </c>
      <c r="D34" s="208">
        <v>24190000</v>
      </c>
      <c r="E34" s="208">
        <v>0</v>
      </c>
    </row>
    <row r="35" spans="1:5" ht="13.9" x14ac:dyDescent="0.25">
      <c r="A35" s="207" t="s">
        <v>4</v>
      </c>
      <c r="B35" s="208">
        <v>38958814</v>
      </c>
      <c r="C35" s="208">
        <v>18446903</v>
      </c>
      <c r="D35" s="208">
        <v>40861911.170000002</v>
      </c>
      <c r="E35" s="208">
        <v>16543805.83</v>
      </c>
    </row>
    <row r="36" spans="1:5" ht="13.9" x14ac:dyDescent="0.25">
      <c r="A36" s="207" t="s">
        <v>9</v>
      </c>
      <c r="B36" s="208">
        <v>17225917.119999997</v>
      </c>
      <c r="C36" s="208">
        <v>58878405</v>
      </c>
      <c r="D36" s="208">
        <v>20579815.919999998</v>
      </c>
      <c r="E36" s="208">
        <v>55524506.20000001</v>
      </c>
    </row>
    <row r="37" spans="1:5" ht="13.9" x14ac:dyDescent="0.25">
      <c r="A37" s="207" t="s">
        <v>22</v>
      </c>
      <c r="B37" s="208">
        <v>55985361.649999999</v>
      </c>
      <c r="C37" s="208">
        <v>101553861</v>
      </c>
      <c r="D37" s="208">
        <v>85696515.090000004</v>
      </c>
      <c r="E37" s="208">
        <v>71842707.560000002</v>
      </c>
    </row>
    <row r="39" spans="1:5" ht="13.9" x14ac:dyDescent="0.25">
      <c r="A39" s="211" t="s">
        <v>134</v>
      </c>
      <c r="B39" s="208" t="s">
        <v>1105</v>
      </c>
      <c r="C39" s="208" t="s">
        <v>1106</v>
      </c>
      <c r="D39" s="208" t="s">
        <v>1107</v>
      </c>
      <c r="E39" s="208" t="s">
        <v>1101</v>
      </c>
    </row>
    <row r="40" spans="1:5" ht="13.9" x14ac:dyDescent="0.25">
      <c r="A40" s="207" t="s">
        <v>2</v>
      </c>
      <c r="B40" s="208">
        <v>5361378.76</v>
      </c>
      <c r="C40" s="208">
        <v>10726884</v>
      </c>
      <c r="D40" s="208">
        <v>16164549.640000001</v>
      </c>
      <c r="E40" s="208">
        <v>-76286.880000000005</v>
      </c>
    </row>
    <row r="41" spans="1:5" ht="13.9" x14ac:dyDescent="0.25">
      <c r="A41" s="207" t="s">
        <v>3</v>
      </c>
      <c r="B41" s="208">
        <v>132920.87</v>
      </c>
      <c r="C41" s="208">
        <v>1188550</v>
      </c>
      <c r="D41" s="208">
        <v>1470788.46</v>
      </c>
      <c r="E41" s="208">
        <v>-149317.59000000003</v>
      </c>
    </row>
    <row r="42" spans="1:5" ht="13.9" x14ac:dyDescent="0.25">
      <c r="A42" s="207" t="s">
        <v>82</v>
      </c>
      <c r="B42" s="208">
        <v>0</v>
      </c>
      <c r="C42" s="208">
        <v>147986.76</v>
      </c>
      <c r="D42" s="208">
        <v>147986.76</v>
      </c>
      <c r="E42" s="208">
        <v>0</v>
      </c>
    </row>
    <row r="43" spans="1:5" ht="13.9" x14ac:dyDescent="0.25">
      <c r="A43" s="207" t="s">
        <v>7</v>
      </c>
      <c r="B43" s="208">
        <v>237010</v>
      </c>
      <c r="C43" s="208">
        <v>24845048</v>
      </c>
      <c r="D43" s="208">
        <v>25082058</v>
      </c>
      <c r="E43" s="208">
        <v>0</v>
      </c>
    </row>
    <row r="44" spans="1:5" ht="13.9" x14ac:dyDescent="0.25">
      <c r="A44" s="207" t="s">
        <v>4</v>
      </c>
      <c r="B44" s="208">
        <v>0</v>
      </c>
      <c r="C44" s="208">
        <v>129965615.78</v>
      </c>
      <c r="D44" s="208">
        <v>113421809.95000002</v>
      </c>
      <c r="E44" s="208">
        <v>16543805.83</v>
      </c>
    </row>
    <row r="45" spans="1:5" ht="13.9" x14ac:dyDescent="0.25">
      <c r="A45" s="207" t="s">
        <v>9</v>
      </c>
      <c r="B45" s="208">
        <v>0</v>
      </c>
      <c r="C45" s="208">
        <v>107368065.38</v>
      </c>
      <c r="D45" s="208">
        <v>51843559.179999985</v>
      </c>
      <c r="E45" s="208">
        <v>55524506.20000001</v>
      </c>
    </row>
    <row r="46" spans="1:5" ht="13.9" x14ac:dyDescent="0.25">
      <c r="A46" s="207" t="s">
        <v>22</v>
      </c>
      <c r="B46" s="208">
        <v>5731309.6299999999</v>
      </c>
      <c r="C46" s="208">
        <v>274242149.91999996</v>
      </c>
      <c r="D46" s="208">
        <v>208130751.98999998</v>
      </c>
      <c r="E46" s="208">
        <v>71842707.560000002</v>
      </c>
    </row>
    <row r="48" spans="1:5" ht="13.9" x14ac:dyDescent="0.25">
      <c r="A48" s="211" t="s">
        <v>131</v>
      </c>
      <c r="B48" s="208" t="s">
        <v>1102</v>
      </c>
      <c r="C48" s="208" t="s">
        <v>1103</v>
      </c>
      <c r="D48" s="208" t="s">
        <v>1104</v>
      </c>
      <c r="E48" s="208" t="s">
        <v>1097</v>
      </c>
    </row>
    <row r="49" spans="1:5" ht="13.9" x14ac:dyDescent="0.25">
      <c r="A49" s="207" t="s">
        <v>2</v>
      </c>
      <c r="B49" s="208">
        <v>-23961</v>
      </c>
      <c r="C49" s="208">
        <v>0</v>
      </c>
      <c r="D49" s="208">
        <v>0</v>
      </c>
      <c r="E49" s="208">
        <v>-23961</v>
      </c>
    </row>
    <row r="50" spans="1:5" ht="13.9" x14ac:dyDescent="0.25">
      <c r="A50" s="207" t="s">
        <v>3</v>
      </c>
      <c r="B50" s="208">
        <v>90378</v>
      </c>
      <c r="C50" s="208">
        <v>0</v>
      </c>
      <c r="D50" s="208">
        <v>0</v>
      </c>
      <c r="E50" s="208">
        <v>90378</v>
      </c>
    </row>
    <row r="51" spans="1:5" ht="13.9" x14ac:dyDescent="0.25">
      <c r="A51" s="207" t="s">
        <v>7</v>
      </c>
      <c r="B51" s="208">
        <v>472714.2</v>
      </c>
      <c r="C51" s="208">
        <v>4742892.22</v>
      </c>
      <c r="D51" s="208">
        <v>4816619.25</v>
      </c>
      <c r="E51" s="208">
        <v>398987.17</v>
      </c>
    </row>
    <row r="52" spans="1:5" ht="13.9" x14ac:dyDescent="0.25">
      <c r="A52" s="207" t="s">
        <v>4</v>
      </c>
      <c r="B52" s="208">
        <v>-285560</v>
      </c>
      <c r="C52" s="208">
        <v>1975347.85</v>
      </c>
      <c r="D52" s="208">
        <v>2260126.85</v>
      </c>
      <c r="E52" s="208">
        <v>-570339</v>
      </c>
    </row>
    <row r="53" spans="1:5" ht="13.9" x14ac:dyDescent="0.25">
      <c r="A53" s="207" t="s">
        <v>9</v>
      </c>
      <c r="B53" s="208">
        <v>-7457070.6799999997</v>
      </c>
      <c r="C53" s="208">
        <v>52239220.5</v>
      </c>
      <c r="D53" s="208">
        <v>49939870.549999997</v>
      </c>
      <c r="E53" s="208">
        <v>-5157720.7300000004</v>
      </c>
    </row>
    <row r="54" spans="1:5" ht="13.9" x14ac:dyDescent="0.25">
      <c r="A54" s="207" t="s">
        <v>22</v>
      </c>
      <c r="B54" s="208">
        <v>-7203499.4799999995</v>
      </c>
      <c r="C54" s="208">
        <v>58957460.57</v>
      </c>
      <c r="D54" s="208">
        <v>57016616.649999999</v>
      </c>
      <c r="E54" s="208">
        <v>-5262655.5600000005</v>
      </c>
    </row>
    <row r="55" spans="1:5" ht="14.45" x14ac:dyDescent="0.3">
      <c r="A55"/>
      <c r="B55"/>
      <c r="C55"/>
      <c r="D55"/>
      <c r="E55"/>
    </row>
    <row r="56" spans="1:5" ht="13.9" x14ac:dyDescent="0.25">
      <c r="A56" s="211" t="s">
        <v>131</v>
      </c>
      <c r="B56" s="208" t="s">
        <v>1105</v>
      </c>
      <c r="C56" s="208" t="s">
        <v>1106</v>
      </c>
      <c r="D56" s="208" t="s">
        <v>1107</v>
      </c>
      <c r="E56" s="208" t="s">
        <v>1101</v>
      </c>
    </row>
    <row r="57" spans="1:5" ht="13.9" x14ac:dyDescent="0.25">
      <c r="A57" s="207" t="s">
        <v>2</v>
      </c>
      <c r="B57" s="208">
        <v>-591235.19999999995</v>
      </c>
      <c r="C57" s="208">
        <v>1048133.2</v>
      </c>
      <c r="D57" s="208">
        <v>480859</v>
      </c>
      <c r="E57" s="208">
        <v>-23961</v>
      </c>
    </row>
    <row r="58" spans="1:5" ht="13.9" x14ac:dyDescent="0.25">
      <c r="A58" s="207" t="s">
        <v>3</v>
      </c>
      <c r="B58" s="208">
        <v>88254</v>
      </c>
      <c r="C58" s="208">
        <v>31624</v>
      </c>
      <c r="D58" s="208">
        <v>29500</v>
      </c>
      <c r="E58" s="208">
        <v>90378</v>
      </c>
    </row>
    <row r="59" spans="1:5" ht="13.9" x14ac:dyDescent="0.25">
      <c r="A59" s="207" t="s">
        <v>7</v>
      </c>
      <c r="B59" s="208">
        <v>-173305.92000000004</v>
      </c>
      <c r="C59" s="208">
        <v>17455615.690000001</v>
      </c>
      <c r="D59" s="208">
        <v>16883322.600000001</v>
      </c>
      <c r="E59" s="208">
        <v>398987.17</v>
      </c>
    </row>
    <row r="60" spans="1:5" ht="13.9" x14ac:dyDescent="0.25">
      <c r="A60" s="207" t="s">
        <v>4</v>
      </c>
      <c r="B60" s="208">
        <v>-32600</v>
      </c>
      <c r="C60" s="208">
        <v>129097111.83</v>
      </c>
      <c r="D60" s="208">
        <v>129634850.83</v>
      </c>
      <c r="E60" s="208">
        <v>-570339</v>
      </c>
    </row>
    <row r="61" spans="1:5" x14ac:dyDescent="0.25">
      <c r="A61" s="207" t="s">
        <v>9</v>
      </c>
      <c r="B61" s="208">
        <v>0</v>
      </c>
      <c r="C61" s="208">
        <v>118493142.5</v>
      </c>
      <c r="D61" s="208">
        <v>123650863.22999999</v>
      </c>
      <c r="E61" s="208">
        <v>-5157720.7300000004</v>
      </c>
    </row>
    <row r="62" spans="1:5" x14ac:dyDescent="0.25">
      <c r="A62" s="207" t="s">
        <v>22</v>
      </c>
      <c r="B62" s="208">
        <v>-708887.12</v>
      </c>
      <c r="C62" s="208">
        <v>266125627.22</v>
      </c>
      <c r="D62" s="208">
        <v>270679395.65999997</v>
      </c>
      <c r="E62" s="208">
        <v>-5262655.5600000005</v>
      </c>
    </row>
    <row r="63" spans="1:5" x14ac:dyDescent="0.25">
      <c r="A63"/>
      <c r="B63"/>
      <c r="C63"/>
      <c r="D63"/>
      <c r="E63"/>
    </row>
    <row r="64" spans="1: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81"/>
  <sheetViews>
    <sheetView topLeftCell="A3" zoomScaleNormal="100" workbookViewId="0">
      <pane ySplit="2" topLeftCell="A250" activePane="bottomLeft" state="frozen"/>
      <selection activeCell="A3" sqref="A3"/>
      <selection pane="bottomLeft" activeCell="A259" sqref="A259"/>
    </sheetView>
  </sheetViews>
  <sheetFormatPr defaultColWidth="9.42578125" defaultRowHeight="15" x14ac:dyDescent="0.25"/>
  <cols>
    <col min="1" max="1" width="47.5703125" style="2" bestFit="1" customWidth="1"/>
    <col min="2" max="2" width="15.42578125" style="2" bestFit="1" customWidth="1"/>
    <col min="3" max="3" width="16.5703125" style="64" bestFit="1" customWidth="1"/>
    <col min="4" max="4" width="16.5703125" style="7" bestFit="1" customWidth="1"/>
    <col min="5" max="5" width="15.5703125" style="2" bestFit="1" customWidth="1"/>
    <col min="6" max="6" width="9.42578125" style="2"/>
    <col min="7" max="7" width="15.5703125" style="18" bestFit="1" customWidth="1"/>
    <col min="8" max="8" width="16.5703125" style="65" bestFit="1" customWidth="1"/>
    <col min="9" max="9" width="16.5703125" style="18" bestFit="1" customWidth="1"/>
    <col min="10" max="10" width="16" style="18" bestFit="1" customWidth="1"/>
    <col min="11" max="11" width="15.42578125" style="18" bestFit="1" customWidth="1"/>
    <col min="12" max="16384" width="9.42578125" style="2"/>
  </cols>
  <sheetData>
    <row r="1" spans="1:11" x14ac:dyDescent="0.25">
      <c r="A1" s="3" t="s">
        <v>1108</v>
      </c>
      <c r="B1" s="3"/>
      <c r="C1" s="3"/>
      <c r="D1" s="28"/>
      <c r="E1" s="23"/>
      <c r="G1" s="20">
        <v>-1</v>
      </c>
      <c r="H1" s="20">
        <v>1</v>
      </c>
      <c r="I1" s="46"/>
      <c r="J1" s="46"/>
      <c r="K1" s="41"/>
    </row>
    <row r="2" spans="1:11" x14ac:dyDescent="0.25">
      <c r="A2" s="60" t="str">
        <f>'P&amp;L'!L5</f>
        <v>Mar'26</v>
      </c>
      <c r="B2" s="8"/>
      <c r="C2" s="8"/>
      <c r="D2" s="28"/>
      <c r="E2" s="23"/>
      <c r="G2" s="46"/>
      <c r="H2" s="46"/>
      <c r="I2" s="46"/>
      <c r="J2" s="46"/>
      <c r="K2" s="41"/>
    </row>
    <row r="3" spans="1:11" x14ac:dyDescent="0.25">
      <c r="A3" s="8"/>
      <c r="B3" s="8"/>
      <c r="C3" s="20"/>
      <c r="D3" s="28"/>
      <c r="E3" s="23"/>
      <c r="G3" s="46">
        <f>SUBTOTAL(9,G5:G480)</f>
        <v>-2.3959728423506021E-8</v>
      </c>
      <c r="H3" s="46">
        <f t="shared" ref="H3:J3" si="0">SUBTOTAL(9,H5:H480)</f>
        <v>342790548.16999996</v>
      </c>
      <c r="I3" s="46">
        <f t="shared" si="0"/>
        <v>342790548.17000008</v>
      </c>
      <c r="J3" s="46">
        <f t="shared" si="0"/>
        <v>-9.4369170255959034E-9</v>
      </c>
      <c r="K3" s="41"/>
    </row>
    <row r="4" spans="1:11" s="1" customFormat="1" ht="14.25" x14ac:dyDescent="0.2">
      <c r="A4" s="14" t="s">
        <v>26</v>
      </c>
      <c r="B4" s="10" t="s">
        <v>113</v>
      </c>
      <c r="C4" s="21" t="s">
        <v>1109</v>
      </c>
      <c r="D4" s="29" t="s">
        <v>1110</v>
      </c>
      <c r="E4" s="10" t="s">
        <v>1111</v>
      </c>
      <c r="G4" s="48" t="s">
        <v>114</v>
      </c>
      <c r="H4" s="48" t="s">
        <v>115</v>
      </c>
      <c r="I4" s="48" t="s">
        <v>116</v>
      </c>
      <c r="J4" s="48" t="s">
        <v>117</v>
      </c>
      <c r="K4" s="31"/>
    </row>
    <row r="5" spans="1:11" customFormat="1" x14ac:dyDescent="0.25">
      <c r="A5" s="107" t="s">
        <v>84</v>
      </c>
      <c r="B5" s="157">
        <v>31919796.670000002</v>
      </c>
      <c r="C5" s="108"/>
      <c r="D5" s="108"/>
      <c r="E5" s="157">
        <v>31919796.670000002</v>
      </c>
      <c r="F5" s="107"/>
      <c r="G5" s="20">
        <v>31919796.670000002</v>
      </c>
      <c r="H5" s="108"/>
      <c r="I5" s="108"/>
      <c r="J5" s="20">
        <v>31919796.670000002</v>
      </c>
    </row>
    <row r="6" spans="1:11" customFormat="1" x14ac:dyDescent="0.25">
      <c r="A6" s="189" t="s">
        <v>1335</v>
      </c>
      <c r="B6" s="158">
        <v>1124270</v>
      </c>
      <c r="C6" s="108"/>
      <c r="D6" s="108"/>
      <c r="E6" s="158">
        <v>1124270</v>
      </c>
      <c r="F6" s="189"/>
      <c r="G6" s="20">
        <v>-1124270</v>
      </c>
      <c r="H6" s="108"/>
      <c r="I6" s="108"/>
      <c r="J6" s="20">
        <v>-1124270</v>
      </c>
    </row>
    <row r="7" spans="1:11" customFormat="1" x14ac:dyDescent="0.25">
      <c r="A7" s="107" t="s">
        <v>1344</v>
      </c>
      <c r="B7" s="110"/>
      <c r="C7" s="109">
        <v>35400</v>
      </c>
      <c r="D7" s="109">
        <v>35400</v>
      </c>
      <c r="E7" s="110"/>
      <c r="F7" s="107"/>
      <c r="G7" s="110"/>
      <c r="H7" s="109">
        <v>35400</v>
      </c>
      <c r="I7" s="109">
        <v>35400</v>
      </c>
      <c r="J7" s="110"/>
    </row>
    <row r="8" spans="1:11" customFormat="1" x14ac:dyDescent="0.25">
      <c r="A8" s="107" t="s">
        <v>123</v>
      </c>
      <c r="B8" s="157">
        <v>130956.83</v>
      </c>
      <c r="C8" s="108"/>
      <c r="D8" s="108"/>
      <c r="E8" s="157">
        <v>130956.83</v>
      </c>
      <c r="F8" s="107"/>
      <c r="G8" s="20">
        <v>130956.83</v>
      </c>
      <c r="H8" s="108"/>
      <c r="I8" s="108"/>
      <c r="J8" s="20">
        <v>130956.83</v>
      </c>
    </row>
    <row r="9" spans="1:11" customFormat="1" x14ac:dyDescent="0.25">
      <c r="A9" s="107" t="s">
        <v>125</v>
      </c>
      <c r="B9" s="157">
        <v>171401.27</v>
      </c>
      <c r="C9" s="108"/>
      <c r="D9" s="108"/>
      <c r="E9" s="157">
        <v>171401.27</v>
      </c>
      <c r="F9" s="107"/>
      <c r="G9" s="20">
        <v>171401.27</v>
      </c>
      <c r="H9" s="108"/>
      <c r="I9" s="108"/>
      <c r="J9" s="20">
        <v>171401.27</v>
      </c>
    </row>
    <row r="10" spans="1:11" customFormat="1" x14ac:dyDescent="0.25">
      <c r="A10" s="107" t="s">
        <v>137</v>
      </c>
      <c r="B10" s="157">
        <v>79762.52</v>
      </c>
      <c r="C10" s="108"/>
      <c r="D10" s="108"/>
      <c r="E10" s="157">
        <v>79762.52</v>
      </c>
      <c r="F10" s="107"/>
      <c r="G10" s="20">
        <v>79762.52</v>
      </c>
      <c r="H10" s="108"/>
      <c r="I10" s="108"/>
      <c r="J10" s="20">
        <v>79762.52</v>
      </c>
    </row>
    <row r="11" spans="1:11" customFormat="1" x14ac:dyDescent="0.25">
      <c r="A11" s="107" t="s">
        <v>139</v>
      </c>
      <c r="B11" s="158">
        <v>2950</v>
      </c>
      <c r="C11" s="109">
        <v>2950</v>
      </c>
      <c r="D11" s="108"/>
      <c r="E11" s="110"/>
      <c r="F11" s="107"/>
      <c r="G11" s="20">
        <v>-2950</v>
      </c>
      <c r="H11" s="109">
        <v>2950</v>
      </c>
      <c r="I11" s="108"/>
      <c r="J11" s="110"/>
    </row>
    <row r="12" spans="1:11" customFormat="1" x14ac:dyDescent="0.25">
      <c r="A12" s="107" t="s">
        <v>147</v>
      </c>
      <c r="B12" s="157">
        <v>200000</v>
      </c>
      <c r="C12" s="108"/>
      <c r="D12" s="108"/>
      <c r="E12" s="157">
        <v>200000</v>
      </c>
      <c r="F12" s="107"/>
      <c r="G12" s="20">
        <v>200000</v>
      </c>
      <c r="H12" s="108"/>
      <c r="I12" s="108"/>
      <c r="J12" s="20">
        <v>200000</v>
      </c>
    </row>
    <row r="13" spans="1:11" customFormat="1" x14ac:dyDescent="0.25">
      <c r="A13" s="107" t="s">
        <v>148</v>
      </c>
      <c r="B13" s="157">
        <v>139000</v>
      </c>
      <c r="C13" s="108"/>
      <c r="D13" s="108"/>
      <c r="E13" s="157">
        <v>139000</v>
      </c>
      <c r="F13" s="107"/>
      <c r="G13" s="20">
        <v>139000</v>
      </c>
      <c r="H13" s="108"/>
      <c r="I13" s="108"/>
      <c r="J13" s="20">
        <v>139000</v>
      </c>
    </row>
    <row r="14" spans="1:11" customFormat="1" x14ac:dyDescent="0.25">
      <c r="A14" s="107" t="s">
        <v>145</v>
      </c>
      <c r="B14" s="157">
        <v>70000</v>
      </c>
      <c r="C14" s="108"/>
      <c r="D14" s="108"/>
      <c r="E14" s="157">
        <v>70000</v>
      </c>
      <c r="F14" s="107"/>
      <c r="G14" s="20">
        <v>70000</v>
      </c>
      <c r="H14" s="108"/>
      <c r="I14" s="108"/>
      <c r="J14" s="20">
        <v>70000</v>
      </c>
    </row>
    <row r="15" spans="1:11" customFormat="1" x14ac:dyDescent="0.25">
      <c r="A15" s="107" t="s">
        <v>1027</v>
      </c>
      <c r="B15" s="110"/>
      <c r="C15" s="109">
        <v>4000</v>
      </c>
      <c r="D15" s="108"/>
      <c r="E15" s="157">
        <v>4000</v>
      </c>
      <c r="F15" s="107"/>
      <c r="G15" s="110"/>
      <c r="H15" s="109">
        <v>4000</v>
      </c>
      <c r="I15" s="108"/>
      <c r="J15" s="20">
        <v>4000</v>
      </c>
    </row>
    <row r="16" spans="1:11" customFormat="1" x14ac:dyDescent="0.25">
      <c r="A16" s="107" t="s">
        <v>1296</v>
      </c>
      <c r="B16" s="110"/>
      <c r="C16" s="109">
        <v>2121504</v>
      </c>
      <c r="D16" s="108"/>
      <c r="E16" s="157">
        <v>2121504</v>
      </c>
      <c r="F16" s="107"/>
      <c r="G16" s="110"/>
      <c r="H16" s="109">
        <v>2121504</v>
      </c>
      <c r="I16" s="108"/>
      <c r="J16" s="20">
        <v>2121504</v>
      </c>
    </row>
    <row r="17" spans="1:10" customFormat="1" x14ac:dyDescent="0.25">
      <c r="A17" s="107" t="s">
        <v>1214</v>
      </c>
      <c r="B17" s="110"/>
      <c r="C17" s="109">
        <v>10000</v>
      </c>
      <c r="D17" s="108"/>
      <c r="E17" s="157">
        <v>10000</v>
      </c>
      <c r="F17" s="107"/>
      <c r="G17" s="110"/>
      <c r="H17" s="109">
        <v>10000</v>
      </c>
      <c r="I17" s="108"/>
      <c r="J17" s="20">
        <v>10000</v>
      </c>
    </row>
    <row r="18" spans="1:10" customFormat="1" x14ac:dyDescent="0.25">
      <c r="A18" s="107" t="s">
        <v>159</v>
      </c>
      <c r="B18" s="157">
        <v>54886.38</v>
      </c>
      <c r="C18" s="108"/>
      <c r="D18" s="108"/>
      <c r="E18" s="157">
        <v>54886.38</v>
      </c>
      <c r="F18" s="107"/>
      <c r="G18" s="20">
        <v>54886.38</v>
      </c>
      <c r="H18" s="108"/>
      <c r="I18" s="108"/>
      <c r="J18" s="20">
        <v>54886.38</v>
      </c>
    </row>
    <row r="19" spans="1:10" customFormat="1" x14ac:dyDescent="0.25">
      <c r="A19" s="107" t="s">
        <v>167</v>
      </c>
      <c r="B19" s="110"/>
      <c r="C19" s="109">
        <v>21714</v>
      </c>
      <c r="D19" s="109">
        <v>21714</v>
      </c>
      <c r="E19" s="110"/>
      <c r="F19" s="107"/>
      <c r="G19" s="110"/>
      <c r="H19" s="109">
        <v>21714</v>
      </c>
      <c r="I19" s="109">
        <v>21714</v>
      </c>
      <c r="J19" s="110"/>
    </row>
    <row r="20" spans="1:10" customFormat="1" x14ac:dyDescent="0.25">
      <c r="A20" s="107" t="s">
        <v>170</v>
      </c>
      <c r="B20" s="110"/>
      <c r="C20" s="108"/>
      <c r="D20" s="109">
        <v>1295.6400000000001</v>
      </c>
      <c r="E20" s="158">
        <v>1295.6400000000001</v>
      </c>
      <c r="F20" s="107"/>
      <c r="G20" s="110"/>
      <c r="H20" s="108"/>
      <c r="I20" s="109">
        <v>1295.6400000000001</v>
      </c>
      <c r="J20" s="20">
        <v>-1295.6400000000001</v>
      </c>
    </row>
    <row r="21" spans="1:10" customFormat="1" x14ac:dyDescent="0.25">
      <c r="A21" s="107" t="s">
        <v>169</v>
      </c>
      <c r="B21" s="110"/>
      <c r="C21" s="109">
        <v>1763</v>
      </c>
      <c r="D21" s="109">
        <v>1763</v>
      </c>
      <c r="E21" s="110"/>
      <c r="F21" s="107"/>
      <c r="G21" s="110"/>
      <c r="H21" s="109">
        <v>1763</v>
      </c>
      <c r="I21" s="109">
        <v>1763</v>
      </c>
      <c r="J21" s="110"/>
    </row>
    <row r="22" spans="1:10" customFormat="1" x14ac:dyDescent="0.25">
      <c r="A22" s="107" t="s">
        <v>168</v>
      </c>
      <c r="B22" s="110"/>
      <c r="C22" s="109">
        <v>1414.82</v>
      </c>
      <c r="D22" s="109">
        <v>1414.82</v>
      </c>
      <c r="E22" s="110"/>
      <c r="F22" s="107"/>
      <c r="G22" s="110"/>
      <c r="H22" s="109">
        <v>1414.82</v>
      </c>
      <c r="I22" s="109">
        <v>1414.82</v>
      </c>
      <c r="J22" s="110"/>
    </row>
    <row r="23" spans="1:10" customFormat="1" x14ac:dyDescent="0.25">
      <c r="A23" s="107" t="s">
        <v>171</v>
      </c>
      <c r="B23" s="157">
        <v>5000</v>
      </c>
      <c r="C23" s="108"/>
      <c r="D23" s="108"/>
      <c r="E23" s="157">
        <v>5000</v>
      </c>
      <c r="F23" s="107"/>
      <c r="G23" s="20">
        <v>5000</v>
      </c>
      <c r="H23" s="108"/>
      <c r="I23" s="108"/>
      <c r="J23" s="20">
        <v>5000</v>
      </c>
    </row>
    <row r="24" spans="1:10" customFormat="1" x14ac:dyDescent="0.25">
      <c r="A24" s="107" t="s">
        <v>174</v>
      </c>
      <c r="B24" s="158">
        <v>94740264.390000001</v>
      </c>
      <c r="C24" s="108"/>
      <c r="D24" s="108"/>
      <c r="E24" s="158">
        <v>94740264.390000001</v>
      </c>
      <c r="F24" s="107"/>
      <c r="G24" s="20">
        <v>-94740264.390000001</v>
      </c>
      <c r="H24" s="108"/>
      <c r="I24" s="108"/>
      <c r="J24" s="20">
        <v>-94740264.390000001</v>
      </c>
    </row>
    <row r="25" spans="1:10" customFormat="1" x14ac:dyDescent="0.25">
      <c r="A25" s="107" t="s">
        <v>181</v>
      </c>
      <c r="B25" s="157">
        <v>21405.96</v>
      </c>
      <c r="C25" s="108"/>
      <c r="D25" s="108"/>
      <c r="E25" s="157">
        <v>21405.96</v>
      </c>
      <c r="F25" s="107"/>
      <c r="G25" s="20">
        <v>21405.96</v>
      </c>
      <c r="H25" s="108"/>
      <c r="I25" s="108"/>
      <c r="J25" s="20">
        <v>21405.96</v>
      </c>
    </row>
    <row r="26" spans="1:10" customFormat="1" x14ac:dyDescent="0.25">
      <c r="A26" s="107" t="s">
        <v>1031</v>
      </c>
      <c r="B26" s="110"/>
      <c r="C26" s="109">
        <v>2572500</v>
      </c>
      <c r="D26" s="109">
        <v>2572500</v>
      </c>
      <c r="E26" s="110"/>
      <c r="F26" s="107"/>
      <c r="G26" s="110"/>
      <c r="H26" s="109">
        <v>2572500</v>
      </c>
      <c r="I26" s="109">
        <v>2572500</v>
      </c>
      <c r="J26" s="110"/>
    </row>
    <row r="27" spans="1:10" customFormat="1" x14ac:dyDescent="0.25">
      <c r="A27" s="107" t="s">
        <v>1226</v>
      </c>
      <c r="B27" s="157">
        <v>116549.81</v>
      </c>
      <c r="C27" s="108"/>
      <c r="D27" s="108"/>
      <c r="E27" s="157">
        <v>116549.81</v>
      </c>
      <c r="F27" s="107"/>
      <c r="G27" s="20">
        <v>116549.81</v>
      </c>
      <c r="H27" s="108"/>
      <c r="I27" s="108"/>
      <c r="J27" s="20">
        <v>116549.81</v>
      </c>
    </row>
    <row r="28" spans="1:10" customFormat="1" x14ac:dyDescent="0.25">
      <c r="A28" s="107" t="s">
        <v>194</v>
      </c>
      <c r="B28" s="158">
        <v>12484.11</v>
      </c>
      <c r="C28" s="108"/>
      <c r="D28" s="108"/>
      <c r="E28" s="158">
        <v>12484.11</v>
      </c>
      <c r="F28" s="107"/>
      <c r="G28" s="20">
        <v>-12484.11</v>
      </c>
      <c r="H28" s="108"/>
      <c r="I28" s="108"/>
      <c r="J28" s="20">
        <v>-12484.11</v>
      </c>
    </row>
    <row r="29" spans="1:10" customFormat="1" x14ac:dyDescent="0.25">
      <c r="A29" s="107" t="s">
        <v>199</v>
      </c>
      <c r="B29" s="158">
        <v>600000</v>
      </c>
      <c r="C29" s="108"/>
      <c r="D29" s="108"/>
      <c r="E29" s="158">
        <v>600000</v>
      </c>
      <c r="F29" s="107"/>
      <c r="G29" s="20">
        <v>-600000</v>
      </c>
      <c r="H29" s="108"/>
      <c r="I29" s="108"/>
      <c r="J29" s="20">
        <v>-600000</v>
      </c>
    </row>
    <row r="30" spans="1:10" customFormat="1" x14ac:dyDescent="0.25">
      <c r="A30" s="107" t="s">
        <v>204</v>
      </c>
      <c r="B30" s="157">
        <v>845.57</v>
      </c>
      <c r="C30" s="108"/>
      <c r="D30" s="108"/>
      <c r="E30" s="157">
        <v>845.57</v>
      </c>
      <c r="F30" s="107"/>
      <c r="G30" s="20">
        <v>845.57</v>
      </c>
      <c r="H30" s="108"/>
      <c r="I30" s="108"/>
      <c r="J30" s="20">
        <v>845.57</v>
      </c>
    </row>
    <row r="31" spans="1:10" customFormat="1" x14ac:dyDescent="0.25">
      <c r="A31" s="107" t="s">
        <v>211</v>
      </c>
      <c r="B31" s="157">
        <v>463</v>
      </c>
      <c r="C31" s="108"/>
      <c r="D31" s="108"/>
      <c r="E31" s="157">
        <v>463</v>
      </c>
      <c r="F31" s="107"/>
      <c r="G31" s="20">
        <v>463</v>
      </c>
      <c r="H31" s="108"/>
      <c r="I31" s="108"/>
      <c r="J31" s="20">
        <v>463</v>
      </c>
    </row>
    <row r="32" spans="1:10" customFormat="1" x14ac:dyDescent="0.25">
      <c r="A32" s="107" t="s">
        <v>212</v>
      </c>
      <c r="B32" s="157">
        <v>9523</v>
      </c>
      <c r="C32" s="108"/>
      <c r="D32" s="108"/>
      <c r="E32" s="157">
        <v>9523</v>
      </c>
      <c r="F32" s="107"/>
      <c r="G32" s="20">
        <v>9523</v>
      </c>
      <c r="H32" s="108"/>
      <c r="I32" s="108"/>
      <c r="J32" s="20">
        <v>9523</v>
      </c>
    </row>
    <row r="33" spans="1:10" customFormat="1" x14ac:dyDescent="0.25">
      <c r="A33" s="107" t="s">
        <v>213</v>
      </c>
      <c r="B33" s="157">
        <v>7683</v>
      </c>
      <c r="C33" s="108"/>
      <c r="D33" s="108"/>
      <c r="E33" s="157">
        <v>7683</v>
      </c>
      <c r="F33" s="107"/>
      <c r="G33" s="20">
        <v>7683</v>
      </c>
      <c r="H33" s="108"/>
      <c r="I33" s="108"/>
      <c r="J33" s="20">
        <v>7683</v>
      </c>
    </row>
    <row r="34" spans="1:10" customFormat="1" x14ac:dyDescent="0.25">
      <c r="A34" s="107" t="s">
        <v>1112</v>
      </c>
      <c r="B34" s="157">
        <v>26694.92</v>
      </c>
      <c r="C34" s="108"/>
      <c r="D34" s="108"/>
      <c r="E34" s="157">
        <v>26694.92</v>
      </c>
      <c r="F34" s="107"/>
      <c r="G34" s="20">
        <v>26694.92</v>
      </c>
      <c r="H34" s="108"/>
      <c r="I34" s="108"/>
      <c r="J34" s="20">
        <v>26694.92</v>
      </c>
    </row>
    <row r="35" spans="1:10" customFormat="1" x14ac:dyDescent="0.25">
      <c r="A35" s="107" t="s">
        <v>1227</v>
      </c>
      <c r="B35" s="110"/>
      <c r="C35" s="109">
        <v>3627173</v>
      </c>
      <c r="D35" s="109">
        <v>3627173</v>
      </c>
      <c r="E35" s="110"/>
      <c r="F35" s="107"/>
      <c r="G35" s="110"/>
      <c r="H35" s="109">
        <v>3627173</v>
      </c>
      <c r="I35" s="109">
        <v>3627173</v>
      </c>
      <c r="J35" s="110"/>
    </row>
    <row r="36" spans="1:10" customFormat="1" x14ac:dyDescent="0.25">
      <c r="A36" s="107" t="s">
        <v>126</v>
      </c>
      <c r="B36" s="157">
        <v>684000</v>
      </c>
      <c r="C36" s="108"/>
      <c r="D36" s="108"/>
      <c r="E36" s="157">
        <v>684000</v>
      </c>
      <c r="F36" s="107"/>
      <c r="G36" s="20">
        <v>684000</v>
      </c>
      <c r="H36" s="108"/>
      <c r="I36" s="108"/>
      <c r="J36" s="20">
        <v>684000</v>
      </c>
    </row>
    <row r="37" spans="1:10" customFormat="1" x14ac:dyDescent="0.25">
      <c r="A37" s="107" t="s">
        <v>216</v>
      </c>
      <c r="B37" s="157">
        <v>1283.76</v>
      </c>
      <c r="C37" s="108"/>
      <c r="D37" s="108"/>
      <c r="E37" s="157">
        <v>1283.76</v>
      </c>
      <c r="F37" s="107"/>
      <c r="G37" s="20">
        <v>1283.76</v>
      </c>
      <c r="H37" s="108"/>
      <c r="I37" s="108"/>
      <c r="J37" s="20">
        <v>1283.76</v>
      </c>
    </row>
    <row r="38" spans="1:10" customFormat="1" x14ac:dyDescent="0.25">
      <c r="A38" s="107" t="s">
        <v>219</v>
      </c>
      <c r="B38" s="158">
        <v>1000</v>
      </c>
      <c r="C38" s="108"/>
      <c r="D38" s="108"/>
      <c r="E38" s="158">
        <v>1000</v>
      </c>
      <c r="F38" s="107"/>
      <c r="G38" s="20">
        <v>-1000</v>
      </c>
      <c r="H38" s="108"/>
      <c r="I38" s="108"/>
      <c r="J38" s="20">
        <v>-1000</v>
      </c>
    </row>
    <row r="39" spans="1:10" customFormat="1" x14ac:dyDescent="0.25">
      <c r="A39" s="107" t="s">
        <v>221</v>
      </c>
      <c r="B39" s="158">
        <v>229554.44</v>
      </c>
      <c r="C39" s="109">
        <v>5000</v>
      </c>
      <c r="D39" s="109">
        <v>38553</v>
      </c>
      <c r="E39" s="158">
        <v>263107.44</v>
      </c>
      <c r="F39" s="107"/>
      <c r="G39" s="20">
        <v>-229554.44</v>
      </c>
      <c r="H39" s="109">
        <v>5000</v>
      </c>
      <c r="I39" s="109">
        <v>38553</v>
      </c>
      <c r="J39" s="20">
        <v>-263107.44</v>
      </c>
    </row>
    <row r="40" spans="1:10" customFormat="1" x14ac:dyDescent="0.25">
      <c r="A40" s="107" t="s">
        <v>1278</v>
      </c>
      <c r="B40" s="110"/>
      <c r="C40" s="109">
        <v>663348</v>
      </c>
      <c r="D40" s="109">
        <v>663348</v>
      </c>
      <c r="E40" s="110"/>
      <c r="F40" s="107"/>
      <c r="G40" s="110"/>
      <c r="H40" s="109">
        <v>663348</v>
      </c>
      <c r="I40" s="109">
        <v>663348</v>
      </c>
      <c r="J40" s="110"/>
    </row>
    <row r="41" spans="1:10" customFormat="1" x14ac:dyDescent="0.25">
      <c r="A41" s="107" t="s">
        <v>223</v>
      </c>
      <c r="B41" s="157">
        <v>249345.9</v>
      </c>
      <c r="C41" s="108"/>
      <c r="D41" s="108"/>
      <c r="E41" s="157">
        <v>249345.9</v>
      </c>
      <c r="F41" s="107"/>
      <c r="G41" s="20">
        <v>249345.9</v>
      </c>
      <c r="H41" s="108"/>
      <c r="I41" s="108"/>
      <c r="J41" s="20">
        <v>249345.9</v>
      </c>
    </row>
    <row r="42" spans="1:10" customFormat="1" x14ac:dyDescent="0.25">
      <c r="A42" s="107" t="s">
        <v>224</v>
      </c>
      <c r="B42" s="110"/>
      <c r="C42" s="109">
        <v>17509</v>
      </c>
      <c r="D42" s="109">
        <v>17509</v>
      </c>
      <c r="E42" s="110"/>
      <c r="F42" s="107"/>
      <c r="G42" s="110"/>
      <c r="H42" s="109">
        <v>17509</v>
      </c>
      <c r="I42" s="109">
        <v>17509</v>
      </c>
      <c r="J42" s="110"/>
    </row>
    <row r="43" spans="1:10" customFormat="1" x14ac:dyDescent="0.25">
      <c r="A43" s="107" t="s">
        <v>225</v>
      </c>
      <c r="B43" s="157">
        <v>90672.54</v>
      </c>
      <c r="C43" s="108"/>
      <c r="D43" s="108"/>
      <c r="E43" s="157">
        <v>90672.54</v>
      </c>
      <c r="F43" s="107"/>
      <c r="G43" s="20">
        <v>90672.54</v>
      </c>
      <c r="H43" s="108"/>
      <c r="I43" s="108"/>
      <c r="J43" s="20">
        <v>90672.54</v>
      </c>
    </row>
    <row r="44" spans="1:10" customFormat="1" x14ac:dyDescent="0.25">
      <c r="A44" s="107" t="s">
        <v>226</v>
      </c>
      <c r="B44" s="110"/>
      <c r="C44" s="109">
        <v>24.32</v>
      </c>
      <c r="D44" s="108"/>
      <c r="E44" s="157">
        <v>24.32</v>
      </c>
      <c r="F44" s="107"/>
      <c r="G44" s="110"/>
      <c r="H44" s="109">
        <v>24.32</v>
      </c>
      <c r="I44" s="108"/>
      <c r="J44" s="20">
        <v>24.32</v>
      </c>
    </row>
    <row r="45" spans="1:10" customFormat="1" x14ac:dyDescent="0.25">
      <c r="A45" s="107" t="s">
        <v>227</v>
      </c>
      <c r="B45" s="110"/>
      <c r="C45" s="109">
        <v>600</v>
      </c>
      <c r="D45" s="108"/>
      <c r="E45" s="157">
        <v>600</v>
      </c>
      <c r="F45" s="107"/>
      <c r="G45" s="110"/>
      <c r="H45" s="109">
        <v>600</v>
      </c>
      <c r="I45" s="108"/>
      <c r="J45" s="20">
        <v>600</v>
      </c>
    </row>
    <row r="46" spans="1:10" customFormat="1" x14ac:dyDescent="0.25">
      <c r="A46" s="107" t="s">
        <v>1345</v>
      </c>
      <c r="B46" s="110"/>
      <c r="C46" s="109">
        <v>1817.7</v>
      </c>
      <c r="D46" s="108"/>
      <c r="E46" s="157">
        <v>1817.7</v>
      </c>
      <c r="F46" s="107"/>
      <c r="G46" s="110"/>
      <c r="H46" s="109">
        <v>1817.7</v>
      </c>
      <c r="I46" s="108"/>
      <c r="J46" s="20">
        <v>1817.7</v>
      </c>
    </row>
    <row r="47" spans="1:10" customFormat="1" x14ac:dyDescent="0.25">
      <c r="A47" s="107" t="s">
        <v>229</v>
      </c>
      <c r="B47" s="110"/>
      <c r="C47" s="109">
        <v>600</v>
      </c>
      <c r="D47" s="108"/>
      <c r="E47" s="157">
        <v>600</v>
      </c>
      <c r="F47" s="107"/>
      <c r="G47" s="110"/>
      <c r="H47" s="109">
        <v>600</v>
      </c>
      <c r="I47" s="108"/>
      <c r="J47" s="20">
        <v>600</v>
      </c>
    </row>
    <row r="48" spans="1:10" customFormat="1" x14ac:dyDescent="0.25">
      <c r="A48" s="107" t="s">
        <v>235</v>
      </c>
      <c r="B48" s="110"/>
      <c r="C48" s="109">
        <v>14775</v>
      </c>
      <c r="D48" s="108"/>
      <c r="E48" s="157">
        <v>14775</v>
      </c>
      <c r="F48" s="107"/>
      <c r="G48" s="110"/>
      <c r="H48" s="109">
        <v>14775</v>
      </c>
      <c r="I48" s="108"/>
      <c r="J48" s="20">
        <v>14775</v>
      </c>
    </row>
    <row r="49" spans="1:10" customFormat="1" x14ac:dyDescent="0.25">
      <c r="A49" s="107" t="s">
        <v>237</v>
      </c>
      <c r="B49" s="110"/>
      <c r="C49" s="109">
        <v>85298</v>
      </c>
      <c r="D49" s="108"/>
      <c r="E49" s="157">
        <v>85298</v>
      </c>
      <c r="F49" s="107"/>
      <c r="G49" s="110"/>
      <c r="H49" s="109">
        <v>85298</v>
      </c>
      <c r="I49" s="108"/>
      <c r="J49" s="20">
        <v>85298</v>
      </c>
    </row>
    <row r="50" spans="1:10" customFormat="1" x14ac:dyDescent="0.25">
      <c r="A50" s="107" t="s">
        <v>1033</v>
      </c>
      <c r="B50" s="110"/>
      <c r="C50" s="109">
        <v>328467</v>
      </c>
      <c r="D50" s="108"/>
      <c r="E50" s="157">
        <v>328467</v>
      </c>
      <c r="F50" s="107"/>
      <c r="G50" s="110"/>
      <c r="H50" s="109">
        <v>328467</v>
      </c>
      <c r="I50" s="108"/>
      <c r="J50" s="20">
        <v>328467</v>
      </c>
    </row>
    <row r="51" spans="1:10" customFormat="1" x14ac:dyDescent="0.25">
      <c r="A51" s="107" t="s">
        <v>248</v>
      </c>
      <c r="B51" s="110"/>
      <c r="C51" s="109">
        <v>1295.6400000000001</v>
      </c>
      <c r="D51" s="108"/>
      <c r="E51" s="157">
        <v>1295.6400000000001</v>
      </c>
      <c r="F51" s="107"/>
      <c r="G51" s="110"/>
      <c r="H51" s="109">
        <v>1295.6400000000001</v>
      </c>
      <c r="I51" s="108"/>
      <c r="J51" s="20">
        <v>1295.6400000000001</v>
      </c>
    </row>
    <row r="52" spans="1:10" customFormat="1" x14ac:dyDescent="0.25">
      <c r="A52" s="107" t="s">
        <v>1215</v>
      </c>
      <c r="B52" s="157">
        <v>455.32</v>
      </c>
      <c r="C52" s="109">
        <v>133.5</v>
      </c>
      <c r="D52" s="109">
        <v>588.82000000000005</v>
      </c>
      <c r="E52" s="110"/>
      <c r="F52" s="107"/>
      <c r="G52" s="20">
        <v>455.32</v>
      </c>
      <c r="H52" s="109">
        <v>133.5</v>
      </c>
      <c r="I52" s="109">
        <v>588.82000000000005</v>
      </c>
      <c r="J52" s="110"/>
    </row>
    <row r="53" spans="1:10" customFormat="1" x14ac:dyDescent="0.25">
      <c r="A53" s="107" t="s">
        <v>1346</v>
      </c>
      <c r="B53" s="110"/>
      <c r="C53" s="109">
        <v>15930</v>
      </c>
      <c r="D53" s="109">
        <v>15930</v>
      </c>
      <c r="E53" s="110"/>
      <c r="F53" s="107"/>
      <c r="G53" s="110"/>
      <c r="H53" s="109">
        <v>15930</v>
      </c>
      <c r="I53" s="109">
        <v>15930</v>
      </c>
      <c r="J53" s="110"/>
    </row>
    <row r="54" spans="1:10" customFormat="1" x14ac:dyDescent="0.25">
      <c r="A54" s="107" t="s">
        <v>1347</v>
      </c>
      <c r="B54" s="110"/>
      <c r="C54" s="109">
        <v>5999</v>
      </c>
      <c r="D54" s="109">
        <v>5999</v>
      </c>
      <c r="E54" s="110"/>
      <c r="F54" s="107"/>
      <c r="G54" s="110"/>
      <c r="H54" s="109">
        <v>5999</v>
      </c>
      <c r="I54" s="109">
        <v>5999</v>
      </c>
      <c r="J54" s="110"/>
    </row>
    <row r="55" spans="1:10" customFormat="1" x14ac:dyDescent="0.25">
      <c r="A55" s="107" t="s">
        <v>252</v>
      </c>
      <c r="B55" s="157">
        <v>1349.97</v>
      </c>
      <c r="C55" s="108"/>
      <c r="D55" s="108"/>
      <c r="E55" s="157">
        <v>1349.97</v>
      </c>
      <c r="F55" s="107"/>
      <c r="G55" s="20">
        <v>1349.97</v>
      </c>
      <c r="H55" s="108"/>
      <c r="I55" s="108"/>
      <c r="J55" s="20">
        <v>1349.97</v>
      </c>
    </row>
    <row r="56" spans="1:10" customFormat="1" x14ac:dyDescent="0.25">
      <c r="A56" s="107" t="s">
        <v>1229</v>
      </c>
      <c r="B56" s="110"/>
      <c r="C56" s="109">
        <v>46800</v>
      </c>
      <c r="D56" s="108"/>
      <c r="E56" s="157">
        <v>46800</v>
      </c>
      <c r="F56" s="107"/>
      <c r="G56" s="110"/>
      <c r="H56" s="109">
        <v>46800</v>
      </c>
      <c r="I56" s="108"/>
      <c r="J56" s="20">
        <v>46800</v>
      </c>
    </row>
    <row r="57" spans="1:10" customFormat="1" x14ac:dyDescent="0.25">
      <c r="A57" s="107" t="s">
        <v>255</v>
      </c>
      <c r="B57" s="157">
        <v>32161.02</v>
      </c>
      <c r="C57" s="108"/>
      <c r="D57" s="108"/>
      <c r="E57" s="157">
        <v>32161.02</v>
      </c>
      <c r="F57" s="107"/>
      <c r="G57" s="20">
        <v>32161.02</v>
      </c>
      <c r="H57" s="108"/>
      <c r="I57" s="108"/>
      <c r="J57" s="20">
        <v>32161.02</v>
      </c>
    </row>
    <row r="58" spans="1:10" customFormat="1" x14ac:dyDescent="0.25">
      <c r="A58" s="107" t="s">
        <v>254</v>
      </c>
      <c r="B58" s="157">
        <v>1543.7</v>
      </c>
      <c r="C58" s="108"/>
      <c r="D58" s="108"/>
      <c r="E58" s="157">
        <v>1543.7</v>
      </c>
      <c r="F58" s="107"/>
      <c r="G58" s="20">
        <v>1543.7</v>
      </c>
      <c r="H58" s="108"/>
      <c r="I58" s="108"/>
      <c r="J58" s="20">
        <v>1543.7</v>
      </c>
    </row>
    <row r="59" spans="1:10" customFormat="1" x14ac:dyDescent="0.25">
      <c r="A59" s="107" t="s">
        <v>257</v>
      </c>
      <c r="B59" s="157">
        <v>38958814</v>
      </c>
      <c r="C59" s="108"/>
      <c r="D59" s="109">
        <v>33921159.170000002</v>
      </c>
      <c r="E59" s="157">
        <v>5037654.83</v>
      </c>
      <c r="F59" s="107"/>
      <c r="G59" s="20">
        <v>38958814</v>
      </c>
      <c r="H59" s="108"/>
      <c r="I59" s="109">
        <v>33921159.170000002</v>
      </c>
      <c r="J59" s="20">
        <v>5037654.83</v>
      </c>
    </row>
    <row r="60" spans="1:10" customFormat="1" x14ac:dyDescent="0.25">
      <c r="A60" s="107" t="s">
        <v>1230</v>
      </c>
      <c r="B60" s="110"/>
      <c r="C60" s="109">
        <v>5768.65</v>
      </c>
      <c r="D60" s="108"/>
      <c r="E60" s="157">
        <v>5768.65</v>
      </c>
      <c r="F60" s="107"/>
      <c r="G60" s="110"/>
      <c r="H60" s="109">
        <v>5768.65</v>
      </c>
      <c r="I60" s="108"/>
      <c r="J60" s="20">
        <v>5768.65</v>
      </c>
    </row>
    <row r="61" spans="1:10" customFormat="1" x14ac:dyDescent="0.25">
      <c r="A61" s="107" t="s">
        <v>1231</v>
      </c>
      <c r="B61" s="157">
        <v>9166.5499999999993</v>
      </c>
      <c r="C61" s="108"/>
      <c r="D61" s="109">
        <v>0.18</v>
      </c>
      <c r="E61" s="157">
        <v>9166.3700000000008</v>
      </c>
      <c r="F61" s="107"/>
      <c r="G61" s="20">
        <v>9166.5499999999993</v>
      </c>
      <c r="H61" s="108"/>
      <c r="I61" s="109">
        <v>0.18</v>
      </c>
      <c r="J61" s="20">
        <v>9166.3700000000008</v>
      </c>
    </row>
    <row r="62" spans="1:10" customFormat="1" x14ac:dyDescent="0.25">
      <c r="A62" s="107" t="s">
        <v>1348</v>
      </c>
      <c r="B62" s="110"/>
      <c r="C62" s="109">
        <v>52754.94</v>
      </c>
      <c r="D62" s="108"/>
      <c r="E62" s="157">
        <v>52754.94</v>
      </c>
      <c r="F62" s="107"/>
      <c r="G62" s="110"/>
      <c r="H62" s="109">
        <v>52754.94</v>
      </c>
      <c r="I62" s="108"/>
      <c r="J62" s="20">
        <v>52754.94</v>
      </c>
    </row>
    <row r="63" spans="1:10" customFormat="1" x14ac:dyDescent="0.25">
      <c r="A63" s="107" t="s">
        <v>1349</v>
      </c>
      <c r="B63" s="110"/>
      <c r="C63" s="109">
        <v>12203.1</v>
      </c>
      <c r="D63" s="108"/>
      <c r="E63" s="157">
        <v>12203.1</v>
      </c>
      <c r="F63" s="107"/>
      <c r="G63" s="110"/>
      <c r="H63" s="109">
        <v>12203.1</v>
      </c>
      <c r="I63" s="108"/>
      <c r="J63" s="20">
        <v>12203.1</v>
      </c>
    </row>
    <row r="64" spans="1:10" customFormat="1" x14ac:dyDescent="0.25">
      <c r="A64" s="107" t="s">
        <v>222</v>
      </c>
      <c r="B64" s="158">
        <v>54000</v>
      </c>
      <c r="C64" s="108"/>
      <c r="D64" s="108"/>
      <c r="E64" s="158">
        <v>54000</v>
      </c>
      <c r="F64" s="107"/>
      <c r="G64" s="20">
        <v>-54000</v>
      </c>
      <c r="H64" s="108"/>
      <c r="I64" s="108"/>
      <c r="J64" s="20">
        <v>-54000</v>
      </c>
    </row>
    <row r="65" spans="1:10" customFormat="1" x14ac:dyDescent="0.25">
      <c r="A65" s="107" t="s">
        <v>266</v>
      </c>
      <c r="B65" s="158">
        <v>1768</v>
      </c>
      <c r="C65" s="108"/>
      <c r="D65" s="108"/>
      <c r="E65" s="158">
        <v>1768</v>
      </c>
      <c r="F65" s="107"/>
      <c r="G65" s="20">
        <v>-1768</v>
      </c>
      <c r="H65" s="108"/>
      <c r="I65" s="108"/>
      <c r="J65" s="20">
        <v>-1768</v>
      </c>
    </row>
    <row r="66" spans="1:10" customFormat="1" x14ac:dyDescent="0.25">
      <c r="A66" s="107" t="s">
        <v>1113</v>
      </c>
      <c r="B66" s="157">
        <v>31932.2</v>
      </c>
      <c r="C66" s="108"/>
      <c r="D66" s="108"/>
      <c r="E66" s="157">
        <v>31932.2</v>
      </c>
      <c r="F66" s="107"/>
      <c r="G66" s="20">
        <v>31932.2</v>
      </c>
      <c r="H66" s="108"/>
      <c r="I66" s="108"/>
      <c r="J66" s="20">
        <v>31932.2</v>
      </c>
    </row>
    <row r="67" spans="1:10" customFormat="1" x14ac:dyDescent="0.25">
      <c r="A67" s="107" t="s">
        <v>269</v>
      </c>
      <c r="B67" s="157">
        <v>24998.21</v>
      </c>
      <c r="C67" s="108"/>
      <c r="D67" s="108"/>
      <c r="E67" s="157">
        <v>24998.21</v>
      </c>
      <c r="F67" s="107"/>
      <c r="G67" s="20">
        <v>24998.21</v>
      </c>
      <c r="H67" s="108"/>
      <c r="I67" s="108"/>
      <c r="J67" s="20">
        <v>24998.21</v>
      </c>
    </row>
    <row r="68" spans="1:10" customFormat="1" x14ac:dyDescent="0.25">
      <c r="A68" s="107" t="s">
        <v>280</v>
      </c>
      <c r="B68" s="158">
        <v>123480</v>
      </c>
      <c r="C68" s="109">
        <v>123480</v>
      </c>
      <c r="D68" s="108"/>
      <c r="E68" s="110"/>
      <c r="F68" s="107"/>
      <c r="G68" s="20">
        <v>-123480</v>
      </c>
      <c r="H68" s="109">
        <v>123480</v>
      </c>
      <c r="I68" s="108"/>
      <c r="J68" s="110"/>
    </row>
    <row r="69" spans="1:10" customFormat="1" x14ac:dyDescent="0.25">
      <c r="A69" s="107" t="s">
        <v>1233</v>
      </c>
      <c r="B69" s="110"/>
      <c r="C69" s="109">
        <v>15332</v>
      </c>
      <c r="D69" s="108"/>
      <c r="E69" s="157">
        <v>15332</v>
      </c>
      <c r="F69" s="107"/>
      <c r="G69" s="110"/>
      <c r="H69" s="109">
        <v>15332</v>
      </c>
      <c r="I69" s="108"/>
      <c r="J69" s="20">
        <v>15332</v>
      </c>
    </row>
    <row r="70" spans="1:10" customFormat="1" x14ac:dyDescent="0.25">
      <c r="A70" s="107" t="s">
        <v>1350</v>
      </c>
      <c r="B70" s="110"/>
      <c r="C70" s="109">
        <v>220301</v>
      </c>
      <c r="D70" s="108"/>
      <c r="E70" s="157">
        <v>220301</v>
      </c>
      <c r="F70" s="107"/>
      <c r="G70" s="110"/>
      <c r="H70" s="109">
        <v>220301</v>
      </c>
      <c r="I70" s="108"/>
      <c r="J70" s="20">
        <v>220301</v>
      </c>
    </row>
    <row r="71" spans="1:10" customFormat="1" x14ac:dyDescent="0.25">
      <c r="A71" s="107" t="s">
        <v>279</v>
      </c>
      <c r="B71" s="157">
        <v>1335292.31</v>
      </c>
      <c r="C71" s="108"/>
      <c r="D71" s="108"/>
      <c r="E71" s="157">
        <v>1335292.31</v>
      </c>
      <c r="F71" s="107"/>
      <c r="G71" s="20">
        <v>1335292.31</v>
      </c>
      <c r="H71" s="108"/>
      <c r="I71" s="108"/>
      <c r="J71" s="20">
        <v>1335292.31</v>
      </c>
    </row>
    <row r="72" spans="1:10" customFormat="1" x14ac:dyDescent="0.25">
      <c r="A72" s="107" t="s">
        <v>282</v>
      </c>
      <c r="B72" s="110"/>
      <c r="C72" s="109">
        <v>18510</v>
      </c>
      <c r="D72" s="108"/>
      <c r="E72" s="157">
        <v>18510</v>
      </c>
      <c r="F72" s="107"/>
      <c r="G72" s="110"/>
      <c r="H72" s="109">
        <v>18510</v>
      </c>
      <c r="I72" s="108"/>
      <c r="J72" s="20">
        <v>18510</v>
      </c>
    </row>
    <row r="73" spans="1:10" customFormat="1" x14ac:dyDescent="0.25">
      <c r="A73" s="107" t="s">
        <v>289</v>
      </c>
      <c r="B73" s="157">
        <v>69226.13</v>
      </c>
      <c r="C73" s="108"/>
      <c r="D73" s="108"/>
      <c r="E73" s="157">
        <v>69226.13</v>
      </c>
      <c r="F73" s="107"/>
      <c r="G73" s="20">
        <v>69226.13</v>
      </c>
      <c r="H73" s="108"/>
      <c r="I73" s="108"/>
      <c r="J73" s="20">
        <v>69226.13</v>
      </c>
    </row>
    <row r="74" spans="1:10" customFormat="1" x14ac:dyDescent="0.25">
      <c r="A74" s="107" t="s">
        <v>294</v>
      </c>
      <c r="B74" s="157">
        <v>348252.15999999997</v>
      </c>
      <c r="C74" s="109">
        <v>324787.86</v>
      </c>
      <c r="D74" s="108"/>
      <c r="E74" s="157">
        <v>673040.02</v>
      </c>
      <c r="F74" s="107"/>
      <c r="G74" s="20">
        <v>348252.15999999997</v>
      </c>
      <c r="H74" s="109">
        <v>324787.86</v>
      </c>
      <c r="I74" s="108"/>
      <c r="J74" s="20">
        <v>673040.02</v>
      </c>
    </row>
    <row r="75" spans="1:10" customFormat="1" x14ac:dyDescent="0.25">
      <c r="A75" s="107" t="s">
        <v>295</v>
      </c>
      <c r="B75" s="158">
        <v>1329.9</v>
      </c>
      <c r="C75" s="109">
        <v>54</v>
      </c>
      <c r="D75" s="108"/>
      <c r="E75" s="158">
        <v>1275.9000000000001</v>
      </c>
      <c r="F75" s="107"/>
      <c r="G75" s="20">
        <v>-1329.9</v>
      </c>
      <c r="H75" s="109">
        <v>54</v>
      </c>
      <c r="I75" s="108"/>
      <c r="J75" s="20">
        <v>-1275.9000000000001</v>
      </c>
    </row>
    <row r="76" spans="1:10" customFormat="1" x14ac:dyDescent="0.25">
      <c r="A76" s="107" t="s">
        <v>296</v>
      </c>
      <c r="B76" s="157">
        <v>366374.3</v>
      </c>
      <c r="C76" s="109">
        <v>400024</v>
      </c>
      <c r="D76" s="109">
        <v>1847559.12</v>
      </c>
      <c r="E76" s="158">
        <v>1081160.82</v>
      </c>
      <c r="F76" s="107"/>
      <c r="G76" s="20">
        <v>366374.3</v>
      </c>
      <c r="H76" s="109">
        <v>400024</v>
      </c>
      <c r="I76" s="109">
        <v>1847559.12</v>
      </c>
      <c r="J76" s="20">
        <v>-1081160.82</v>
      </c>
    </row>
    <row r="77" spans="1:10" customFormat="1" x14ac:dyDescent="0.25">
      <c r="A77" s="107" t="s">
        <v>297</v>
      </c>
      <c r="B77" s="110"/>
      <c r="C77" s="109">
        <v>1500</v>
      </c>
      <c r="D77" s="108"/>
      <c r="E77" s="157">
        <v>1500</v>
      </c>
      <c r="F77" s="107"/>
      <c r="G77" s="110"/>
      <c r="H77" s="109">
        <v>1500</v>
      </c>
      <c r="I77" s="108"/>
      <c r="J77" s="20">
        <v>1500</v>
      </c>
    </row>
    <row r="78" spans="1:10" customFormat="1" x14ac:dyDescent="0.25">
      <c r="A78" s="107" t="s">
        <v>309</v>
      </c>
      <c r="B78" s="110"/>
      <c r="C78" s="108"/>
      <c r="D78" s="109">
        <v>17000000</v>
      </c>
      <c r="E78" s="158">
        <v>17000000</v>
      </c>
      <c r="F78" s="107"/>
      <c r="G78" s="110"/>
      <c r="H78" s="108"/>
      <c r="I78" s="109">
        <v>17000000</v>
      </c>
      <c r="J78" s="20">
        <v>-17000000</v>
      </c>
    </row>
    <row r="79" spans="1:10" customFormat="1" x14ac:dyDescent="0.25">
      <c r="A79" s="107" t="s">
        <v>311</v>
      </c>
      <c r="B79" s="157">
        <v>7666.78</v>
      </c>
      <c r="C79" s="108"/>
      <c r="D79" s="108"/>
      <c r="E79" s="157">
        <v>7666.78</v>
      </c>
      <c r="F79" s="107"/>
      <c r="G79" s="20">
        <v>7666.78</v>
      </c>
      <c r="H79" s="108"/>
      <c r="I79" s="108"/>
      <c r="J79" s="20">
        <v>7666.78</v>
      </c>
    </row>
    <row r="80" spans="1:10" customFormat="1" x14ac:dyDescent="0.25">
      <c r="A80" s="107" t="s">
        <v>312</v>
      </c>
      <c r="B80" s="157">
        <v>26597</v>
      </c>
      <c r="C80" s="108"/>
      <c r="D80" s="108"/>
      <c r="E80" s="157">
        <v>26597</v>
      </c>
      <c r="F80" s="107"/>
      <c r="G80" s="20">
        <v>26597</v>
      </c>
      <c r="H80" s="108"/>
      <c r="I80" s="108"/>
      <c r="J80" s="20">
        <v>26597</v>
      </c>
    </row>
    <row r="81" spans="1:10" customFormat="1" x14ac:dyDescent="0.25">
      <c r="A81" s="107" t="s">
        <v>313</v>
      </c>
      <c r="B81" s="157">
        <v>42546.02</v>
      </c>
      <c r="C81" s="108"/>
      <c r="D81" s="108"/>
      <c r="E81" s="157">
        <v>42546.02</v>
      </c>
      <c r="F81" s="107"/>
      <c r="G81" s="20">
        <v>42546.02</v>
      </c>
      <c r="H81" s="108"/>
      <c r="I81" s="108"/>
      <c r="J81" s="20">
        <v>42546.02</v>
      </c>
    </row>
    <row r="82" spans="1:10" customFormat="1" x14ac:dyDescent="0.25">
      <c r="A82" s="107" t="s">
        <v>318</v>
      </c>
      <c r="B82" s="110"/>
      <c r="C82" s="109">
        <v>2000</v>
      </c>
      <c r="D82" s="108"/>
      <c r="E82" s="157">
        <v>2000</v>
      </c>
      <c r="F82" s="107"/>
      <c r="G82" s="110"/>
      <c r="H82" s="109">
        <v>2000</v>
      </c>
      <c r="I82" s="108"/>
      <c r="J82" s="20">
        <v>2000</v>
      </c>
    </row>
    <row r="83" spans="1:10" customFormat="1" x14ac:dyDescent="0.25">
      <c r="A83" s="107" t="s">
        <v>1351</v>
      </c>
      <c r="B83" s="110"/>
      <c r="C83" s="109">
        <v>3500000</v>
      </c>
      <c r="D83" s="109">
        <v>3500000</v>
      </c>
      <c r="E83" s="110"/>
      <c r="F83" s="107"/>
      <c r="G83" s="110"/>
      <c r="H83" s="109">
        <v>3500000</v>
      </c>
      <c r="I83" s="109">
        <v>3500000</v>
      </c>
      <c r="J83" s="110"/>
    </row>
    <row r="84" spans="1:10" customFormat="1" x14ac:dyDescent="0.25">
      <c r="A84" s="107" t="s">
        <v>320</v>
      </c>
      <c r="B84" s="157">
        <v>36972.86</v>
      </c>
      <c r="C84" s="108"/>
      <c r="D84" s="108"/>
      <c r="E84" s="157">
        <v>36972.86</v>
      </c>
      <c r="F84" s="107"/>
      <c r="G84" s="20">
        <v>36972.86</v>
      </c>
      <c r="H84" s="108"/>
      <c r="I84" s="108"/>
      <c r="J84" s="20">
        <v>36972.86</v>
      </c>
    </row>
    <row r="85" spans="1:10" customFormat="1" x14ac:dyDescent="0.25">
      <c r="A85" s="107" t="s">
        <v>323</v>
      </c>
      <c r="B85" s="110"/>
      <c r="C85" s="109">
        <v>1324</v>
      </c>
      <c r="D85" s="108"/>
      <c r="E85" s="157">
        <v>1324</v>
      </c>
      <c r="F85" s="107"/>
      <c r="G85" s="110"/>
      <c r="H85" s="109">
        <v>1324</v>
      </c>
      <c r="I85" s="108"/>
      <c r="J85" s="20">
        <v>1324</v>
      </c>
    </row>
    <row r="86" spans="1:10" customFormat="1" x14ac:dyDescent="0.25">
      <c r="A86" s="107" t="s">
        <v>1035</v>
      </c>
      <c r="B86" s="110"/>
      <c r="C86" s="109">
        <v>7582.09</v>
      </c>
      <c r="D86" s="108"/>
      <c r="E86" s="157">
        <v>7582.09</v>
      </c>
      <c r="F86" s="107"/>
      <c r="G86" s="110"/>
      <c r="H86" s="109">
        <v>7582.09</v>
      </c>
      <c r="I86" s="108"/>
      <c r="J86" s="20">
        <v>7582.09</v>
      </c>
    </row>
    <row r="87" spans="1:10" customFormat="1" x14ac:dyDescent="0.25">
      <c r="A87" s="107" t="s">
        <v>326</v>
      </c>
      <c r="B87" s="110"/>
      <c r="C87" s="109">
        <v>14235</v>
      </c>
      <c r="D87" s="108"/>
      <c r="E87" s="157">
        <v>14235</v>
      </c>
      <c r="F87" s="107"/>
      <c r="G87" s="110"/>
      <c r="H87" s="109">
        <v>14235</v>
      </c>
      <c r="I87" s="108"/>
      <c r="J87" s="20">
        <v>14235</v>
      </c>
    </row>
    <row r="88" spans="1:10" customFormat="1" x14ac:dyDescent="0.25">
      <c r="A88" s="107" t="s">
        <v>325</v>
      </c>
      <c r="B88" s="110"/>
      <c r="C88" s="109">
        <v>21030.560000000001</v>
      </c>
      <c r="D88" s="108"/>
      <c r="E88" s="157">
        <v>21030.560000000001</v>
      </c>
      <c r="F88" s="107"/>
      <c r="G88" s="110"/>
      <c r="H88" s="109">
        <v>21030.560000000001</v>
      </c>
      <c r="I88" s="108"/>
      <c r="J88" s="20">
        <v>21030.560000000001</v>
      </c>
    </row>
    <row r="89" spans="1:10" customFormat="1" x14ac:dyDescent="0.25">
      <c r="A89" s="107" t="s">
        <v>1081</v>
      </c>
      <c r="B89" s="110"/>
      <c r="C89" s="109">
        <v>350</v>
      </c>
      <c r="D89" s="108"/>
      <c r="E89" s="157">
        <v>350</v>
      </c>
      <c r="F89" s="107"/>
      <c r="G89" s="110"/>
      <c r="H89" s="109">
        <v>350</v>
      </c>
      <c r="I89" s="108"/>
      <c r="J89" s="20">
        <v>350</v>
      </c>
    </row>
    <row r="90" spans="1:10" customFormat="1" x14ac:dyDescent="0.25">
      <c r="A90" s="107" t="s">
        <v>327</v>
      </c>
      <c r="B90" s="157">
        <v>4652.6400000000003</v>
      </c>
      <c r="C90" s="108"/>
      <c r="D90" s="108"/>
      <c r="E90" s="157">
        <v>4652.6400000000003</v>
      </c>
      <c r="F90" s="107"/>
      <c r="G90" s="20">
        <v>4652.6400000000003</v>
      </c>
      <c r="H90" s="108"/>
      <c r="I90" s="108"/>
      <c r="J90" s="20">
        <v>4652.6400000000003</v>
      </c>
    </row>
    <row r="91" spans="1:10" customFormat="1" x14ac:dyDescent="0.25">
      <c r="A91" s="107" t="s">
        <v>331</v>
      </c>
      <c r="B91" s="110"/>
      <c r="C91" s="108"/>
      <c r="D91" s="109">
        <v>16833</v>
      </c>
      <c r="E91" s="158">
        <v>16833</v>
      </c>
      <c r="F91" s="107"/>
      <c r="G91" s="110"/>
      <c r="H91" s="108"/>
      <c r="I91" s="109">
        <v>16833</v>
      </c>
      <c r="J91" s="20">
        <v>-16833</v>
      </c>
    </row>
    <row r="92" spans="1:10" customFormat="1" x14ac:dyDescent="0.25">
      <c r="A92" s="107" t="s">
        <v>1352</v>
      </c>
      <c r="B92" s="110"/>
      <c r="C92" s="109">
        <v>3894</v>
      </c>
      <c r="D92" s="109">
        <v>3894</v>
      </c>
      <c r="E92" s="110"/>
      <c r="F92" s="107"/>
      <c r="G92" s="110"/>
      <c r="H92" s="109">
        <v>3894</v>
      </c>
      <c r="I92" s="109">
        <v>3894</v>
      </c>
      <c r="J92" s="110"/>
    </row>
    <row r="93" spans="1:10" customFormat="1" x14ac:dyDescent="0.25">
      <c r="A93" s="107" t="s">
        <v>342</v>
      </c>
      <c r="B93" s="157">
        <v>13273.49</v>
      </c>
      <c r="C93" s="108"/>
      <c r="D93" s="108"/>
      <c r="E93" s="157">
        <v>13273.49</v>
      </c>
      <c r="F93" s="107"/>
      <c r="G93" s="20">
        <v>13273.49</v>
      </c>
      <c r="H93" s="108"/>
      <c r="I93" s="108"/>
      <c r="J93" s="20">
        <v>13273.49</v>
      </c>
    </row>
    <row r="94" spans="1:10" customFormat="1" x14ac:dyDescent="0.25">
      <c r="A94" s="107" t="s">
        <v>1353</v>
      </c>
      <c r="B94" s="110"/>
      <c r="C94" s="109">
        <v>14008.5</v>
      </c>
      <c r="D94" s="108"/>
      <c r="E94" s="157">
        <v>14008.5</v>
      </c>
      <c r="F94" s="107"/>
      <c r="G94" s="110"/>
      <c r="H94" s="109">
        <v>14008.5</v>
      </c>
      <c r="I94" s="108"/>
      <c r="J94" s="20">
        <v>14008.5</v>
      </c>
    </row>
    <row r="95" spans="1:10" customFormat="1" x14ac:dyDescent="0.25">
      <c r="A95" s="107" t="s">
        <v>1354</v>
      </c>
      <c r="B95" s="158">
        <v>108055</v>
      </c>
      <c r="C95" s="109">
        <v>108055</v>
      </c>
      <c r="D95" s="108"/>
      <c r="E95" s="110"/>
      <c r="F95" s="107"/>
      <c r="G95" s="20">
        <v>-108055</v>
      </c>
      <c r="H95" s="109">
        <v>108055</v>
      </c>
      <c r="I95" s="108"/>
      <c r="J95" s="110"/>
    </row>
    <row r="96" spans="1:10" customFormat="1" x14ac:dyDescent="0.25">
      <c r="A96" s="107" t="s">
        <v>346</v>
      </c>
      <c r="B96" s="157">
        <v>261129.93</v>
      </c>
      <c r="C96" s="108"/>
      <c r="D96" s="108"/>
      <c r="E96" s="157">
        <v>261129.93</v>
      </c>
      <c r="F96" s="107"/>
      <c r="G96" s="20">
        <v>261129.93</v>
      </c>
      <c r="H96" s="108"/>
      <c r="I96" s="108"/>
      <c r="J96" s="20">
        <v>261129.93</v>
      </c>
    </row>
    <row r="97" spans="1:10" customFormat="1" x14ac:dyDescent="0.25">
      <c r="A97" s="107" t="s">
        <v>1355</v>
      </c>
      <c r="B97" s="110"/>
      <c r="C97" s="109">
        <v>10460</v>
      </c>
      <c r="D97" s="109">
        <v>10460</v>
      </c>
      <c r="E97" s="110"/>
      <c r="F97" s="107"/>
      <c r="G97" s="110"/>
      <c r="H97" s="109">
        <v>10460</v>
      </c>
      <c r="I97" s="109">
        <v>10460</v>
      </c>
      <c r="J97" s="110"/>
    </row>
    <row r="98" spans="1:10" customFormat="1" x14ac:dyDescent="0.25">
      <c r="A98" s="107" t="s">
        <v>348</v>
      </c>
      <c r="B98" s="157">
        <v>442000</v>
      </c>
      <c r="C98" s="108"/>
      <c r="D98" s="108"/>
      <c r="E98" s="157">
        <v>442000</v>
      </c>
      <c r="F98" s="107"/>
      <c r="G98" s="20">
        <v>442000</v>
      </c>
      <c r="H98" s="108"/>
      <c r="I98" s="108"/>
      <c r="J98" s="20">
        <v>442000</v>
      </c>
    </row>
    <row r="99" spans="1:10" customFormat="1" x14ac:dyDescent="0.25">
      <c r="A99" s="107" t="s">
        <v>352</v>
      </c>
      <c r="B99" s="157">
        <v>282</v>
      </c>
      <c r="C99" s="108"/>
      <c r="D99" s="108"/>
      <c r="E99" s="157">
        <v>282</v>
      </c>
      <c r="F99" s="107"/>
      <c r="G99" s="20">
        <v>282</v>
      </c>
      <c r="H99" s="108"/>
      <c r="I99" s="108"/>
      <c r="J99" s="20">
        <v>282</v>
      </c>
    </row>
    <row r="100" spans="1:10" customFormat="1" x14ac:dyDescent="0.25">
      <c r="A100" s="107" t="s">
        <v>357</v>
      </c>
      <c r="B100" s="157">
        <v>40000</v>
      </c>
      <c r="C100" s="108"/>
      <c r="D100" s="108"/>
      <c r="E100" s="157">
        <v>40000</v>
      </c>
      <c r="F100" s="107"/>
      <c r="G100" s="20">
        <v>40000</v>
      </c>
      <c r="H100" s="108"/>
      <c r="I100" s="108"/>
      <c r="J100" s="20">
        <v>40000</v>
      </c>
    </row>
    <row r="101" spans="1:10" customFormat="1" x14ac:dyDescent="0.25">
      <c r="A101" s="107" t="s">
        <v>1037</v>
      </c>
      <c r="B101" s="110"/>
      <c r="C101" s="108"/>
      <c r="D101" s="109">
        <v>286217</v>
      </c>
      <c r="E101" s="158">
        <v>286217</v>
      </c>
      <c r="F101" s="107"/>
      <c r="G101" s="110"/>
      <c r="H101" s="108"/>
      <c r="I101" s="109">
        <v>286217</v>
      </c>
      <c r="J101" s="20">
        <v>-286217</v>
      </c>
    </row>
    <row r="102" spans="1:10" customFormat="1" x14ac:dyDescent="0.25">
      <c r="A102" s="107" t="s">
        <v>370</v>
      </c>
      <c r="B102" s="157">
        <v>32990</v>
      </c>
      <c r="C102" s="108"/>
      <c r="D102" s="108"/>
      <c r="E102" s="157">
        <v>32990</v>
      </c>
      <c r="F102" s="107"/>
      <c r="G102" s="20">
        <v>32990</v>
      </c>
      <c r="H102" s="108"/>
      <c r="I102" s="108"/>
      <c r="J102" s="20">
        <v>32990</v>
      </c>
    </row>
    <row r="103" spans="1:10" customFormat="1" x14ac:dyDescent="0.25">
      <c r="A103" s="107" t="s">
        <v>373</v>
      </c>
      <c r="B103" s="157">
        <v>4500</v>
      </c>
      <c r="C103" s="108"/>
      <c r="D103" s="108"/>
      <c r="E103" s="157">
        <v>4500</v>
      </c>
      <c r="F103" s="107"/>
      <c r="G103" s="20">
        <v>4500</v>
      </c>
      <c r="H103" s="108"/>
      <c r="I103" s="108"/>
      <c r="J103" s="20">
        <v>4500</v>
      </c>
    </row>
    <row r="104" spans="1:10" customFormat="1" x14ac:dyDescent="0.25">
      <c r="A104" s="107" t="s">
        <v>335</v>
      </c>
      <c r="B104" s="157">
        <v>4735.38</v>
      </c>
      <c r="C104" s="108"/>
      <c r="D104" s="108"/>
      <c r="E104" s="157">
        <v>4735.38</v>
      </c>
      <c r="F104" s="107"/>
      <c r="G104" s="20">
        <v>4735.38</v>
      </c>
      <c r="H104" s="108"/>
      <c r="I104" s="108"/>
      <c r="J104" s="20">
        <v>4735.38</v>
      </c>
    </row>
    <row r="105" spans="1:10" customFormat="1" x14ac:dyDescent="0.25">
      <c r="A105" s="107" t="s">
        <v>375</v>
      </c>
      <c r="B105" s="157">
        <v>24841</v>
      </c>
      <c r="C105" s="108"/>
      <c r="D105" s="109">
        <v>24841</v>
      </c>
      <c r="E105" s="110"/>
      <c r="F105" s="107"/>
      <c r="G105" s="20">
        <v>24841</v>
      </c>
      <c r="H105" s="108"/>
      <c r="I105" s="109">
        <v>24841</v>
      </c>
      <c r="J105" s="110"/>
    </row>
    <row r="106" spans="1:10" customFormat="1" x14ac:dyDescent="0.25">
      <c r="A106" s="107" t="s">
        <v>1234</v>
      </c>
      <c r="B106" s="110"/>
      <c r="C106" s="109">
        <v>3500</v>
      </c>
      <c r="D106" s="108"/>
      <c r="E106" s="157">
        <v>3500</v>
      </c>
      <c r="F106" s="107"/>
      <c r="G106" s="110"/>
      <c r="H106" s="109">
        <v>3500</v>
      </c>
      <c r="I106" s="108"/>
      <c r="J106" s="20">
        <v>3500</v>
      </c>
    </row>
    <row r="107" spans="1:10" customFormat="1" x14ac:dyDescent="0.25">
      <c r="A107" s="107" t="s">
        <v>46</v>
      </c>
      <c r="B107" s="110"/>
      <c r="C107" s="109">
        <v>400</v>
      </c>
      <c r="D107" s="108"/>
      <c r="E107" s="157">
        <v>400</v>
      </c>
      <c r="F107" s="107"/>
      <c r="G107" s="110"/>
      <c r="H107" s="109">
        <v>400</v>
      </c>
      <c r="I107" s="108"/>
      <c r="J107" s="20">
        <v>400</v>
      </c>
    </row>
    <row r="108" spans="1:10" customFormat="1" x14ac:dyDescent="0.25">
      <c r="A108" s="107" t="s">
        <v>378</v>
      </c>
      <c r="B108" s="158">
        <v>29982.62</v>
      </c>
      <c r="C108" s="108"/>
      <c r="D108" s="108"/>
      <c r="E108" s="158">
        <v>29982.62</v>
      </c>
      <c r="F108" s="107"/>
      <c r="G108" s="20">
        <v>-29982.62</v>
      </c>
      <c r="H108" s="108"/>
      <c r="I108" s="108"/>
      <c r="J108" s="20">
        <v>-29982.62</v>
      </c>
    </row>
    <row r="109" spans="1:10" customFormat="1" x14ac:dyDescent="0.25">
      <c r="A109" s="107" t="s">
        <v>383</v>
      </c>
      <c r="B109" s="110"/>
      <c r="C109" s="109">
        <v>1680</v>
      </c>
      <c r="D109" s="108"/>
      <c r="E109" s="157">
        <v>1680</v>
      </c>
      <c r="F109" s="107"/>
      <c r="G109" s="110"/>
      <c r="H109" s="109">
        <v>1680</v>
      </c>
      <c r="I109" s="108"/>
      <c r="J109" s="20">
        <v>1680</v>
      </c>
    </row>
    <row r="110" spans="1:10" customFormat="1" x14ac:dyDescent="0.25">
      <c r="A110" s="107" t="s">
        <v>385</v>
      </c>
      <c r="B110" s="110"/>
      <c r="C110" s="109">
        <v>6790</v>
      </c>
      <c r="D110" s="108"/>
      <c r="E110" s="157">
        <v>6790</v>
      </c>
      <c r="F110" s="107"/>
      <c r="G110" s="110"/>
      <c r="H110" s="109">
        <v>6790</v>
      </c>
      <c r="I110" s="108"/>
      <c r="J110" s="20">
        <v>6790</v>
      </c>
    </row>
    <row r="111" spans="1:10" customFormat="1" x14ac:dyDescent="0.25">
      <c r="A111" s="107" t="s">
        <v>1235</v>
      </c>
      <c r="B111" s="110"/>
      <c r="C111" s="109">
        <v>1160</v>
      </c>
      <c r="D111" s="108"/>
      <c r="E111" s="157">
        <v>1160</v>
      </c>
      <c r="F111" s="107"/>
      <c r="G111" s="110"/>
      <c r="H111" s="109">
        <v>1160</v>
      </c>
      <c r="I111" s="108"/>
      <c r="J111" s="20">
        <v>1160</v>
      </c>
    </row>
    <row r="112" spans="1:10" customFormat="1" x14ac:dyDescent="0.25">
      <c r="A112" s="107" t="s">
        <v>386</v>
      </c>
      <c r="B112" s="157">
        <v>21820</v>
      </c>
      <c r="C112" s="108"/>
      <c r="D112" s="108"/>
      <c r="E112" s="157">
        <v>21820</v>
      </c>
      <c r="F112" s="107"/>
      <c r="G112" s="20">
        <v>21820</v>
      </c>
      <c r="H112" s="108"/>
      <c r="I112" s="108"/>
      <c r="J112" s="20">
        <v>21820</v>
      </c>
    </row>
    <row r="113" spans="1:10" customFormat="1" x14ac:dyDescent="0.25">
      <c r="A113" s="107" t="s">
        <v>387</v>
      </c>
      <c r="B113" s="157">
        <v>4163.62</v>
      </c>
      <c r="C113" s="108"/>
      <c r="D113" s="108"/>
      <c r="E113" s="157">
        <v>4163.62</v>
      </c>
      <c r="F113" s="107"/>
      <c r="G113" s="20">
        <v>4163.62</v>
      </c>
      <c r="H113" s="108"/>
      <c r="I113" s="108"/>
      <c r="J113" s="20">
        <v>4163.62</v>
      </c>
    </row>
    <row r="114" spans="1:10" customFormat="1" x14ac:dyDescent="0.25">
      <c r="A114" s="107" t="s">
        <v>391</v>
      </c>
      <c r="B114" s="110"/>
      <c r="C114" s="109">
        <v>1141</v>
      </c>
      <c r="D114" s="108"/>
      <c r="E114" s="157">
        <v>1141</v>
      </c>
      <c r="F114" s="107"/>
      <c r="G114" s="110"/>
      <c r="H114" s="109">
        <v>1141</v>
      </c>
      <c r="I114" s="108"/>
      <c r="J114" s="20">
        <v>1141</v>
      </c>
    </row>
    <row r="115" spans="1:10" customFormat="1" x14ac:dyDescent="0.25">
      <c r="A115" s="107" t="s">
        <v>398</v>
      </c>
      <c r="B115" s="110"/>
      <c r="C115" s="109">
        <v>566</v>
      </c>
      <c r="D115" s="108"/>
      <c r="E115" s="157">
        <v>566</v>
      </c>
      <c r="F115" s="107"/>
      <c r="G115" s="110"/>
      <c r="H115" s="109">
        <v>566</v>
      </c>
      <c r="I115" s="108"/>
      <c r="J115" s="20">
        <v>566</v>
      </c>
    </row>
    <row r="116" spans="1:10" customFormat="1" x14ac:dyDescent="0.25">
      <c r="A116" s="107" t="s">
        <v>1356</v>
      </c>
      <c r="B116" s="110"/>
      <c r="C116" s="109">
        <v>3540</v>
      </c>
      <c r="D116" s="108"/>
      <c r="E116" s="157">
        <v>3540</v>
      </c>
      <c r="F116" s="107"/>
      <c r="G116" s="110"/>
      <c r="H116" s="109">
        <v>3540</v>
      </c>
      <c r="I116" s="108"/>
      <c r="J116" s="20">
        <v>3540</v>
      </c>
    </row>
    <row r="117" spans="1:10" customFormat="1" x14ac:dyDescent="0.25">
      <c r="A117" s="107" t="s">
        <v>1236</v>
      </c>
      <c r="B117" s="157">
        <v>5781725.4299999997</v>
      </c>
      <c r="C117" s="109">
        <v>11053138</v>
      </c>
      <c r="D117" s="109">
        <v>10672477.939999999</v>
      </c>
      <c r="E117" s="157">
        <v>6162385.4900000002</v>
      </c>
      <c r="F117" s="107"/>
      <c r="G117" s="20">
        <v>5781725.4299999997</v>
      </c>
      <c r="H117" s="109">
        <v>11053138</v>
      </c>
      <c r="I117" s="109">
        <v>10672477.939999999</v>
      </c>
      <c r="J117" s="20">
        <v>6162385.4900000002</v>
      </c>
    </row>
    <row r="118" spans="1:10" customFormat="1" x14ac:dyDescent="0.25">
      <c r="A118" s="107" t="s">
        <v>1237</v>
      </c>
      <c r="B118" s="110"/>
      <c r="C118" s="109">
        <v>2800</v>
      </c>
      <c r="D118" s="108"/>
      <c r="E118" s="157">
        <v>2800</v>
      </c>
      <c r="F118" s="107"/>
      <c r="G118" s="110"/>
      <c r="H118" s="109">
        <v>2800</v>
      </c>
      <c r="I118" s="108"/>
      <c r="J118" s="20">
        <v>2800</v>
      </c>
    </row>
    <row r="119" spans="1:10" customFormat="1" x14ac:dyDescent="0.25">
      <c r="A119" s="107" t="s">
        <v>409</v>
      </c>
      <c r="B119" s="158">
        <v>2490000</v>
      </c>
      <c r="C119" s="108"/>
      <c r="D119" s="108"/>
      <c r="E119" s="158">
        <v>2490000</v>
      </c>
      <c r="F119" s="107"/>
      <c r="G119" s="20">
        <v>-2490000</v>
      </c>
      <c r="H119" s="108"/>
      <c r="I119" s="108"/>
      <c r="J119" s="20">
        <v>-2490000</v>
      </c>
    </row>
    <row r="120" spans="1:10" customFormat="1" x14ac:dyDescent="0.25">
      <c r="A120" s="107" t="s">
        <v>412</v>
      </c>
      <c r="B120" s="158">
        <v>131</v>
      </c>
      <c r="C120" s="109">
        <v>131</v>
      </c>
      <c r="D120" s="109">
        <v>133</v>
      </c>
      <c r="E120" s="158">
        <v>133</v>
      </c>
      <c r="F120" s="107"/>
      <c r="G120" s="20">
        <v>-131</v>
      </c>
      <c r="H120" s="109">
        <v>131</v>
      </c>
      <c r="I120" s="109">
        <v>133</v>
      </c>
      <c r="J120" s="20">
        <v>-133</v>
      </c>
    </row>
    <row r="121" spans="1:10" customFormat="1" x14ac:dyDescent="0.25">
      <c r="A121" s="107" t="s">
        <v>413</v>
      </c>
      <c r="B121" s="158">
        <v>264</v>
      </c>
      <c r="C121" s="109">
        <v>264</v>
      </c>
      <c r="D121" s="109">
        <v>257</v>
      </c>
      <c r="E121" s="158">
        <v>257</v>
      </c>
      <c r="F121" s="107"/>
      <c r="G121" s="20">
        <v>-264</v>
      </c>
      <c r="H121" s="109">
        <v>264</v>
      </c>
      <c r="I121" s="109">
        <v>257</v>
      </c>
      <c r="J121" s="20">
        <v>-257</v>
      </c>
    </row>
    <row r="122" spans="1:10" customFormat="1" x14ac:dyDescent="0.25">
      <c r="A122" s="107" t="s">
        <v>1357</v>
      </c>
      <c r="B122" s="110"/>
      <c r="C122" s="109">
        <v>15961.22</v>
      </c>
      <c r="D122" s="108"/>
      <c r="E122" s="157">
        <v>15961.22</v>
      </c>
      <c r="F122" s="107"/>
      <c r="G122" s="110"/>
      <c r="H122" s="109">
        <v>15961.22</v>
      </c>
      <c r="I122" s="108"/>
      <c r="J122" s="20">
        <v>15961.22</v>
      </c>
    </row>
    <row r="123" spans="1:10" customFormat="1" x14ac:dyDescent="0.25">
      <c r="A123" s="107" t="s">
        <v>1358</v>
      </c>
      <c r="B123" s="110"/>
      <c r="C123" s="108"/>
      <c r="D123" s="109">
        <v>200000</v>
      </c>
      <c r="E123" s="158">
        <v>200000</v>
      </c>
      <c r="F123" s="107"/>
      <c r="G123" s="110"/>
      <c r="H123" s="108"/>
      <c r="I123" s="109">
        <v>200000</v>
      </c>
      <c r="J123" s="20">
        <v>-200000</v>
      </c>
    </row>
    <row r="124" spans="1:10" customFormat="1" x14ac:dyDescent="0.25">
      <c r="A124" s="107" t="s">
        <v>424</v>
      </c>
      <c r="B124" s="157">
        <v>25775</v>
      </c>
      <c r="C124" s="108"/>
      <c r="D124" s="108"/>
      <c r="E124" s="157">
        <v>25775</v>
      </c>
      <c r="F124" s="107"/>
      <c r="G124" s="20">
        <v>25775</v>
      </c>
      <c r="H124" s="108"/>
      <c r="I124" s="108"/>
      <c r="J124" s="20">
        <v>25775</v>
      </c>
    </row>
    <row r="125" spans="1:10" customFormat="1" x14ac:dyDescent="0.25">
      <c r="A125" s="107" t="s">
        <v>429</v>
      </c>
      <c r="B125" s="110"/>
      <c r="C125" s="109">
        <v>13904</v>
      </c>
      <c r="D125" s="108"/>
      <c r="E125" s="157">
        <v>13904</v>
      </c>
      <c r="F125" s="107"/>
      <c r="G125" s="110"/>
      <c r="H125" s="109">
        <v>13904</v>
      </c>
      <c r="I125" s="108"/>
      <c r="J125" s="20">
        <v>13904</v>
      </c>
    </row>
    <row r="126" spans="1:10" customFormat="1" x14ac:dyDescent="0.25">
      <c r="A126" s="107" t="s">
        <v>430</v>
      </c>
      <c r="B126" s="158">
        <v>1060335</v>
      </c>
      <c r="C126" s="108"/>
      <c r="D126" s="108"/>
      <c r="E126" s="158">
        <v>1060335</v>
      </c>
      <c r="F126" s="107"/>
      <c r="G126" s="20">
        <v>-1060335</v>
      </c>
      <c r="H126" s="108"/>
      <c r="I126" s="108"/>
      <c r="J126" s="20">
        <v>-1060335</v>
      </c>
    </row>
    <row r="127" spans="1:10" customFormat="1" x14ac:dyDescent="0.25">
      <c r="A127" s="107" t="s">
        <v>1359</v>
      </c>
      <c r="B127" s="110"/>
      <c r="C127" s="109">
        <v>4784.1899999999996</v>
      </c>
      <c r="D127" s="108"/>
      <c r="E127" s="157">
        <v>4784.1899999999996</v>
      </c>
      <c r="F127" s="107"/>
      <c r="G127" s="110"/>
      <c r="H127" s="109">
        <v>4784.1899999999996</v>
      </c>
      <c r="I127" s="108"/>
      <c r="J127" s="20">
        <v>4784.1899999999996</v>
      </c>
    </row>
    <row r="128" spans="1:10" customFormat="1" x14ac:dyDescent="0.25">
      <c r="A128" s="107" t="s">
        <v>431</v>
      </c>
      <c r="B128" s="157">
        <v>5383.47</v>
      </c>
      <c r="C128" s="108"/>
      <c r="D128" s="108"/>
      <c r="E128" s="157">
        <v>5383.47</v>
      </c>
      <c r="F128" s="107"/>
      <c r="G128" s="20">
        <v>5383.47</v>
      </c>
      <c r="H128" s="108"/>
      <c r="I128" s="108"/>
      <c r="J128" s="20">
        <v>5383.47</v>
      </c>
    </row>
    <row r="129" spans="1:10" customFormat="1" x14ac:dyDescent="0.25">
      <c r="A129" s="107" t="s">
        <v>1087</v>
      </c>
      <c r="B129" s="158">
        <v>25200</v>
      </c>
      <c r="C129" s="109">
        <v>25200</v>
      </c>
      <c r="D129" s="109">
        <v>25200</v>
      </c>
      <c r="E129" s="158">
        <v>25200</v>
      </c>
      <c r="F129" s="107"/>
      <c r="G129" s="20">
        <v>-25200</v>
      </c>
      <c r="H129" s="109">
        <v>25200</v>
      </c>
      <c r="I129" s="109">
        <v>25200</v>
      </c>
      <c r="J129" s="20">
        <v>-25200</v>
      </c>
    </row>
    <row r="130" spans="1:10" customFormat="1" x14ac:dyDescent="0.25">
      <c r="A130" s="107" t="s">
        <v>432</v>
      </c>
      <c r="B130" s="158">
        <v>33366666.670000002</v>
      </c>
      <c r="C130" s="109">
        <v>2184388</v>
      </c>
      <c r="D130" s="109">
        <v>2184388</v>
      </c>
      <c r="E130" s="158">
        <v>33366666.670000002</v>
      </c>
      <c r="F130" s="107"/>
      <c r="G130" s="20">
        <v>-33366666.670000002</v>
      </c>
      <c r="H130" s="109">
        <v>2184388</v>
      </c>
      <c r="I130" s="109">
        <v>2184388</v>
      </c>
      <c r="J130" s="20">
        <v>-33366666.670000002</v>
      </c>
    </row>
    <row r="131" spans="1:10" customFormat="1" x14ac:dyDescent="0.25">
      <c r="A131" s="107" t="s">
        <v>1360</v>
      </c>
      <c r="B131" s="157">
        <v>100000</v>
      </c>
      <c r="C131" s="108"/>
      <c r="D131" s="108"/>
      <c r="E131" s="157">
        <v>100000</v>
      </c>
      <c r="F131" s="107"/>
      <c r="G131" s="20">
        <v>100000</v>
      </c>
      <c r="H131" s="108"/>
      <c r="I131" s="108"/>
      <c r="J131" s="20">
        <v>100000</v>
      </c>
    </row>
    <row r="132" spans="1:10" customFormat="1" x14ac:dyDescent="0.25">
      <c r="A132" s="107" t="s">
        <v>433</v>
      </c>
      <c r="B132" s="157">
        <v>5154.6400000000003</v>
      </c>
      <c r="C132" s="108"/>
      <c r="D132" s="108"/>
      <c r="E132" s="157">
        <v>5154.6400000000003</v>
      </c>
      <c r="F132" s="107"/>
      <c r="G132" s="20">
        <v>5154.6400000000003</v>
      </c>
      <c r="H132" s="108"/>
      <c r="I132" s="108"/>
      <c r="J132" s="20">
        <v>5154.6400000000003</v>
      </c>
    </row>
    <row r="133" spans="1:10" customFormat="1" x14ac:dyDescent="0.25">
      <c r="A133" s="107" t="s">
        <v>434</v>
      </c>
      <c r="B133" s="157">
        <v>405.6</v>
      </c>
      <c r="C133" s="108"/>
      <c r="D133" s="108"/>
      <c r="E133" s="157">
        <v>405.6</v>
      </c>
      <c r="F133" s="107"/>
      <c r="G133" s="20">
        <v>405.6</v>
      </c>
      <c r="H133" s="108"/>
      <c r="I133" s="108"/>
      <c r="J133" s="20">
        <v>405.6</v>
      </c>
    </row>
    <row r="134" spans="1:10" customFormat="1" x14ac:dyDescent="0.25">
      <c r="A134" s="107" t="s">
        <v>1361</v>
      </c>
      <c r="B134" s="158">
        <v>339916</v>
      </c>
      <c r="C134" s="109">
        <v>339916</v>
      </c>
      <c r="D134" s="109">
        <v>684600</v>
      </c>
      <c r="E134" s="158">
        <v>684600</v>
      </c>
      <c r="F134" s="107"/>
      <c r="G134" s="20">
        <v>-339916</v>
      </c>
      <c r="H134" s="109">
        <v>339916</v>
      </c>
      <c r="I134" s="109">
        <v>684600</v>
      </c>
      <c r="J134" s="20">
        <v>-684600</v>
      </c>
    </row>
    <row r="135" spans="1:10" customFormat="1" x14ac:dyDescent="0.25">
      <c r="A135" s="107" t="s">
        <v>464</v>
      </c>
      <c r="B135" s="158">
        <v>4294453.88</v>
      </c>
      <c r="C135" s="108"/>
      <c r="D135" s="108"/>
      <c r="E135" s="158">
        <v>4294453.88</v>
      </c>
      <c r="F135" s="107"/>
      <c r="G135" s="20">
        <v>-4294453.88</v>
      </c>
      <c r="H135" s="108"/>
      <c r="I135" s="108"/>
      <c r="J135" s="20">
        <v>-4294453.88</v>
      </c>
    </row>
    <row r="136" spans="1:10" customFormat="1" x14ac:dyDescent="0.25">
      <c r="A136" s="107" t="s">
        <v>436</v>
      </c>
      <c r="B136" s="158">
        <v>17710</v>
      </c>
      <c r="C136" s="108"/>
      <c r="D136" s="108"/>
      <c r="E136" s="158">
        <v>17710</v>
      </c>
      <c r="F136" s="107"/>
      <c r="G136" s="20">
        <v>-17710</v>
      </c>
      <c r="H136" s="108"/>
      <c r="I136" s="108"/>
      <c r="J136" s="20">
        <v>-17710</v>
      </c>
    </row>
    <row r="137" spans="1:10" customFormat="1" x14ac:dyDescent="0.25">
      <c r="A137" s="107" t="s">
        <v>438</v>
      </c>
      <c r="B137" s="158">
        <v>88777</v>
      </c>
      <c r="C137" s="108"/>
      <c r="D137" s="108"/>
      <c r="E137" s="158">
        <v>88777</v>
      </c>
      <c r="F137" s="107"/>
      <c r="G137" s="20">
        <v>-88777</v>
      </c>
      <c r="H137" s="108"/>
      <c r="I137" s="108"/>
      <c r="J137" s="20">
        <v>-88777</v>
      </c>
    </row>
    <row r="138" spans="1:10" customFormat="1" x14ac:dyDescent="0.25">
      <c r="A138" s="107" t="s">
        <v>439</v>
      </c>
      <c r="B138" s="158">
        <v>19755</v>
      </c>
      <c r="C138" s="108"/>
      <c r="D138" s="108"/>
      <c r="E138" s="158">
        <v>19755</v>
      </c>
      <c r="F138" s="107"/>
      <c r="G138" s="20">
        <v>-19755</v>
      </c>
      <c r="H138" s="108"/>
      <c r="I138" s="108"/>
      <c r="J138" s="20">
        <v>-19755</v>
      </c>
    </row>
    <row r="139" spans="1:10" customFormat="1" x14ac:dyDescent="0.25">
      <c r="A139" s="107" t="s">
        <v>441</v>
      </c>
      <c r="B139" s="157">
        <v>12522</v>
      </c>
      <c r="C139" s="108"/>
      <c r="D139" s="108"/>
      <c r="E139" s="157">
        <v>12522</v>
      </c>
      <c r="F139" s="107"/>
      <c r="G139" s="20">
        <v>12522</v>
      </c>
      <c r="H139" s="108"/>
      <c r="I139" s="108"/>
      <c r="J139" s="20">
        <v>12522</v>
      </c>
    </row>
    <row r="140" spans="1:10" customFormat="1" x14ac:dyDescent="0.25">
      <c r="A140" s="107" t="s">
        <v>442</v>
      </c>
      <c r="B140" s="158">
        <v>7440</v>
      </c>
      <c r="C140" s="108"/>
      <c r="D140" s="108"/>
      <c r="E140" s="158">
        <v>7440</v>
      </c>
      <c r="F140" s="107"/>
      <c r="G140" s="20">
        <v>-7440</v>
      </c>
      <c r="H140" s="108"/>
      <c r="I140" s="108"/>
      <c r="J140" s="20">
        <v>-7440</v>
      </c>
    </row>
    <row r="141" spans="1:10" customFormat="1" x14ac:dyDescent="0.25">
      <c r="A141" s="107" t="s">
        <v>448</v>
      </c>
      <c r="B141" s="158">
        <v>5912</v>
      </c>
      <c r="C141" s="108"/>
      <c r="D141" s="108"/>
      <c r="E141" s="158">
        <v>5912</v>
      </c>
      <c r="F141" s="107"/>
      <c r="G141" s="20">
        <v>-5912</v>
      </c>
      <c r="H141" s="108"/>
      <c r="I141" s="108"/>
      <c r="J141" s="20">
        <v>-5912</v>
      </c>
    </row>
    <row r="142" spans="1:10" customFormat="1" x14ac:dyDescent="0.25">
      <c r="A142" s="107" t="s">
        <v>454</v>
      </c>
      <c r="B142" s="158">
        <v>16459</v>
      </c>
      <c r="C142" s="108"/>
      <c r="D142" s="108"/>
      <c r="E142" s="158">
        <v>16459</v>
      </c>
      <c r="F142" s="107"/>
      <c r="G142" s="20">
        <v>-16459</v>
      </c>
      <c r="H142" s="108"/>
      <c r="I142" s="108"/>
      <c r="J142" s="20">
        <v>-16459</v>
      </c>
    </row>
    <row r="143" spans="1:10" customFormat="1" x14ac:dyDescent="0.25">
      <c r="A143" s="107" t="s">
        <v>455</v>
      </c>
      <c r="B143" s="157">
        <v>2210</v>
      </c>
      <c r="C143" s="108"/>
      <c r="D143" s="108"/>
      <c r="E143" s="157">
        <v>2210</v>
      </c>
      <c r="F143" s="107"/>
      <c r="G143" s="20">
        <v>2210</v>
      </c>
      <c r="H143" s="108"/>
      <c r="I143" s="108"/>
      <c r="J143" s="20">
        <v>2210</v>
      </c>
    </row>
    <row r="144" spans="1:10" customFormat="1" x14ac:dyDescent="0.25">
      <c r="A144" s="107" t="s">
        <v>440</v>
      </c>
      <c r="B144" s="157">
        <v>1166</v>
      </c>
      <c r="C144" s="108"/>
      <c r="D144" s="108"/>
      <c r="E144" s="157">
        <v>1166</v>
      </c>
      <c r="F144" s="107"/>
      <c r="G144" s="20">
        <v>1166</v>
      </c>
      <c r="H144" s="108"/>
      <c r="I144" s="108"/>
      <c r="J144" s="20">
        <v>1166</v>
      </c>
    </row>
    <row r="145" spans="1:10" customFormat="1" x14ac:dyDescent="0.25">
      <c r="A145" s="107" t="s">
        <v>1038</v>
      </c>
      <c r="B145" s="158">
        <v>3329</v>
      </c>
      <c r="C145" s="108"/>
      <c r="D145" s="108"/>
      <c r="E145" s="158">
        <v>3329</v>
      </c>
      <c r="F145" s="107"/>
      <c r="G145" s="20">
        <v>-3329</v>
      </c>
      <c r="H145" s="108"/>
      <c r="I145" s="108"/>
      <c r="J145" s="20">
        <v>-3329</v>
      </c>
    </row>
    <row r="146" spans="1:10" customFormat="1" x14ac:dyDescent="0.25">
      <c r="A146" s="107" t="s">
        <v>1039</v>
      </c>
      <c r="B146" s="158">
        <v>3329</v>
      </c>
      <c r="C146" s="108"/>
      <c r="D146" s="108"/>
      <c r="E146" s="158">
        <v>3329</v>
      </c>
      <c r="F146" s="107"/>
      <c r="G146" s="20">
        <v>-3329</v>
      </c>
      <c r="H146" s="108"/>
      <c r="I146" s="108"/>
      <c r="J146" s="20">
        <v>-3329</v>
      </c>
    </row>
    <row r="147" spans="1:10" customFormat="1" x14ac:dyDescent="0.25">
      <c r="A147" s="107" t="s">
        <v>1040</v>
      </c>
      <c r="B147" s="158">
        <v>2663</v>
      </c>
      <c r="C147" s="108"/>
      <c r="D147" s="108"/>
      <c r="E147" s="158">
        <v>2663</v>
      </c>
      <c r="F147" s="107"/>
      <c r="G147" s="20">
        <v>-2663</v>
      </c>
      <c r="H147" s="108"/>
      <c r="I147" s="108"/>
      <c r="J147" s="20">
        <v>-2663</v>
      </c>
    </row>
    <row r="148" spans="1:10" customFormat="1" x14ac:dyDescent="0.25">
      <c r="A148" s="107" t="s">
        <v>1239</v>
      </c>
      <c r="B148" s="157">
        <v>4289384.88</v>
      </c>
      <c r="C148" s="108"/>
      <c r="D148" s="108"/>
      <c r="E148" s="157">
        <v>4289384.88</v>
      </c>
      <c r="F148" s="107"/>
      <c r="G148" s="20">
        <v>4289384.88</v>
      </c>
      <c r="H148" s="108"/>
      <c r="I148" s="108"/>
      <c r="J148" s="20">
        <v>4289384.88</v>
      </c>
    </row>
    <row r="149" spans="1:10" customFormat="1" x14ac:dyDescent="0.25">
      <c r="A149" s="107" t="s">
        <v>1240</v>
      </c>
      <c r="B149" s="158">
        <v>4716</v>
      </c>
      <c r="C149" s="108"/>
      <c r="D149" s="108"/>
      <c r="E149" s="158">
        <v>4716</v>
      </c>
      <c r="F149" s="107"/>
      <c r="G149" s="20">
        <v>-4716</v>
      </c>
      <c r="H149" s="108"/>
      <c r="I149" s="108"/>
      <c r="J149" s="20">
        <v>-4716</v>
      </c>
    </row>
    <row r="150" spans="1:10" customFormat="1" x14ac:dyDescent="0.25">
      <c r="A150" s="107" t="s">
        <v>1241</v>
      </c>
      <c r="B150" s="158">
        <v>4716</v>
      </c>
      <c r="C150" s="108"/>
      <c r="D150" s="108"/>
      <c r="E150" s="158">
        <v>4716</v>
      </c>
      <c r="F150" s="107"/>
      <c r="G150" s="20">
        <v>-4716</v>
      </c>
      <c r="H150" s="108"/>
      <c r="I150" s="108"/>
      <c r="J150" s="20">
        <v>-4716</v>
      </c>
    </row>
    <row r="151" spans="1:10" customFormat="1" x14ac:dyDescent="0.25">
      <c r="A151" s="107" t="s">
        <v>1242</v>
      </c>
      <c r="B151" s="158">
        <v>4298</v>
      </c>
      <c r="C151" s="108"/>
      <c r="D151" s="108"/>
      <c r="E151" s="158">
        <v>4298</v>
      </c>
      <c r="F151" s="107"/>
      <c r="G151" s="20">
        <v>-4298</v>
      </c>
      <c r="H151" s="108"/>
      <c r="I151" s="108"/>
      <c r="J151" s="20">
        <v>-4298</v>
      </c>
    </row>
    <row r="152" spans="1:10" customFormat="1" x14ac:dyDescent="0.25">
      <c r="A152" s="107" t="s">
        <v>1243</v>
      </c>
      <c r="B152" s="158">
        <v>3401</v>
      </c>
      <c r="C152" s="108"/>
      <c r="D152" s="108"/>
      <c r="E152" s="158">
        <v>3401</v>
      </c>
      <c r="F152" s="107"/>
      <c r="G152" s="20">
        <v>-3401</v>
      </c>
      <c r="H152" s="108"/>
      <c r="I152" s="108"/>
      <c r="J152" s="20">
        <v>-3401</v>
      </c>
    </row>
    <row r="153" spans="1:10" customFormat="1" x14ac:dyDescent="0.25">
      <c r="A153" s="107" t="s">
        <v>1303</v>
      </c>
      <c r="B153" s="157">
        <v>2691229.34</v>
      </c>
      <c r="C153" s="108"/>
      <c r="D153" s="108"/>
      <c r="E153" s="157">
        <v>2691229.34</v>
      </c>
      <c r="F153" s="107"/>
      <c r="G153" s="20">
        <v>2691229.34</v>
      </c>
      <c r="H153" s="108"/>
      <c r="I153" s="108"/>
      <c r="J153" s="20">
        <v>2691229.34</v>
      </c>
    </row>
    <row r="154" spans="1:10" customFormat="1" x14ac:dyDescent="0.25">
      <c r="A154" s="107" t="s">
        <v>1304</v>
      </c>
      <c r="B154" s="158">
        <v>2691229.34</v>
      </c>
      <c r="C154" s="108"/>
      <c r="D154" s="108"/>
      <c r="E154" s="158">
        <v>2691229.34</v>
      </c>
      <c r="F154" s="107"/>
      <c r="G154" s="20">
        <v>-2691229.34</v>
      </c>
      <c r="H154" s="108"/>
      <c r="I154" s="108"/>
      <c r="J154" s="20">
        <v>-2691229.34</v>
      </c>
    </row>
    <row r="155" spans="1:10" customFormat="1" x14ac:dyDescent="0.25">
      <c r="A155" s="107" t="s">
        <v>1362</v>
      </c>
      <c r="B155" s="110"/>
      <c r="C155" s="109">
        <v>5000000</v>
      </c>
      <c r="D155" s="108"/>
      <c r="E155" s="157">
        <v>5000000</v>
      </c>
      <c r="F155" s="107"/>
      <c r="G155" s="110"/>
      <c r="H155" s="109">
        <v>5000000</v>
      </c>
      <c r="I155" s="108"/>
      <c r="J155" s="20">
        <v>5000000</v>
      </c>
    </row>
    <row r="156" spans="1:10" customFormat="1" x14ac:dyDescent="0.25">
      <c r="A156" s="107" t="s">
        <v>1363</v>
      </c>
      <c r="B156" s="110"/>
      <c r="C156" s="109">
        <v>5000000</v>
      </c>
      <c r="D156" s="108"/>
      <c r="E156" s="157">
        <v>5000000</v>
      </c>
      <c r="F156" s="107"/>
      <c r="G156" s="110"/>
      <c r="H156" s="109">
        <v>5000000</v>
      </c>
      <c r="I156" s="108"/>
      <c r="J156" s="20">
        <v>5000000</v>
      </c>
    </row>
    <row r="157" spans="1:10" customFormat="1" x14ac:dyDescent="0.25">
      <c r="A157" s="107" t="s">
        <v>1364</v>
      </c>
      <c r="B157" s="110"/>
      <c r="C157" s="109">
        <v>5000000</v>
      </c>
      <c r="D157" s="108"/>
      <c r="E157" s="157">
        <v>5000000</v>
      </c>
      <c r="F157" s="107"/>
      <c r="G157" s="110"/>
      <c r="H157" s="109">
        <v>5000000</v>
      </c>
      <c r="I157" s="108"/>
      <c r="J157" s="20">
        <v>5000000</v>
      </c>
    </row>
    <row r="158" spans="1:10" customFormat="1" x14ac:dyDescent="0.25">
      <c r="A158" s="107" t="s">
        <v>1365</v>
      </c>
      <c r="B158" s="110"/>
      <c r="C158" s="109">
        <v>5000000</v>
      </c>
      <c r="D158" s="109">
        <v>446098.28</v>
      </c>
      <c r="E158" s="157">
        <v>4553901.72</v>
      </c>
      <c r="F158" s="107"/>
      <c r="G158" s="110"/>
      <c r="H158" s="109">
        <v>5000000</v>
      </c>
      <c r="I158" s="109">
        <v>446098.28</v>
      </c>
      <c r="J158" s="20">
        <v>4553901.72</v>
      </c>
    </row>
    <row r="159" spans="1:10" customFormat="1" x14ac:dyDescent="0.25">
      <c r="A159" s="107" t="s">
        <v>1366</v>
      </c>
      <c r="B159" s="110"/>
      <c r="C159" s="109">
        <v>5000000</v>
      </c>
      <c r="D159" s="109">
        <v>5000000</v>
      </c>
      <c r="E159" s="110"/>
      <c r="F159" s="107"/>
      <c r="G159" s="110"/>
      <c r="H159" s="109">
        <v>5000000</v>
      </c>
      <c r="I159" s="109">
        <v>5000000</v>
      </c>
      <c r="J159" s="110"/>
    </row>
    <row r="160" spans="1:10" customFormat="1" x14ac:dyDescent="0.25">
      <c r="A160" s="107" t="s">
        <v>1114</v>
      </c>
      <c r="B160" s="157">
        <v>275304.76</v>
      </c>
      <c r="C160" s="108"/>
      <c r="D160" s="109">
        <v>197992.8</v>
      </c>
      <c r="E160" s="157">
        <v>77311.960000000006</v>
      </c>
      <c r="F160" s="107"/>
      <c r="G160" s="20">
        <v>275304.76</v>
      </c>
      <c r="H160" s="108"/>
      <c r="I160" s="109">
        <v>197992.8</v>
      </c>
      <c r="J160" s="20">
        <v>77311.960000000006</v>
      </c>
    </row>
    <row r="161" spans="1:10" customFormat="1" x14ac:dyDescent="0.25">
      <c r="A161" s="107" t="s">
        <v>1115</v>
      </c>
      <c r="B161" s="158">
        <v>5955</v>
      </c>
      <c r="C161" s="108"/>
      <c r="D161" s="108"/>
      <c r="E161" s="158">
        <v>5955</v>
      </c>
      <c r="F161" s="107"/>
      <c r="G161" s="20">
        <v>-5955</v>
      </c>
      <c r="H161" s="108"/>
      <c r="I161" s="108"/>
      <c r="J161" s="20">
        <v>-5955</v>
      </c>
    </row>
    <row r="162" spans="1:10" customFormat="1" x14ac:dyDescent="0.25">
      <c r="A162" s="107" t="s">
        <v>1116</v>
      </c>
      <c r="B162" s="158">
        <v>5954</v>
      </c>
      <c r="C162" s="108"/>
      <c r="D162" s="108"/>
      <c r="E162" s="158">
        <v>5954</v>
      </c>
      <c r="F162" s="107"/>
      <c r="G162" s="20">
        <v>-5954</v>
      </c>
      <c r="H162" s="108"/>
      <c r="I162" s="108"/>
      <c r="J162" s="20">
        <v>-5954</v>
      </c>
    </row>
    <row r="163" spans="1:10" customFormat="1" x14ac:dyDescent="0.25">
      <c r="A163" s="107" t="s">
        <v>1117</v>
      </c>
      <c r="B163" s="158">
        <v>5955</v>
      </c>
      <c r="C163" s="108"/>
      <c r="D163" s="108"/>
      <c r="E163" s="158">
        <v>5955</v>
      </c>
      <c r="F163" s="107"/>
      <c r="G163" s="20">
        <v>-5955</v>
      </c>
      <c r="H163" s="108"/>
      <c r="I163" s="108"/>
      <c r="J163" s="20">
        <v>-5955</v>
      </c>
    </row>
    <row r="164" spans="1:10" customFormat="1" x14ac:dyDescent="0.25">
      <c r="A164" s="107" t="s">
        <v>1118</v>
      </c>
      <c r="B164" s="158">
        <v>5899</v>
      </c>
      <c r="C164" s="108"/>
      <c r="D164" s="108"/>
      <c r="E164" s="158">
        <v>5899</v>
      </c>
      <c r="F164" s="107"/>
      <c r="G164" s="20">
        <v>-5899</v>
      </c>
      <c r="H164" s="108"/>
      <c r="I164" s="108"/>
      <c r="J164" s="20">
        <v>-5899</v>
      </c>
    </row>
    <row r="165" spans="1:10" customFormat="1" x14ac:dyDescent="0.25">
      <c r="A165" s="107" t="s">
        <v>1119</v>
      </c>
      <c r="B165" s="158">
        <v>3557</v>
      </c>
      <c r="C165" s="108"/>
      <c r="D165" s="108"/>
      <c r="E165" s="158">
        <v>3557</v>
      </c>
      <c r="F165" s="107"/>
      <c r="G165" s="20">
        <v>-3557</v>
      </c>
      <c r="H165" s="108"/>
      <c r="I165" s="108"/>
      <c r="J165" s="20">
        <v>-3557</v>
      </c>
    </row>
    <row r="166" spans="1:10" customFormat="1" x14ac:dyDescent="0.25">
      <c r="A166" s="107" t="s">
        <v>1120</v>
      </c>
      <c r="B166" s="158">
        <v>2226</v>
      </c>
      <c r="C166" s="108"/>
      <c r="D166" s="108"/>
      <c r="E166" s="158">
        <v>2226</v>
      </c>
      <c r="F166" s="107"/>
      <c r="G166" s="20">
        <v>-2226</v>
      </c>
      <c r="H166" s="108"/>
      <c r="I166" s="108"/>
      <c r="J166" s="20">
        <v>-2226</v>
      </c>
    </row>
    <row r="167" spans="1:10" customFormat="1" x14ac:dyDescent="0.25">
      <c r="A167" s="107" t="s">
        <v>1121</v>
      </c>
      <c r="B167" s="158">
        <v>2108</v>
      </c>
      <c r="C167" s="108"/>
      <c r="D167" s="108"/>
      <c r="E167" s="158">
        <v>2108</v>
      </c>
      <c r="F167" s="107"/>
      <c r="G167" s="20">
        <v>-2108</v>
      </c>
      <c r="H167" s="108"/>
      <c r="I167" s="108"/>
      <c r="J167" s="20">
        <v>-2108</v>
      </c>
    </row>
    <row r="168" spans="1:10" customFormat="1" x14ac:dyDescent="0.25">
      <c r="A168" s="107" t="s">
        <v>1122</v>
      </c>
      <c r="B168" s="158">
        <v>2113</v>
      </c>
      <c r="C168" s="108"/>
      <c r="D168" s="108"/>
      <c r="E168" s="158">
        <v>2113</v>
      </c>
      <c r="F168" s="107"/>
      <c r="G168" s="20">
        <v>-2113</v>
      </c>
      <c r="H168" s="108"/>
      <c r="I168" s="108"/>
      <c r="J168" s="20">
        <v>-2113</v>
      </c>
    </row>
    <row r="169" spans="1:10" customFormat="1" x14ac:dyDescent="0.25">
      <c r="A169" s="107" t="s">
        <v>1123</v>
      </c>
      <c r="B169" s="158">
        <v>2139</v>
      </c>
      <c r="C169" s="108"/>
      <c r="D169" s="108"/>
      <c r="E169" s="158">
        <v>2139</v>
      </c>
      <c r="F169" s="107"/>
      <c r="G169" s="20">
        <v>-2139</v>
      </c>
      <c r="H169" s="108"/>
      <c r="I169" s="108"/>
      <c r="J169" s="20">
        <v>-2139</v>
      </c>
    </row>
    <row r="170" spans="1:10" customFormat="1" x14ac:dyDescent="0.25">
      <c r="A170" s="107" t="s">
        <v>1124</v>
      </c>
      <c r="B170" s="158">
        <v>1814</v>
      </c>
      <c r="C170" s="108"/>
      <c r="D170" s="108"/>
      <c r="E170" s="158">
        <v>1814</v>
      </c>
      <c r="F170" s="107"/>
      <c r="G170" s="20">
        <v>-1814</v>
      </c>
      <c r="H170" s="108"/>
      <c r="I170" s="108"/>
      <c r="J170" s="20">
        <v>-1814</v>
      </c>
    </row>
    <row r="171" spans="1:10" customFormat="1" x14ac:dyDescent="0.25">
      <c r="A171" s="107" t="s">
        <v>1125</v>
      </c>
      <c r="B171" s="158">
        <v>1687</v>
      </c>
      <c r="C171" s="108"/>
      <c r="D171" s="108"/>
      <c r="E171" s="158">
        <v>1687</v>
      </c>
      <c r="F171" s="107"/>
      <c r="G171" s="20">
        <v>-1687</v>
      </c>
      <c r="H171" s="108"/>
      <c r="I171" s="108"/>
      <c r="J171" s="20">
        <v>-1687</v>
      </c>
    </row>
    <row r="172" spans="1:10" customFormat="1" x14ac:dyDescent="0.25">
      <c r="A172" s="107" t="s">
        <v>1126</v>
      </c>
      <c r="B172" s="158">
        <v>1388</v>
      </c>
      <c r="C172" s="108"/>
      <c r="D172" s="108"/>
      <c r="E172" s="158">
        <v>1388</v>
      </c>
      <c r="F172" s="107"/>
      <c r="G172" s="20">
        <v>-1388</v>
      </c>
      <c r="H172" s="108"/>
      <c r="I172" s="108"/>
      <c r="J172" s="20">
        <v>-1388</v>
      </c>
    </row>
    <row r="173" spans="1:10" customFormat="1" x14ac:dyDescent="0.25">
      <c r="A173" s="107" t="s">
        <v>1127</v>
      </c>
      <c r="B173" s="158">
        <v>1295</v>
      </c>
      <c r="C173" s="108"/>
      <c r="D173" s="108"/>
      <c r="E173" s="158">
        <v>1295</v>
      </c>
      <c r="F173" s="107"/>
      <c r="G173" s="20">
        <v>-1295</v>
      </c>
      <c r="H173" s="108"/>
      <c r="I173" s="108"/>
      <c r="J173" s="20">
        <v>-1295</v>
      </c>
    </row>
    <row r="174" spans="1:10" customFormat="1" x14ac:dyDescent="0.25">
      <c r="A174" s="107" t="s">
        <v>1128</v>
      </c>
      <c r="B174" s="158">
        <v>1197</v>
      </c>
      <c r="C174" s="108"/>
      <c r="D174" s="108"/>
      <c r="E174" s="158">
        <v>1197</v>
      </c>
      <c r="F174" s="107"/>
      <c r="G174" s="20">
        <v>-1197</v>
      </c>
      <c r="H174" s="108"/>
      <c r="I174" s="108"/>
      <c r="J174" s="20">
        <v>-1197</v>
      </c>
    </row>
    <row r="175" spans="1:10" customFormat="1" x14ac:dyDescent="0.25">
      <c r="A175" s="107" t="s">
        <v>1041</v>
      </c>
      <c r="B175" s="158">
        <v>56</v>
      </c>
      <c r="C175" s="108"/>
      <c r="D175" s="108"/>
      <c r="E175" s="158">
        <v>56</v>
      </c>
      <c r="F175" s="107"/>
      <c r="G175" s="20">
        <v>-56</v>
      </c>
      <c r="H175" s="108"/>
      <c r="I175" s="108"/>
      <c r="J175" s="20">
        <v>-56</v>
      </c>
    </row>
    <row r="176" spans="1:10" customFormat="1" x14ac:dyDescent="0.25">
      <c r="A176" s="107" t="s">
        <v>473</v>
      </c>
      <c r="B176" s="110"/>
      <c r="C176" s="109">
        <v>81813.94</v>
      </c>
      <c r="D176" s="108"/>
      <c r="E176" s="157">
        <v>81813.94</v>
      </c>
      <c r="F176" s="107"/>
      <c r="G176" s="110"/>
      <c r="H176" s="109">
        <v>81813.94</v>
      </c>
      <c r="I176" s="108"/>
      <c r="J176" s="20">
        <v>81813.94</v>
      </c>
    </row>
    <row r="177" spans="1:10" customFormat="1" x14ac:dyDescent="0.25">
      <c r="A177" s="107" t="s">
        <v>476</v>
      </c>
      <c r="B177" s="158">
        <v>33366666.66</v>
      </c>
      <c r="C177" s="109">
        <v>1184951</v>
      </c>
      <c r="D177" s="109">
        <v>1184951</v>
      </c>
      <c r="E177" s="158">
        <v>33366666.66</v>
      </c>
      <c r="F177" s="107"/>
      <c r="G177" s="20">
        <v>-33366666.66</v>
      </c>
      <c r="H177" s="109">
        <v>1184951</v>
      </c>
      <c r="I177" s="109">
        <v>1184951</v>
      </c>
      <c r="J177" s="20">
        <v>-33366666.66</v>
      </c>
    </row>
    <row r="178" spans="1:10" customFormat="1" x14ac:dyDescent="0.25">
      <c r="A178" s="107" t="s">
        <v>477</v>
      </c>
      <c r="B178" s="110"/>
      <c r="C178" s="109">
        <v>211869</v>
      </c>
      <c r="D178" s="109">
        <v>211869</v>
      </c>
      <c r="E178" s="110"/>
      <c r="F178" s="107"/>
      <c r="G178" s="110"/>
      <c r="H178" s="109">
        <v>211869</v>
      </c>
      <c r="I178" s="109">
        <v>211869</v>
      </c>
      <c r="J178" s="110"/>
    </row>
    <row r="179" spans="1:10" customFormat="1" x14ac:dyDescent="0.25">
      <c r="A179" s="107" t="s">
        <v>478</v>
      </c>
      <c r="B179" s="157">
        <v>11500</v>
      </c>
      <c r="C179" s="108"/>
      <c r="D179" s="108"/>
      <c r="E179" s="157">
        <v>11500</v>
      </c>
      <c r="F179" s="107"/>
      <c r="G179" s="20">
        <v>11500</v>
      </c>
      <c r="H179" s="108"/>
      <c r="I179" s="108"/>
      <c r="J179" s="20">
        <v>11500</v>
      </c>
    </row>
    <row r="180" spans="1:10" customFormat="1" x14ac:dyDescent="0.25">
      <c r="A180" s="107" t="s">
        <v>479</v>
      </c>
      <c r="B180" s="157">
        <v>13500</v>
      </c>
      <c r="C180" s="108"/>
      <c r="D180" s="108"/>
      <c r="E180" s="157">
        <v>13500</v>
      </c>
      <c r="F180" s="107"/>
      <c r="G180" s="20">
        <v>13500</v>
      </c>
      <c r="H180" s="108"/>
      <c r="I180" s="108"/>
      <c r="J180" s="20">
        <v>13500</v>
      </c>
    </row>
    <row r="181" spans="1:10" customFormat="1" x14ac:dyDescent="0.25">
      <c r="A181" s="107" t="s">
        <v>483</v>
      </c>
      <c r="B181" s="110"/>
      <c r="C181" s="109">
        <v>5000</v>
      </c>
      <c r="D181" s="108"/>
      <c r="E181" s="157">
        <v>5000</v>
      </c>
      <c r="F181" s="107"/>
      <c r="G181" s="110"/>
      <c r="H181" s="109">
        <v>5000</v>
      </c>
      <c r="I181" s="108"/>
      <c r="J181" s="20">
        <v>5000</v>
      </c>
    </row>
    <row r="182" spans="1:10" customFormat="1" x14ac:dyDescent="0.25">
      <c r="A182" s="107" t="s">
        <v>1281</v>
      </c>
      <c r="B182" s="110"/>
      <c r="C182" s="109">
        <v>4200</v>
      </c>
      <c r="D182" s="108"/>
      <c r="E182" s="157">
        <v>4200</v>
      </c>
      <c r="F182" s="107"/>
      <c r="G182" s="110"/>
      <c r="H182" s="109">
        <v>4200</v>
      </c>
      <c r="I182" s="108"/>
      <c r="J182" s="20">
        <v>4200</v>
      </c>
    </row>
    <row r="183" spans="1:10" customFormat="1" x14ac:dyDescent="0.25">
      <c r="A183" s="107" t="s">
        <v>484</v>
      </c>
      <c r="B183" s="157">
        <v>25623.87</v>
      </c>
      <c r="C183" s="108"/>
      <c r="D183" s="108"/>
      <c r="E183" s="157">
        <v>25623.87</v>
      </c>
      <c r="F183" s="107"/>
      <c r="G183" s="20">
        <v>25623.87</v>
      </c>
      <c r="H183" s="108"/>
      <c r="I183" s="108"/>
      <c r="J183" s="20">
        <v>25623.87</v>
      </c>
    </row>
    <row r="184" spans="1:10" customFormat="1" x14ac:dyDescent="0.25">
      <c r="A184" s="107" t="s">
        <v>1051</v>
      </c>
      <c r="B184" s="157">
        <v>19798</v>
      </c>
      <c r="C184" s="109">
        <v>790001</v>
      </c>
      <c r="D184" s="109">
        <v>809799</v>
      </c>
      <c r="E184" s="110"/>
      <c r="F184" s="107"/>
      <c r="G184" s="20">
        <v>19798</v>
      </c>
      <c r="H184" s="109">
        <v>790001</v>
      </c>
      <c r="I184" s="109">
        <v>809799</v>
      </c>
      <c r="J184" s="110"/>
    </row>
    <row r="185" spans="1:10" customFormat="1" x14ac:dyDescent="0.25">
      <c r="A185" s="107" t="s">
        <v>489</v>
      </c>
      <c r="B185" s="158">
        <v>23345</v>
      </c>
      <c r="C185" s="108"/>
      <c r="D185" s="108"/>
      <c r="E185" s="158">
        <v>23345</v>
      </c>
      <c r="F185" s="107"/>
      <c r="G185" s="20">
        <v>-23345</v>
      </c>
      <c r="H185" s="108"/>
      <c r="I185" s="108"/>
      <c r="J185" s="20">
        <v>-23345</v>
      </c>
    </row>
    <row r="186" spans="1:10" customFormat="1" x14ac:dyDescent="0.25">
      <c r="A186" s="107" t="s">
        <v>490</v>
      </c>
      <c r="B186" s="157">
        <v>220600</v>
      </c>
      <c r="C186" s="108"/>
      <c r="D186" s="108"/>
      <c r="E186" s="157">
        <v>220600</v>
      </c>
      <c r="F186" s="107"/>
      <c r="G186" s="20">
        <v>220600</v>
      </c>
      <c r="H186" s="108"/>
      <c r="I186" s="108"/>
      <c r="J186" s="20">
        <v>220600</v>
      </c>
    </row>
    <row r="187" spans="1:10" customFormat="1" x14ac:dyDescent="0.25">
      <c r="A187" s="107" t="s">
        <v>491</v>
      </c>
      <c r="B187" s="157">
        <v>1433</v>
      </c>
      <c r="C187" s="108"/>
      <c r="D187" s="109">
        <v>9603</v>
      </c>
      <c r="E187" s="158">
        <v>8170</v>
      </c>
      <c r="F187" s="107"/>
      <c r="G187" s="20">
        <v>1433</v>
      </c>
      <c r="H187" s="108"/>
      <c r="I187" s="109">
        <v>9603</v>
      </c>
      <c r="J187" s="20">
        <v>-8170</v>
      </c>
    </row>
    <row r="188" spans="1:10" customFormat="1" x14ac:dyDescent="0.25">
      <c r="A188" s="107" t="s">
        <v>1054</v>
      </c>
      <c r="B188" s="110"/>
      <c r="C188" s="109">
        <v>609000</v>
      </c>
      <c r="D188" s="109">
        <v>609000</v>
      </c>
      <c r="E188" s="110"/>
      <c r="F188" s="107"/>
      <c r="G188" s="110"/>
      <c r="H188" s="109">
        <v>609000</v>
      </c>
      <c r="I188" s="109">
        <v>609000</v>
      </c>
      <c r="J188" s="110"/>
    </row>
    <row r="189" spans="1:10" customFormat="1" x14ac:dyDescent="0.25">
      <c r="A189" s="107" t="s">
        <v>498</v>
      </c>
      <c r="B189" s="158">
        <v>1382189.58</v>
      </c>
      <c r="C189" s="108"/>
      <c r="D189" s="108"/>
      <c r="E189" s="158">
        <v>1382189.58</v>
      </c>
      <c r="F189" s="107"/>
      <c r="G189" s="20">
        <v>-1382189.58</v>
      </c>
      <c r="H189" s="108"/>
      <c r="I189" s="108"/>
      <c r="J189" s="20">
        <v>-1382189.58</v>
      </c>
    </row>
    <row r="190" spans="1:10" customFormat="1" x14ac:dyDescent="0.25">
      <c r="A190" s="107" t="s">
        <v>500</v>
      </c>
      <c r="B190" s="157">
        <v>1649918.95</v>
      </c>
      <c r="C190" s="108"/>
      <c r="D190" s="108"/>
      <c r="E190" s="157">
        <v>1649918.95</v>
      </c>
      <c r="F190" s="107"/>
      <c r="G190" s="20">
        <v>1649918.95</v>
      </c>
      <c r="H190" s="108"/>
      <c r="I190" s="108"/>
      <c r="J190" s="20">
        <v>1649918.95</v>
      </c>
    </row>
    <row r="191" spans="1:10" customFormat="1" x14ac:dyDescent="0.25">
      <c r="A191" s="107" t="s">
        <v>505</v>
      </c>
      <c r="B191" s="157">
        <v>70583.740000000005</v>
      </c>
      <c r="C191" s="108"/>
      <c r="D191" s="108"/>
      <c r="E191" s="157">
        <v>70583.740000000005</v>
      </c>
      <c r="F191" s="107"/>
      <c r="G191" s="20">
        <v>70583.740000000005</v>
      </c>
      <c r="H191" s="108"/>
      <c r="I191" s="108"/>
      <c r="J191" s="20">
        <v>70583.740000000005</v>
      </c>
    </row>
    <row r="192" spans="1:10" customFormat="1" x14ac:dyDescent="0.25">
      <c r="A192" s="107" t="s">
        <v>506</v>
      </c>
      <c r="B192" s="157">
        <v>11265.99</v>
      </c>
      <c r="C192" s="108"/>
      <c r="D192" s="108"/>
      <c r="E192" s="157">
        <v>11265.99</v>
      </c>
      <c r="F192" s="107"/>
      <c r="G192" s="20">
        <v>11265.99</v>
      </c>
      <c r="H192" s="108"/>
      <c r="I192" s="108"/>
      <c r="J192" s="20">
        <v>11265.99</v>
      </c>
    </row>
    <row r="193" spans="1:10" customFormat="1" x14ac:dyDescent="0.25">
      <c r="A193" s="107" t="s">
        <v>504</v>
      </c>
      <c r="B193" s="157">
        <v>5241.51</v>
      </c>
      <c r="C193" s="108"/>
      <c r="D193" s="108"/>
      <c r="E193" s="157">
        <v>5241.51</v>
      </c>
      <c r="F193" s="107"/>
      <c r="G193" s="20">
        <v>5241.51</v>
      </c>
      <c r="H193" s="108"/>
      <c r="I193" s="108"/>
      <c r="J193" s="20">
        <v>5241.51</v>
      </c>
    </row>
    <row r="194" spans="1:10" customFormat="1" x14ac:dyDescent="0.25">
      <c r="A194" s="107" t="s">
        <v>503</v>
      </c>
      <c r="B194" s="158">
        <v>50009</v>
      </c>
      <c r="C194" s="109">
        <v>54640</v>
      </c>
      <c r="D194" s="109">
        <v>54640</v>
      </c>
      <c r="E194" s="158">
        <v>50009</v>
      </c>
      <c r="F194" s="107"/>
      <c r="G194" s="20">
        <v>-50009</v>
      </c>
      <c r="H194" s="109">
        <v>54640</v>
      </c>
      <c r="I194" s="109">
        <v>54640</v>
      </c>
      <c r="J194" s="20">
        <v>-50009</v>
      </c>
    </row>
    <row r="195" spans="1:10" customFormat="1" x14ac:dyDescent="0.25">
      <c r="A195" s="107" t="s">
        <v>501</v>
      </c>
      <c r="B195" s="157">
        <v>120000</v>
      </c>
      <c r="C195" s="108"/>
      <c r="D195" s="108"/>
      <c r="E195" s="157">
        <v>120000</v>
      </c>
      <c r="F195" s="107"/>
      <c r="G195" s="20">
        <v>120000</v>
      </c>
      <c r="H195" s="108"/>
      <c r="I195" s="108"/>
      <c r="J195" s="20">
        <v>120000</v>
      </c>
    </row>
    <row r="196" spans="1:10" customFormat="1" x14ac:dyDescent="0.25">
      <c r="A196" s="107" t="s">
        <v>507</v>
      </c>
      <c r="B196" s="157">
        <v>199900</v>
      </c>
      <c r="C196" s="108"/>
      <c r="D196" s="109">
        <v>100000</v>
      </c>
      <c r="E196" s="157">
        <v>99900</v>
      </c>
      <c r="F196" s="107"/>
      <c r="G196" s="20">
        <v>199900</v>
      </c>
      <c r="H196" s="108"/>
      <c r="I196" s="109">
        <v>100000</v>
      </c>
      <c r="J196" s="20">
        <v>99900</v>
      </c>
    </row>
    <row r="197" spans="1:10" customFormat="1" x14ac:dyDescent="0.25">
      <c r="A197" s="107" t="s">
        <v>1305</v>
      </c>
      <c r="B197" s="110"/>
      <c r="C197" s="109">
        <v>2552000</v>
      </c>
      <c r="D197" s="109">
        <v>2652000</v>
      </c>
      <c r="E197" s="158">
        <v>100000</v>
      </c>
      <c r="F197" s="107"/>
      <c r="G197" s="110"/>
      <c r="H197" s="109">
        <v>2552000</v>
      </c>
      <c r="I197" s="109">
        <v>2652000</v>
      </c>
      <c r="J197" s="20">
        <v>-100000</v>
      </c>
    </row>
    <row r="198" spans="1:10" customFormat="1" x14ac:dyDescent="0.25">
      <c r="A198" s="107" t="s">
        <v>508</v>
      </c>
      <c r="B198" s="110"/>
      <c r="C198" s="109">
        <v>13176</v>
      </c>
      <c r="D198" s="108"/>
      <c r="E198" s="157">
        <v>13176</v>
      </c>
      <c r="F198" s="107"/>
      <c r="G198" s="110"/>
      <c r="H198" s="109">
        <v>13176</v>
      </c>
      <c r="I198" s="108"/>
      <c r="J198" s="20">
        <v>13176</v>
      </c>
    </row>
    <row r="199" spans="1:10" customFormat="1" x14ac:dyDescent="0.25">
      <c r="A199" s="107" t="s">
        <v>511</v>
      </c>
      <c r="B199" s="157">
        <v>7796</v>
      </c>
      <c r="C199" s="108"/>
      <c r="D199" s="108"/>
      <c r="E199" s="157">
        <v>7796</v>
      </c>
      <c r="F199" s="107"/>
      <c r="G199" s="20">
        <v>7796</v>
      </c>
      <c r="H199" s="108"/>
      <c r="I199" s="108"/>
      <c r="J199" s="20">
        <v>7796</v>
      </c>
    </row>
    <row r="200" spans="1:10" customFormat="1" x14ac:dyDescent="0.25">
      <c r="A200" s="107" t="s">
        <v>512</v>
      </c>
      <c r="B200" s="157">
        <v>93</v>
      </c>
      <c r="C200" s="109">
        <v>29207</v>
      </c>
      <c r="D200" s="109">
        <v>29300</v>
      </c>
      <c r="E200" s="110"/>
      <c r="F200" s="107"/>
      <c r="G200" s="20">
        <v>93</v>
      </c>
      <c r="H200" s="109">
        <v>29207</v>
      </c>
      <c r="I200" s="109">
        <v>29300</v>
      </c>
      <c r="J200" s="110"/>
    </row>
    <row r="201" spans="1:10" customFormat="1" x14ac:dyDescent="0.25">
      <c r="A201" s="107" t="s">
        <v>1367</v>
      </c>
      <c r="B201" s="110"/>
      <c r="C201" s="109">
        <v>4130000</v>
      </c>
      <c r="D201" s="109">
        <v>4130000</v>
      </c>
      <c r="E201" s="110"/>
      <c r="F201" s="107"/>
      <c r="G201" s="110"/>
      <c r="H201" s="109">
        <v>4130000</v>
      </c>
      <c r="I201" s="109">
        <v>4130000</v>
      </c>
      <c r="J201" s="110"/>
    </row>
    <row r="202" spans="1:10" customFormat="1" x14ac:dyDescent="0.25">
      <c r="A202" s="107" t="s">
        <v>521</v>
      </c>
      <c r="B202" s="110"/>
      <c r="C202" s="109">
        <v>2925</v>
      </c>
      <c r="D202" s="108"/>
      <c r="E202" s="157">
        <v>2925</v>
      </c>
      <c r="F202" s="107"/>
      <c r="G202" s="110"/>
      <c r="H202" s="109">
        <v>2925</v>
      </c>
      <c r="I202" s="108"/>
      <c r="J202" s="20">
        <v>2925</v>
      </c>
    </row>
    <row r="203" spans="1:10" customFormat="1" x14ac:dyDescent="0.25">
      <c r="A203" s="107" t="s">
        <v>524</v>
      </c>
      <c r="B203" s="110"/>
      <c r="C203" s="109">
        <v>22649</v>
      </c>
      <c r="D203" s="108"/>
      <c r="E203" s="157">
        <v>22649</v>
      </c>
      <c r="F203" s="107"/>
      <c r="G203" s="110"/>
      <c r="H203" s="109">
        <v>22649</v>
      </c>
      <c r="I203" s="108"/>
      <c r="J203" s="20">
        <v>22649</v>
      </c>
    </row>
    <row r="204" spans="1:10" customFormat="1" x14ac:dyDescent="0.25">
      <c r="A204" s="107" t="s">
        <v>1055</v>
      </c>
      <c r="B204" s="110"/>
      <c r="C204" s="109">
        <v>83517</v>
      </c>
      <c r="D204" s="108"/>
      <c r="E204" s="157">
        <v>83517</v>
      </c>
      <c r="F204" s="107"/>
      <c r="G204" s="110"/>
      <c r="H204" s="109">
        <v>83517</v>
      </c>
      <c r="I204" s="108"/>
      <c r="J204" s="20">
        <v>83517</v>
      </c>
    </row>
    <row r="205" spans="1:10" customFormat="1" x14ac:dyDescent="0.25">
      <c r="A205" s="107" t="s">
        <v>525</v>
      </c>
      <c r="B205" s="157">
        <v>532692.65</v>
      </c>
      <c r="C205" s="108"/>
      <c r="D205" s="108"/>
      <c r="E205" s="157">
        <v>532692.65</v>
      </c>
      <c r="F205" s="107"/>
      <c r="G205" s="20">
        <v>532692.65</v>
      </c>
      <c r="H205" s="108"/>
      <c r="I205" s="108"/>
      <c r="J205" s="20">
        <v>532692.65</v>
      </c>
    </row>
    <row r="206" spans="1:10" customFormat="1" x14ac:dyDescent="0.25">
      <c r="A206" s="107" t="s">
        <v>526</v>
      </c>
      <c r="B206" s="157">
        <v>443911.44</v>
      </c>
      <c r="C206" s="108"/>
      <c r="D206" s="108"/>
      <c r="E206" s="157">
        <v>443911.44</v>
      </c>
      <c r="F206" s="107"/>
      <c r="G206" s="20">
        <v>443911.44</v>
      </c>
      <c r="H206" s="108"/>
      <c r="I206" s="108"/>
      <c r="J206" s="20">
        <v>443911.44</v>
      </c>
    </row>
    <row r="207" spans="1:10" customFormat="1" x14ac:dyDescent="0.25">
      <c r="A207" s="107" t="s">
        <v>1368</v>
      </c>
      <c r="B207" s="157">
        <v>461145</v>
      </c>
      <c r="C207" s="108"/>
      <c r="D207" s="109">
        <v>86308.03</v>
      </c>
      <c r="E207" s="157">
        <v>374836.97</v>
      </c>
      <c r="F207" s="107"/>
      <c r="G207" s="20">
        <v>461145</v>
      </c>
      <c r="H207" s="108"/>
      <c r="I207" s="109">
        <v>86308.03</v>
      </c>
      <c r="J207" s="20">
        <v>374836.97</v>
      </c>
    </row>
    <row r="208" spans="1:10" customFormat="1" x14ac:dyDescent="0.25">
      <c r="A208" s="107" t="s">
        <v>528</v>
      </c>
      <c r="B208" s="157">
        <v>127374.74</v>
      </c>
      <c r="C208" s="109">
        <v>82237465.819999993</v>
      </c>
      <c r="D208" s="109">
        <v>79552327.950000003</v>
      </c>
      <c r="E208" s="157">
        <v>2812512.61</v>
      </c>
      <c r="F208" s="107"/>
      <c r="G208" s="20">
        <v>127374.74</v>
      </c>
      <c r="H208" s="109">
        <v>82237465.819999993</v>
      </c>
      <c r="I208" s="109">
        <v>79552327.950000003</v>
      </c>
      <c r="J208" s="20">
        <v>2812512.61</v>
      </c>
    </row>
    <row r="209" spans="1:10" customFormat="1" x14ac:dyDescent="0.25">
      <c r="A209" s="107" t="s">
        <v>542</v>
      </c>
      <c r="B209" s="157">
        <v>3790.08</v>
      </c>
      <c r="C209" s="108"/>
      <c r="D209" s="108"/>
      <c r="E209" s="157">
        <v>3790.08</v>
      </c>
      <c r="F209" s="107"/>
      <c r="G209" s="20">
        <v>3790.08</v>
      </c>
      <c r="H209" s="108"/>
      <c r="I209" s="108"/>
      <c r="J209" s="20">
        <v>3790.08</v>
      </c>
    </row>
    <row r="210" spans="1:10" customFormat="1" x14ac:dyDescent="0.25">
      <c r="A210" s="107" t="s">
        <v>543</v>
      </c>
      <c r="B210" s="157">
        <v>675475.88</v>
      </c>
      <c r="C210" s="109">
        <v>123630.03</v>
      </c>
      <c r="D210" s="108"/>
      <c r="E210" s="157">
        <v>799105.91</v>
      </c>
      <c r="F210" s="107"/>
      <c r="G210" s="20">
        <v>675475.88</v>
      </c>
      <c r="H210" s="109">
        <v>123630.03</v>
      </c>
      <c r="I210" s="108"/>
      <c r="J210" s="20">
        <v>799105.91</v>
      </c>
    </row>
    <row r="211" spans="1:10" customFormat="1" x14ac:dyDescent="0.25">
      <c r="A211" s="107" t="s">
        <v>544</v>
      </c>
      <c r="B211" s="157">
        <v>214404.69</v>
      </c>
      <c r="C211" s="109">
        <v>2038318.32</v>
      </c>
      <c r="D211" s="109">
        <v>3553930.14</v>
      </c>
      <c r="E211" s="158">
        <v>1301207.1299999999</v>
      </c>
      <c r="F211" s="107"/>
      <c r="G211" s="20">
        <v>214404.69</v>
      </c>
      <c r="H211" s="109">
        <v>2038318.32</v>
      </c>
      <c r="I211" s="109">
        <v>3553930.14</v>
      </c>
      <c r="J211" s="20">
        <v>-1301207.1299999999</v>
      </c>
    </row>
    <row r="212" spans="1:10" customFormat="1" x14ac:dyDescent="0.25">
      <c r="A212" s="107" t="s">
        <v>547</v>
      </c>
      <c r="B212" s="157">
        <v>1067760</v>
      </c>
      <c r="C212" s="108"/>
      <c r="D212" s="108"/>
      <c r="E212" s="157">
        <v>1067760</v>
      </c>
      <c r="F212" s="107"/>
      <c r="G212" s="20">
        <v>1067760</v>
      </c>
      <c r="H212" s="108"/>
      <c r="I212" s="108"/>
      <c r="J212" s="20">
        <v>1067760</v>
      </c>
    </row>
    <row r="213" spans="1:10" customFormat="1" x14ac:dyDescent="0.25">
      <c r="A213" s="107" t="s">
        <v>548</v>
      </c>
      <c r="B213" s="158">
        <v>44770</v>
      </c>
      <c r="C213" s="108"/>
      <c r="D213" s="108"/>
      <c r="E213" s="158">
        <v>44770</v>
      </c>
      <c r="F213" s="107"/>
      <c r="G213" s="20">
        <v>-44770</v>
      </c>
      <c r="H213" s="108"/>
      <c r="I213" s="108"/>
      <c r="J213" s="20">
        <v>-44770</v>
      </c>
    </row>
    <row r="214" spans="1:10" customFormat="1" x14ac:dyDescent="0.25">
      <c r="A214" s="107" t="s">
        <v>550</v>
      </c>
      <c r="B214" s="157">
        <v>90097</v>
      </c>
      <c r="C214" s="108"/>
      <c r="D214" s="108"/>
      <c r="E214" s="157">
        <v>90097</v>
      </c>
      <c r="F214" s="107"/>
      <c r="G214" s="20">
        <v>90097</v>
      </c>
      <c r="H214" s="108"/>
      <c r="I214" s="108"/>
      <c r="J214" s="20">
        <v>90097</v>
      </c>
    </row>
    <row r="215" spans="1:10" customFormat="1" x14ac:dyDescent="0.25">
      <c r="A215" s="107" t="s">
        <v>557</v>
      </c>
      <c r="B215" s="158">
        <v>12803</v>
      </c>
      <c r="C215" s="108"/>
      <c r="D215" s="108"/>
      <c r="E215" s="158">
        <v>12803</v>
      </c>
      <c r="F215" s="107"/>
      <c r="G215" s="20">
        <v>-12803</v>
      </c>
      <c r="H215" s="108"/>
      <c r="I215" s="108"/>
      <c r="J215" s="20">
        <v>-12803</v>
      </c>
    </row>
    <row r="216" spans="1:10" customFormat="1" x14ac:dyDescent="0.25">
      <c r="A216" s="107" t="s">
        <v>560</v>
      </c>
      <c r="B216" s="110"/>
      <c r="C216" s="109">
        <v>650</v>
      </c>
      <c r="D216" s="109">
        <v>650</v>
      </c>
      <c r="E216" s="110"/>
      <c r="F216" s="107"/>
      <c r="G216" s="110"/>
      <c r="H216" s="109">
        <v>650</v>
      </c>
      <c r="I216" s="109">
        <v>650</v>
      </c>
      <c r="J216" s="110"/>
    </row>
    <row r="217" spans="1:10" customFormat="1" x14ac:dyDescent="0.25">
      <c r="A217" s="107" t="s">
        <v>561</v>
      </c>
      <c r="B217" s="110"/>
      <c r="C217" s="109">
        <v>14837</v>
      </c>
      <c r="D217" s="108"/>
      <c r="E217" s="157">
        <v>14837</v>
      </c>
      <c r="F217" s="107"/>
      <c r="G217" s="110"/>
      <c r="H217" s="109">
        <v>14837</v>
      </c>
      <c r="I217" s="108"/>
      <c r="J217" s="20">
        <v>14837</v>
      </c>
    </row>
    <row r="218" spans="1:10" customFormat="1" x14ac:dyDescent="0.25">
      <c r="A218" s="107" t="s">
        <v>1369</v>
      </c>
      <c r="B218" s="110"/>
      <c r="C218" s="109">
        <v>2360000</v>
      </c>
      <c r="D218" s="109">
        <v>2360000</v>
      </c>
      <c r="E218" s="110"/>
      <c r="F218" s="107"/>
      <c r="G218" s="110"/>
      <c r="H218" s="109">
        <v>2360000</v>
      </c>
      <c r="I218" s="109">
        <v>2360000</v>
      </c>
      <c r="J218" s="110"/>
    </row>
    <row r="219" spans="1:10" customFormat="1" x14ac:dyDescent="0.25">
      <c r="A219" s="107" t="s">
        <v>564</v>
      </c>
      <c r="B219" s="157">
        <v>6595</v>
      </c>
      <c r="C219" s="108"/>
      <c r="D219" s="108"/>
      <c r="E219" s="157">
        <v>6595</v>
      </c>
      <c r="F219" s="107"/>
      <c r="G219" s="20">
        <v>6595</v>
      </c>
      <c r="H219" s="108"/>
      <c r="I219" s="108"/>
      <c r="J219" s="20">
        <v>6595</v>
      </c>
    </row>
    <row r="220" spans="1:10" customFormat="1" x14ac:dyDescent="0.25">
      <c r="A220" s="107" t="s">
        <v>569</v>
      </c>
      <c r="B220" s="110"/>
      <c r="C220" s="109">
        <v>2925</v>
      </c>
      <c r="D220" s="108"/>
      <c r="E220" s="157">
        <v>2925</v>
      </c>
      <c r="F220" s="107"/>
      <c r="G220" s="110"/>
      <c r="H220" s="109">
        <v>2925</v>
      </c>
      <c r="I220" s="108"/>
      <c r="J220" s="20">
        <v>2925</v>
      </c>
    </row>
    <row r="221" spans="1:10" customFormat="1" x14ac:dyDescent="0.25">
      <c r="A221" s="107" t="s">
        <v>1370</v>
      </c>
      <c r="B221" s="110"/>
      <c r="C221" s="109">
        <v>2632602</v>
      </c>
      <c r="D221" s="108"/>
      <c r="E221" s="157">
        <v>2632602</v>
      </c>
      <c r="F221" s="107"/>
      <c r="G221" s="110"/>
      <c r="H221" s="109">
        <v>2632602</v>
      </c>
      <c r="I221" s="108"/>
      <c r="J221" s="20">
        <v>2632602</v>
      </c>
    </row>
    <row r="222" spans="1:10" customFormat="1" x14ac:dyDescent="0.25">
      <c r="A222" s="107" t="s">
        <v>573</v>
      </c>
      <c r="B222" s="110"/>
      <c r="C222" s="109">
        <v>942.82</v>
      </c>
      <c r="D222" s="108"/>
      <c r="E222" s="157">
        <v>942.82</v>
      </c>
      <c r="F222" s="107"/>
      <c r="G222" s="110"/>
      <c r="H222" s="109">
        <v>942.82</v>
      </c>
      <c r="I222" s="108"/>
      <c r="J222" s="20">
        <v>942.82</v>
      </c>
    </row>
    <row r="223" spans="1:10" customFormat="1" x14ac:dyDescent="0.25">
      <c r="A223" s="107" t="s">
        <v>574</v>
      </c>
      <c r="B223" s="110"/>
      <c r="C223" s="109">
        <v>551</v>
      </c>
      <c r="D223" s="108"/>
      <c r="E223" s="157">
        <v>551</v>
      </c>
      <c r="F223" s="107"/>
      <c r="G223" s="110"/>
      <c r="H223" s="109">
        <v>551</v>
      </c>
      <c r="I223" s="108"/>
      <c r="J223" s="20">
        <v>551</v>
      </c>
    </row>
    <row r="224" spans="1:10" customFormat="1" x14ac:dyDescent="0.25">
      <c r="A224" s="107" t="s">
        <v>579</v>
      </c>
      <c r="B224" s="157">
        <v>59548.72</v>
      </c>
      <c r="C224" s="108"/>
      <c r="D224" s="108"/>
      <c r="E224" s="157">
        <v>59548.72</v>
      </c>
      <c r="F224" s="107"/>
      <c r="G224" s="20">
        <v>59548.72</v>
      </c>
      <c r="H224" s="108"/>
      <c r="I224" s="108"/>
      <c r="J224" s="20">
        <v>59548.72</v>
      </c>
    </row>
    <row r="225" spans="1:10" customFormat="1" x14ac:dyDescent="0.25">
      <c r="A225" s="107" t="s">
        <v>580</v>
      </c>
      <c r="B225" s="157">
        <v>6440.68</v>
      </c>
      <c r="C225" s="108"/>
      <c r="D225" s="108"/>
      <c r="E225" s="157">
        <v>6440.68</v>
      </c>
      <c r="F225" s="107"/>
      <c r="G225" s="20">
        <v>6440.68</v>
      </c>
      <c r="H225" s="108"/>
      <c r="I225" s="108"/>
      <c r="J225" s="20">
        <v>6440.68</v>
      </c>
    </row>
    <row r="226" spans="1:10" customFormat="1" x14ac:dyDescent="0.25">
      <c r="A226" s="107" t="s">
        <v>582</v>
      </c>
      <c r="B226" s="157">
        <v>10201.6</v>
      </c>
      <c r="C226" s="108"/>
      <c r="D226" s="108"/>
      <c r="E226" s="157">
        <v>10201.6</v>
      </c>
      <c r="F226" s="107"/>
      <c r="G226" s="20">
        <v>10201.6</v>
      </c>
      <c r="H226" s="108"/>
      <c r="I226" s="108"/>
      <c r="J226" s="20">
        <v>10201.6</v>
      </c>
    </row>
    <row r="227" spans="1:10" customFormat="1" x14ac:dyDescent="0.25">
      <c r="A227" s="107" t="s">
        <v>1371</v>
      </c>
      <c r="B227" s="110"/>
      <c r="C227" s="109">
        <v>4609.25</v>
      </c>
      <c r="D227" s="108"/>
      <c r="E227" s="157">
        <v>4609.25</v>
      </c>
      <c r="F227" s="107"/>
      <c r="G227" s="110"/>
      <c r="H227" s="109">
        <v>4609.25</v>
      </c>
      <c r="I227" s="108"/>
      <c r="J227" s="20">
        <v>4609.25</v>
      </c>
    </row>
    <row r="228" spans="1:10" customFormat="1" x14ac:dyDescent="0.25">
      <c r="A228" s="107" t="s">
        <v>584</v>
      </c>
      <c r="B228" s="157">
        <v>6254</v>
      </c>
      <c r="C228" s="108"/>
      <c r="D228" s="108"/>
      <c r="E228" s="157">
        <v>6254</v>
      </c>
      <c r="F228" s="107"/>
      <c r="G228" s="20">
        <v>6254</v>
      </c>
      <c r="H228" s="108"/>
      <c r="I228" s="108"/>
      <c r="J228" s="20">
        <v>6254</v>
      </c>
    </row>
    <row r="229" spans="1:10" customFormat="1" x14ac:dyDescent="0.25">
      <c r="A229" s="107" t="s">
        <v>1372</v>
      </c>
      <c r="B229" s="110"/>
      <c r="C229" s="109">
        <v>14160000</v>
      </c>
      <c r="D229" s="109">
        <v>14160000</v>
      </c>
      <c r="E229" s="110"/>
      <c r="F229" s="107"/>
      <c r="G229" s="110"/>
      <c r="H229" s="109">
        <v>14160000</v>
      </c>
      <c r="I229" s="109">
        <v>14160000</v>
      </c>
      <c r="J229" s="110"/>
    </row>
    <row r="230" spans="1:10" customFormat="1" x14ac:dyDescent="0.25">
      <c r="A230" s="107" t="s">
        <v>1088</v>
      </c>
      <c r="B230" s="157">
        <v>11800</v>
      </c>
      <c r="C230" s="108"/>
      <c r="D230" s="108"/>
      <c r="E230" s="157">
        <v>11800</v>
      </c>
      <c r="F230" s="107"/>
      <c r="G230" s="20">
        <v>11800</v>
      </c>
      <c r="H230" s="108"/>
      <c r="I230" s="108"/>
      <c r="J230" s="20">
        <v>11800</v>
      </c>
    </row>
    <row r="231" spans="1:10" customFormat="1" x14ac:dyDescent="0.25">
      <c r="A231" s="107" t="s">
        <v>1373</v>
      </c>
      <c r="B231" s="110"/>
      <c r="C231" s="109">
        <v>11930100</v>
      </c>
      <c r="D231" s="109">
        <v>11930100</v>
      </c>
      <c r="E231" s="110"/>
      <c r="F231" s="107"/>
      <c r="G231" s="110"/>
      <c r="H231" s="109">
        <v>11930100</v>
      </c>
      <c r="I231" s="109">
        <v>11930100</v>
      </c>
      <c r="J231" s="110"/>
    </row>
    <row r="232" spans="1:10" customFormat="1" x14ac:dyDescent="0.25">
      <c r="A232" s="107" t="s">
        <v>1089</v>
      </c>
      <c r="B232" s="157">
        <v>100000</v>
      </c>
      <c r="C232" s="108"/>
      <c r="D232" s="108"/>
      <c r="E232" s="157">
        <v>100000</v>
      </c>
      <c r="F232" s="107"/>
      <c r="G232" s="20">
        <v>100000</v>
      </c>
      <c r="H232" s="108"/>
      <c r="I232" s="108"/>
      <c r="J232" s="20">
        <v>100000</v>
      </c>
    </row>
    <row r="233" spans="1:10" customFormat="1" x14ac:dyDescent="0.25">
      <c r="A233" s="107" t="s">
        <v>597</v>
      </c>
      <c r="B233" s="157">
        <v>28000</v>
      </c>
      <c r="C233" s="108"/>
      <c r="D233" s="108"/>
      <c r="E233" s="157">
        <v>28000</v>
      </c>
      <c r="F233" s="107"/>
      <c r="G233" s="20">
        <v>28000</v>
      </c>
      <c r="H233" s="108"/>
      <c r="I233" s="108"/>
      <c r="J233" s="20">
        <v>28000</v>
      </c>
    </row>
    <row r="234" spans="1:10" customFormat="1" x14ac:dyDescent="0.25">
      <c r="A234" s="107" t="s">
        <v>1306</v>
      </c>
      <c r="B234" s="158">
        <v>286263.23</v>
      </c>
      <c r="C234" s="109">
        <v>3939936</v>
      </c>
      <c r="D234" s="108"/>
      <c r="E234" s="157">
        <v>3653672.77</v>
      </c>
      <c r="F234" s="107"/>
      <c r="G234" s="20">
        <v>-286263.23</v>
      </c>
      <c r="H234" s="109">
        <v>3939936</v>
      </c>
      <c r="I234" s="108"/>
      <c r="J234" s="20">
        <v>3653672.77</v>
      </c>
    </row>
    <row r="235" spans="1:10" customFormat="1" x14ac:dyDescent="0.25">
      <c r="A235" s="107" t="s">
        <v>1307</v>
      </c>
      <c r="B235" s="158">
        <v>2065</v>
      </c>
      <c r="C235" s="109">
        <v>3319</v>
      </c>
      <c r="D235" s="109">
        <v>1254</v>
      </c>
      <c r="E235" s="110"/>
      <c r="F235" s="107"/>
      <c r="G235" s="20">
        <v>-2065</v>
      </c>
      <c r="H235" s="109">
        <v>3319</v>
      </c>
      <c r="I235" s="109">
        <v>1254</v>
      </c>
      <c r="J235" s="110"/>
    </row>
    <row r="236" spans="1:10" customFormat="1" x14ac:dyDescent="0.25">
      <c r="A236" s="107" t="s">
        <v>599</v>
      </c>
      <c r="B236" s="157">
        <v>18341.55</v>
      </c>
      <c r="C236" s="108"/>
      <c r="D236" s="108"/>
      <c r="E236" s="157">
        <v>18341.55</v>
      </c>
      <c r="F236" s="107"/>
      <c r="G236" s="20">
        <v>18341.55</v>
      </c>
      <c r="H236" s="108"/>
      <c r="I236" s="108"/>
      <c r="J236" s="20">
        <v>18341.55</v>
      </c>
    </row>
    <row r="237" spans="1:10" customFormat="1" x14ac:dyDescent="0.25">
      <c r="A237" s="107" t="s">
        <v>603</v>
      </c>
      <c r="B237" s="157">
        <v>26231.75</v>
      </c>
      <c r="C237" s="108"/>
      <c r="D237" s="108"/>
      <c r="E237" s="157">
        <v>26231.75</v>
      </c>
      <c r="F237" s="107"/>
      <c r="G237" s="20">
        <v>26231.75</v>
      </c>
      <c r="H237" s="108"/>
      <c r="I237" s="108"/>
      <c r="J237" s="20">
        <v>26231.75</v>
      </c>
    </row>
    <row r="238" spans="1:10" customFormat="1" x14ac:dyDescent="0.25">
      <c r="A238" s="107" t="s">
        <v>1245</v>
      </c>
      <c r="B238" s="110"/>
      <c r="C238" s="109">
        <v>1013253</v>
      </c>
      <c r="D238" s="109">
        <v>1013253</v>
      </c>
      <c r="E238" s="110"/>
      <c r="F238" s="107"/>
      <c r="G238" s="110"/>
      <c r="H238" s="109">
        <v>1013253</v>
      </c>
      <c r="I238" s="109">
        <v>1013253</v>
      </c>
      <c r="J238" s="110"/>
    </row>
    <row r="239" spans="1:10" customFormat="1" x14ac:dyDescent="0.25">
      <c r="A239" s="107" t="s">
        <v>1308</v>
      </c>
      <c r="B239" s="110"/>
      <c r="C239" s="109">
        <v>260000</v>
      </c>
      <c r="D239" s="108"/>
      <c r="E239" s="157">
        <v>260000</v>
      </c>
      <c r="F239" s="107"/>
      <c r="G239" s="110"/>
      <c r="H239" s="109">
        <v>260000</v>
      </c>
      <c r="I239" s="108"/>
      <c r="J239" s="20">
        <v>260000</v>
      </c>
    </row>
    <row r="240" spans="1:10" customFormat="1" x14ac:dyDescent="0.25">
      <c r="A240" s="107" t="s">
        <v>610</v>
      </c>
      <c r="B240" s="157">
        <v>39766</v>
      </c>
      <c r="C240" s="108"/>
      <c r="D240" s="108"/>
      <c r="E240" s="157">
        <v>39766</v>
      </c>
      <c r="F240" s="107"/>
      <c r="G240" s="20">
        <v>39766</v>
      </c>
      <c r="H240" s="108"/>
      <c r="I240" s="108"/>
      <c r="J240" s="20">
        <v>39766</v>
      </c>
    </row>
    <row r="241" spans="1:10" customFormat="1" x14ac:dyDescent="0.25">
      <c r="A241" s="107" t="s">
        <v>611</v>
      </c>
      <c r="B241" s="110"/>
      <c r="C241" s="109">
        <v>46305</v>
      </c>
      <c r="D241" s="108"/>
      <c r="E241" s="157">
        <v>46305</v>
      </c>
      <c r="F241" s="107"/>
      <c r="G241" s="110"/>
      <c r="H241" s="109">
        <v>46305</v>
      </c>
      <c r="I241" s="108"/>
      <c r="J241" s="20">
        <v>46305</v>
      </c>
    </row>
    <row r="242" spans="1:10" customFormat="1" x14ac:dyDescent="0.25">
      <c r="A242" s="107" t="s">
        <v>615</v>
      </c>
      <c r="B242" s="110"/>
      <c r="C242" s="109">
        <v>7480</v>
      </c>
      <c r="D242" s="108"/>
      <c r="E242" s="157">
        <v>7480</v>
      </c>
      <c r="F242" s="107"/>
      <c r="G242" s="110"/>
      <c r="H242" s="109">
        <v>7480</v>
      </c>
      <c r="I242" s="108"/>
      <c r="J242" s="20">
        <v>7480</v>
      </c>
    </row>
    <row r="243" spans="1:10" customFormat="1" x14ac:dyDescent="0.25">
      <c r="A243" s="107" t="s">
        <v>1129</v>
      </c>
      <c r="B243" s="157">
        <v>26694.92</v>
      </c>
      <c r="C243" s="108"/>
      <c r="D243" s="108"/>
      <c r="E243" s="157">
        <v>26694.92</v>
      </c>
      <c r="F243" s="107"/>
      <c r="G243" s="20">
        <v>26694.92</v>
      </c>
      <c r="H243" s="108"/>
      <c r="I243" s="108"/>
      <c r="J243" s="20">
        <v>26694.92</v>
      </c>
    </row>
    <row r="244" spans="1:10" customFormat="1" x14ac:dyDescent="0.25">
      <c r="A244" s="107" t="s">
        <v>1374</v>
      </c>
      <c r="B244" s="110"/>
      <c r="C244" s="109">
        <v>8851.94</v>
      </c>
      <c r="D244" s="108"/>
      <c r="E244" s="157">
        <v>8851.94</v>
      </c>
      <c r="F244" s="107"/>
      <c r="G244" s="110"/>
      <c r="H244" s="109">
        <v>8851.94</v>
      </c>
      <c r="I244" s="108"/>
      <c r="J244" s="20">
        <v>8851.94</v>
      </c>
    </row>
    <row r="245" spans="1:10" customFormat="1" x14ac:dyDescent="0.25">
      <c r="A245" s="107" t="s">
        <v>1060</v>
      </c>
      <c r="B245" s="158">
        <v>2069</v>
      </c>
      <c r="C245" s="109">
        <v>2069</v>
      </c>
      <c r="D245" s="108"/>
      <c r="E245" s="110"/>
      <c r="F245" s="107"/>
      <c r="G245" s="20">
        <v>-2069</v>
      </c>
      <c r="H245" s="109">
        <v>2069</v>
      </c>
      <c r="I245" s="108"/>
      <c r="J245" s="110"/>
    </row>
    <row r="246" spans="1:10" customFormat="1" x14ac:dyDescent="0.25">
      <c r="A246" s="107" t="s">
        <v>621</v>
      </c>
      <c r="B246" s="110"/>
      <c r="C246" s="109">
        <v>18401.57</v>
      </c>
      <c r="D246" s="108"/>
      <c r="E246" s="157">
        <v>18401.57</v>
      </c>
      <c r="F246" s="107"/>
      <c r="G246" s="110"/>
      <c r="H246" s="109">
        <v>18401.57</v>
      </c>
      <c r="I246" s="108"/>
      <c r="J246" s="20">
        <v>18401.57</v>
      </c>
    </row>
    <row r="247" spans="1:10" customFormat="1" x14ac:dyDescent="0.25">
      <c r="A247" s="107" t="s">
        <v>1309</v>
      </c>
      <c r="B247" s="158">
        <v>30377</v>
      </c>
      <c r="C247" s="109">
        <v>23375</v>
      </c>
      <c r="D247" s="108"/>
      <c r="E247" s="158">
        <v>7002</v>
      </c>
      <c r="F247" s="107"/>
      <c r="G247" s="20">
        <v>-30377</v>
      </c>
      <c r="H247" s="109">
        <v>23375</v>
      </c>
      <c r="I247" s="108"/>
      <c r="J247" s="20">
        <v>-7002</v>
      </c>
    </row>
    <row r="248" spans="1:10" customFormat="1" x14ac:dyDescent="0.25">
      <c r="A248" s="107" t="s">
        <v>1061</v>
      </c>
      <c r="B248" s="110"/>
      <c r="C248" s="109">
        <v>500</v>
      </c>
      <c r="D248" s="108"/>
      <c r="E248" s="157">
        <v>500</v>
      </c>
      <c r="F248" s="107"/>
      <c r="G248" s="110"/>
      <c r="H248" s="109">
        <v>500</v>
      </c>
      <c r="I248" s="108"/>
      <c r="J248" s="20">
        <v>500</v>
      </c>
    </row>
    <row r="249" spans="1:10" customFormat="1" x14ac:dyDescent="0.25">
      <c r="A249" s="107" t="s">
        <v>1375</v>
      </c>
      <c r="B249" s="110"/>
      <c r="C249" s="109">
        <v>2565.1999999999998</v>
      </c>
      <c r="D249" s="108"/>
      <c r="E249" s="157">
        <v>2565.1999999999998</v>
      </c>
      <c r="F249" s="107"/>
      <c r="G249" s="110"/>
      <c r="H249" s="109">
        <v>2565.1999999999998</v>
      </c>
      <c r="I249" s="108"/>
      <c r="J249" s="20">
        <v>2565.1999999999998</v>
      </c>
    </row>
    <row r="250" spans="1:10" customFormat="1" x14ac:dyDescent="0.25">
      <c r="A250" s="107" t="s">
        <v>631</v>
      </c>
      <c r="B250" s="157">
        <v>7500</v>
      </c>
      <c r="C250" s="108"/>
      <c r="D250" s="108"/>
      <c r="E250" s="157">
        <v>7500</v>
      </c>
      <c r="F250" s="107"/>
      <c r="G250" s="20">
        <v>7500</v>
      </c>
      <c r="H250" s="108"/>
      <c r="I250" s="108"/>
      <c r="J250" s="20">
        <v>7500</v>
      </c>
    </row>
    <row r="251" spans="1:10" customFormat="1" x14ac:dyDescent="0.25">
      <c r="A251" s="107" t="s">
        <v>632</v>
      </c>
      <c r="B251" s="158">
        <v>23961</v>
      </c>
      <c r="C251" s="108"/>
      <c r="D251" s="108"/>
      <c r="E251" s="158">
        <v>23961</v>
      </c>
      <c r="F251" s="107"/>
      <c r="G251" s="20">
        <v>-23961</v>
      </c>
      <c r="H251" s="108"/>
      <c r="I251" s="108"/>
      <c r="J251" s="20">
        <v>-23961</v>
      </c>
    </row>
    <row r="252" spans="1:10" customFormat="1" x14ac:dyDescent="0.25">
      <c r="A252" s="107" t="s">
        <v>634</v>
      </c>
      <c r="B252" s="110"/>
      <c r="C252" s="109">
        <v>30000</v>
      </c>
      <c r="D252" s="108"/>
      <c r="E252" s="157">
        <v>30000</v>
      </c>
      <c r="F252" s="107"/>
      <c r="G252" s="110"/>
      <c r="H252" s="109">
        <v>30000</v>
      </c>
      <c r="I252" s="108"/>
      <c r="J252" s="20">
        <v>30000</v>
      </c>
    </row>
    <row r="253" spans="1:10" customFormat="1" x14ac:dyDescent="0.25">
      <c r="A253" s="107" t="s">
        <v>636</v>
      </c>
      <c r="B253" s="158">
        <v>474</v>
      </c>
      <c r="C253" s="108"/>
      <c r="D253" s="108"/>
      <c r="E253" s="158">
        <v>474</v>
      </c>
      <c r="F253" s="107"/>
      <c r="G253" s="20">
        <v>-474</v>
      </c>
      <c r="H253" s="108"/>
      <c r="I253" s="108"/>
      <c r="J253" s="20">
        <v>-474</v>
      </c>
    </row>
    <row r="254" spans="1:10" customFormat="1" x14ac:dyDescent="0.25">
      <c r="A254" s="107" t="s">
        <v>1024</v>
      </c>
      <c r="B254" s="110"/>
      <c r="C254" s="109">
        <v>9810</v>
      </c>
      <c r="D254" s="108"/>
      <c r="E254" s="157">
        <v>9810</v>
      </c>
      <c r="F254" s="107"/>
      <c r="G254" s="110"/>
      <c r="H254" s="109">
        <v>9810</v>
      </c>
      <c r="I254" s="108"/>
      <c r="J254" s="20">
        <v>9810</v>
      </c>
    </row>
    <row r="255" spans="1:10" customFormat="1" x14ac:dyDescent="0.25">
      <c r="A255" s="107" t="s">
        <v>1376</v>
      </c>
      <c r="B255" s="158">
        <v>20244</v>
      </c>
      <c r="C255" s="109">
        <v>20244</v>
      </c>
      <c r="D255" s="108"/>
      <c r="E255" s="110"/>
      <c r="F255" s="107"/>
      <c r="G255" s="20">
        <v>-20244</v>
      </c>
      <c r="H255" s="109">
        <v>20244</v>
      </c>
      <c r="I255" s="108"/>
      <c r="J255" s="110"/>
    </row>
    <row r="256" spans="1:10" customFormat="1" x14ac:dyDescent="0.25">
      <c r="A256" s="107" t="s">
        <v>641</v>
      </c>
      <c r="B256" s="158">
        <v>26320</v>
      </c>
      <c r="C256" s="109">
        <v>452520</v>
      </c>
      <c r="D256" s="109">
        <v>447800</v>
      </c>
      <c r="E256" s="158">
        <v>21600</v>
      </c>
      <c r="F256" s="107"/>
      <c r="G256" s="20">
        <v>-26320</v>
      </c>
      <c r="H256" s="109">
        <v>452520</v>
      </c>
      <c r="I256" s="109">
        <v>447800</v>
      </c>
      <c r="J256" s="20">
        <v>-21600</v>
      </c>
    </row>
    <row r="257" spans="1:10" customFormat="1" x14ac:dyDescent="0.25">
      <c r="A257" s="107" t="s">
        <v>1377</v>
      </c>
      <c r="B257" s="110"/>
      <c r="C257" s="109">
        <v>9601691</v>
      </c>
      <c r="D257" s="108"/>
      <c r="E257" s="157">
        <v>9601691</v>
      </c>
      <c r="F257" s="107"/>
      <c r="G257" s="110"/>
      <c r="H257" s="109">
        <v>9601691</v>
      </c>
      <c r="I257" s="108"/>
      <c r="J257" s="20">
        <v>9601691</v>
      </c>
    </row>
    <row r="258" spans="1:10" customFormat="1" x14ac:dyDescent="0.25">
      <c r="A258" s="107" t="s">
        <v>644</v>
      </c>
      <c r="B258" s="157">
        <v>336143.22</v>
      </c>
      <c r="C258" s="109">
        <v>110168.64</v>
      </c>
      <c r="D258" s="108"/>
      <c r="E258" s="157">
        <v>446311.86</v>
      </c>
      <c r="F258" s="107"/>
      <c r="G258" s="20">
        <v>336143.22</v>
      </c>
      <c r="H258" s="109">
        <v>110168.64</v>
      </c>
      <c r="I258" s="108"/>
      <c r="J258" s="20">
        <v>446311.86</v>
      </c>
    </row>
    <row r="259" spans="1:10" customFormat="1" x14ac:dyDescent="0.25">
      <c r="A259" s="107" t="s">
        <v>643</v>
      </c>
      <c r="B259" s="110"/>
      <c r="C259" s="109">
        <v>4473.46</v>
      </c>
      <c r="D259" s="108"/>
      <c r="E259" s="157">
        <v>4473.46</v>
      </c>
      <c r="F259" s="107"/>
      <c r="G259" s="110"/>
      <c r="H259" s="109">
        <v>4473.46</v>
      </c>
      <c r="I259" s="108"/>
      <c r="J259" s="20">
        <v>4473.46</v>
      </c>
    </row>
    <row r="260" spans="1:10" customFormat="1" x14ac:dyDescent="0.25">
      <c r="A260" s="107" t="s">
        <v>1378</v>
      </c>
      <c r="B260" s="110"/>
      <c r="C260" s="109">
        <v>1512000</v>
      </c>
      <c r="D260" s="109">
        <v>1512000</v>
      </c>
      <c r="E260" s="110"/>
      <c r="F260" s="107"/>
      <c r="G260" s="110"/>
      <c r="H260" s="109">
        <v>1512000</v>
      </c>
      <c r="I260" s="109">
        <v>1512000</v>
      </c>
      <c r="J260" s="110"/>
    </row>
    <row r="261" spans="1:10" customFormat="1" x14ac:dyDescent="0.25">
      <c r="A261" s="107" t="s">
        <v>647</v>
      </c>
      <c r="B261" s="157">
        <v>3132.28</v>
      </c>
      <c r="C261" s="108"/>
      <c r="D261" s="108"/>
      <c r="E261" s="157">
        <v>3132.28</v>
      </c>
      <c r="F261" s="107"/>
      <c r="G261" s="20">
        <v>3132.28</v>
      </c>
      <c r="H261" s="108"/>
      <c r="I261" s="108"/>
      <c r="J261" s="20">
        <v>3132.28</v>
      </c>
    </row>
    <row r="262" spans="1:10" customFormat="1" x14ac:dyDescent="0.25">
      <c r="A262" s="107" t="s">
        <v>620</v>
      </c>
      <c r="B262" s="158">
        <v>1250000</v>
      </c>
      <c r="C262" s="108"/>
      <c r="D262" s="108"/>
      <c r="E262" s="158">
        <v>1250000</v>
      </c>
      <c r="F262" s="107"/>
      <c r="G262" s="20">
        <v>-1250000</v>
      </c>
      <c r="H262" s="108"/>
      <c r="I262" s="108"/>
      <c r="J262" s="20">
        <v>-1250000</v>
      </c>
    </row>
    <row r="263" spans="1:10" customFormat="1" x14ac:dyDescent="0.25">
      <c r="A263" s="107" t="s">
        <v>1246</v>
      </c>
      <c r="B263" s="110"/>
      <c r="C263" s="109">
        <v>680</v>
      </c>
      <c r="D263" s="108"/>
      <c r="E263" s="157">
        <v>680</v>
      </c>
      <c r="F263" s="107"/>
      <c r="G263" s="110"/>
      <c r="H263" s="109">
        <v>680</v>
      </c>
      <c r="I263" s="108"/>
      <c r="J263" s="20">
        <v>680</v>
      </c>
    </row>
    <row r="264" spans="1:10" customFormat="1" x14ac:dyDescent="0.25">
      <c r="A264" s="107" t="s">
        <v>650</v>
      </c>
      <c r="B264" s="110"/>
      <c r="C264" s="109">
        <v>18510</v>
      </c>
      <c r="D264" s="109">
        <v>18510</v>
      </c>
      <c r="E264" s="110"/>
      <c r="F264" s="107"/>
      <c r="G264" s="110"/>
      <c r="H264" s="109">
        <v>18510</v>
      </c>
      <c r="I264" s="109">
        <v>18510</v>
      </c>
      <c r="J264" s="110"/>
    </row>
    <row r="265" spans="1:10" customFormat="1" x14ac:dyDescent="0.25">
      <c r="A265" s="107" t="s">
        <v>1379</v>
      </c>
      <c r="B265" s="110"/>
      <c r="C265" s="109">
        <v>3250967</v>
      </c>
      <c r="D265" s="108"/>
      <c r="E265" s="157">
        <v>3250967</v>
      </c>
      <c r="F265" s="107"/>
      <c r="G265" s="110"/>
      <c r="H265" s="109">
        <v>3250967</v>
      </c>
      <c r="I265" s="108"/>
      <c r="J265" s="20">
        <v>3250967</v>
      </c>
    </row>
    <row r="266" spans="1:10" customFormat="1" x14ac:dyDescent="0.25">
      <c r="A266" s="107" t="s">
        <v>1380</v>
      </c>
      <c r="B266" s="110"/>
      <c r="C266" s="109">
        <v>4565399</v>
      </c>
      <c r="D266" s="108"/>
      <c r="E266" s="157">
        <v>4565399</v>
      </c>
      <c r="F266" s="107"/>
      <c r="G266" s="110"/>
      <c r="H266" s="109">
        <v>4565399</v>
      </c>
      <c r="I266" s="108"/>
      <c r="J266" s="20">
        <v>4565399</v>
      </c>
    </row>
    <row r="267" spans="1:10" customFormat="1" x14ac:dyDescent="0.25">
      <c r="A267" s="107" t="s">
        <v>652</v>
      </c>
      <c r="B267" s="157">
        <v>145129.1</v>
      </c>
      <c r="C267" s="108"/>
      <c r="D267" s="108"/>
      <c r="E267" s="157">
        <v>145129.1</v>
      </c>
      <c r="F267" s="107"/>
      <c r="G267" s="20">
        <v>145129.1</v>
      </c>
      <c r="H267" s="108"/>
      <c r="I267" s="108"/>
      <c r="J267" s="20">
        <v>145129.1</v>
      </c>
    </row>
    <row r="268" spans="1:10" customFormat="1" x14ac:dyDescent="0.25">
      <c r="A268" s="107" t="s">
        <v>653</v>
      </c>
      <c r="B268" s="157">
        <v>241882.11</v>
      </c>
      <c r="C268" s="108"/>
      <c r="D268" s="108"/>
      <c r="E268" s="157">
        <v>241882.11</v>
      </c>
      <c r="F268" s="107"/>
      <c r="G268" s="20">
        <v>241882.11</v>
      </c>
      <c r="H268" s="108"/>
      <c r="I268" s="108"/>
      <c r="J268" s="20">
        <v>241882.11</v>
      </c>
    </row>
    <row r="269" spans="1:10" customFormat="1" x14ac:dyDescent="0.25">
      <c r="A269" s="107" t="s">
        <v>654</v>
      </c>
      <c r="B269" s="157">
        <v>338635.12</v>
      </c>
      <c r="C269" s="108"/>
      <c r="D269" s="108"/>
      <c r="E269" s="157">
        <v>338635.12</v>
      </c>
      <c r="F269" s="107"/>
      <c r="G269" s="20">
        <v>338635.12</v>
      </c>
      <c r="H269" s="108"/>
      <c r="I269" s="108"/>
      <c r="J269" s="20">
        <v>338635.12</v>
      </c>
    </row>
    <row r="270" spans="1:10" customFormat="1" x14ac:dyDescent="0.25">
      <c r="A270" s="107" t="s">
        <v>655</v>
      </c>
      <c r="B270" s="157">
        <v>300</v>
      </c>
      <c r="C270" s="108"/>
      <c r="D270" s="108"/>
      <c r="E270" s="157">
        <v>300</v>
      </c>
      <c r="F270" s="107"/>
      <c r="G270" s="20">
        <v>300</v>
      </c>
      <c r="H270" s="108"/>
      <c r="I270" s="108"/>
      <c r="J270" s="20">
        <v>300</v>
      </c>
    </row>
    <row r="271" spans="1:10" customFormat="1" x14ac:dyDescent="0.25">
      <c r="A271" s="107" t="s">
        <v>1310</v>
      </c>
      <c r="B271" s="110"/>
      <c r="C271" s="109">
        <v>306800</v>
      </c>
      <c r="D271" s="109">
        <v>306800</v>
      </c>
      <c r="E271" s="110"/>
      <c r="F271" s="107"/>
      <c r="G271" s="110"/>
      <c r="H271" s="109">
        <v>306800</v>
      </c>
      <c r="I271" s="109">
        <v>306800</v>
      </c>
      <c r="J271" s="110"/>
    </row>
    <row r="272" spans="1:10" customFormat="1" x14ac:dyDescent="0.25">
      <c r="A272" s="107" t="s">
        <v>1247</v>
      </c>
      <c r="B272" s="110"/>
      <c r="C272" s="109">
        <v>1128897</v>
      </c>
      <c r="D272" s="109">
        <v>1128897</v>
      </c>
      <c r="E272" s="110"/>
      <c r="F272" s="107"/>
      <c r="G272" s="110"/>
      <c r="H272" s="109">
        <v>1128897</v>
      </c>
      <c r="I272" s="109">
        <v>1128897</v>
      </c>
      <c r="J272" s="110"/>
    </row>
    <row r="273" spans="1:10" customFormat="1" x14ac:dyDescent="0.25">
      <c r="A273" s="107" t="s">
        <v>661</v>
      </c>
      <c r="B273" s="157">
        <v>21588</v>
      </c>
      <c r="C273" s="109">
        <v>617630</v>
      </c>
      <c r="D273" s="109">
        <v>1199284</v>
      </c>
      <c r="E273" s="158">
        <v>560066</v>
      </c>
      <c r="F273" s="107"/>
      <c r="G273" s="20">
        <v>21588</v>
      </c>
      <c r="H273" s="109">
        <v>617630</v>
      </c>
      <c r="I273" s="109">
        <v>1199284</v>
      </c>
      <c r="J273" s="20">
        <v>-560066</v>
      </c>
    </row>
    <row r="274" spans="1:10" customFormat="1" x14ac:dyDescent="0.25">
      <c r="A274" s="107" t="s">
        <v>1248</v>
      </c>
      <c r="B274" s="110"/>
      <c r="C274" s="109">
        <v>1412974.26</v>
      </c>
      <c r="D274" s="108"/>
      <c r="E274" s="157">
        <v>1412974.26</v>
      </c>
      <c r="F274" s="107"/>
      <c r="G274" s="110"/>
      <c r="H274" s="109">
        <v>1412974.26</v>
      </c>
      <c r="I274" s="108"/>
      <c r="J274" s="20">
        <v>1412974.26</v>
      </c>
    </row>
    <row r="275" spans="1:10" customFormat="1" x14ac:dyDescent="0.25">
      <c r="A275" s="107" t="s">
        <v>160</v>
      </c>
      <c r="B275" s="158">
        <v>331909.33</v>
      </c>
      <c r="C275" s="108"/>
      <c r="D275" s="108"/>
      <c r="E275" s="158">
        <v>331909.33</v>
      </c>
      <c r="F275" s="107"/>
      <c r="G275" s="20">
        <v>-331909.33</v>
      </c>
      <c r="H275" s="108"/>
      <c r="I275" s="108"/>
      <c r="J275" s="20">
        <v>-331909.33</v>
      </c>
    </row>
    <row r="276" spans="1:10" customFormat="1" x14ac:dyDescent="0.25">
      <c r="A276" s="107" t="s">
        <v>666</v>
      </c>
      <c r="B276" s="157">
        <v>7623</v>
      </c>
      <c r="C276" s="108"/>
      <c r="D276" s="108"/>
      <c r="E276" s="157">
        <v>7623</v>
      </c>
      <c r="F276" s="107"/>
      <c r="G276" s="20">
        <v>7623</v>
      </c>
      <c r="H276" s="108"/>
      <c r="I276" s="108"/>
      <c r="J276" s="20">
        <v>7623</v>
      </c>
    </row>
    <row r="277" spans="1:10" customFormat="1" x14ac:dyDescent="0.25">
      <c r="A277" s="107" t="s">
        <v>1250</v>
      </c>
      <c r="B277" s="110"/>
      <c r="C277" s="109">
        <v>9500</v>
      </c>
      <c r="D277" s="108"/>
      <c r="E277" s="157">
        <v>9500</v>
      </c>
      <c r="F277" s="107"/>
      <c r="G277" s="110"/>
      <c r="H277" s="109">
        <v>9500</v>
      </c>
      <c r="I277" s="108"/>
      <c r="J277" s="20">
        <v>9500</v>
      </c>
    </row>
    <row r="278" spans="1:10" customFormat="1" x14ac:dyDescent="0.25">
      <c r="A278" s="107" t="s">
        <v>671</v>
      </c>
      <c r="B278" s="110"/>
      <c r="C278" s="109">
        <v>4770</v>
      </c>
      <c r="D278" s="108"/>
      <c r="E278" s="157">
        <v>4770</v>
      </c>
      <c r="F278" s="107"/>
      <c r="G278" s="110"/>
      <c r="H278" s="109">
        <v>4770</v>
      </c>
      <c r="I278" s="108"/>
      <c r="J278" s="20">
        <v>4770</v>
      </c>
    </row>
    <row r="279" spans="1:10" customFormat="1" x14ac:dyDescent="0.25">
      <c r="A279" s="107" t="s">
        <v>673</v>
      </c>
      <c r="B279" s="157">
        <v>1821</v>
      </c>
      <c r="C279" s="108"/>
      <c r="D279" s="108"/>
      <c r="E279" s="157">
        <v>1821</v>
      </c>
      <c r="F279" s="107"/>
      <c r="G279" s="20">
        <v>1821</v>
      </c>
      <c r="H279" s="108"/>
      <c r="I279" s="108"/>
      <c r="J279" s="20">
        <v>1821</v>
      </c>
    </row>
    <row r="280" spans="1:10" customFormat="1" x14ac:dyDescent="0.25">
      <c r="A280" s="107" t="s">
        <v>676</v>
      </c>
      <c r="B280" s="157">
        <v>53157.96</v>
      </c>
      <c r="C280" s="108"/>
      <c r="D280" s="108"/>
      <c r="E280" s="157">
        <v>53157.96</v>
      </c>
      <c r="F280" s="107"/>
      <c r="G280" s="20">
        <v>53157.96</v>
      </c>
      <c r="H280" s="108"/>
      <c r="I280" s="108"/>
      <c r="J280" s="20">
        <v>53157.96</v>
      </c>
    </row>
    <row r="281" spans="1:10" customFormat="1" x14ac:dyDescent="0.25">
      <c r="A281" s="107" t="s">
        <v>1251</v>
      </c>
      <c r="B281" s="158">
        <v>17246</v>
      </c>
      <c r="C281" s="109">
        <v>402716</v>
      </c>
      <c r="D281" s="109">
        <v>2319667.73</v>
      </c>
      <c r="E281" s="158">
        <v>1934197.73</v>
      </c>
      <c r="F281" s="107"/>
      <c r="G281" s="20">
        <v>-17246</v>
      </c>
      <c r="H281" s="109">
        <v>402716</v>
      </c>
      <c r="I281" s="109">
        <v>2319667.73</v>
      </c>
      <c r="J281" s="20">
        <v>-1934197.73</v>
      </c>
    </row>
    <row r="282" spans="1:10" customFormat="1" x14ac:dyDescent="0.25">
      <c r="A282" s="107" t="s">
        <v>1381</v>
      </c>
      <c r="B282" s="110"/>
      <c r="C282" s="109">
        <v>1242</v>
      </c>
      <c r="D282" s="108"/>
      <c r="E282" s="157">
        <v>1242</v>
      </c>
      <c r="F282" s="107"/>
      <c r="G282" s="110"/>
      <c r="H282" s="109">
        <v>1242</v>
      </c>
      <c r="I282" s="108"/>
      <c r="J282" s="20">
        <v>1242</v>
      </c>
    </row>
    <row r="283" spans="1:10" customFormat="1" x14ac:dyDescent="0.25">
      <c r="A283" s="107" t="s">
        <v>680</v>
      </c>
      <c r="B283" s="157">
        <v>110000</v>
      </c>
      <c r="C283" s="108"/>
      <c r="D283" s="108"/>
      <c r="E283" s="157">
        <v>110000</v>
      </c>
      <c r="F283" s="107"/>
      <c r="G283" s="20">
        <v>110000</v>
      </c>
      <c r="H283" s="108"/>
      <c r="I283" s="108"/>
      <c r="J283" s="20">
        <v>110000</v>
      </c>
    </row>
    <row r="284" spans="1:10" customFormat="1" x14ac:dyDescent="0.25">
      <c r="A284" s="107" t="s">
        <v>1312</v>
      </c>
      <c r="B284" s="158">
        <v>50000</v>
      </c>
      <c r="C284" s="108"/>
      <c r="D284" s="108"/>
      <c r="E284" s="158">
        <v>50000</v>
      </c>
      <c r="F284" s="107"/>
      <c r="G284" s="20">
        <v>-50000</v>
      </c>
      <c r="H284" s="108"/>
      <c r="I284" s="108"/>
      <c r="J284" s="20">
        <v>-50000</v>
      </c>
    </row>
    <row r="285" spans="1:10" customFormat="1" x14ac:dyDescent="0.25">
      <c r="A285" s="107" t="s">
        <v>682</v>
      </c>
      <c r="B285" s="157">
        <v>50264.1</v>
      </c>
      <c r="C285" s="108"/>
      <c r="D285" s="108"/>
      <c r="E285" s="157">
        <v>50264.1</v>
      </c>
      <c r="F285" s="107"/>
      <c r="G285" s="20">
        <v>50264.1</v>
      </c>
      <c r="H285" s="108"/>
      <c r="I285" s="108"/>
      <c r="J285" s="20">
        <v>50264.1</v>
      </c>
    </row>
    <row r="286" spans="1:10" customFormat="1" x14ac:dyDescent="0.25">
      <c r="A286" s="107" t="s">
        <v>683</v>
      </c>
      <c r="B286" s="157">
        <v>2601</v>
      </c>
      <c r="C286" s="108"/>
      <c r="D286" s="109">
        <v>400</v>
      </c>
      <c r="E286" s="157">
        <v>2201</v>
      </c>
      <c r="F286" s="107"/>
      <c r="G286" s="20">
        <v>2601</v>
      </c>
      <c r="H286" s="108"/>
      <c r="I286" s="109">
        <v>400</v>
      </c>
      <c r="J286" s="20">
        <v>2201</v>
      </c>
    </row>
    <row r="287" spans="1:10" customFormat="1" x14ac:dyDescent="0.25">
      <c r="A287" s="107" t="s">
        <v>684</v>
      </c>
      <c r="B287" s="157">
        <v>24176</v>
      </c>
      <c r="C287" s="109">
        <v>100000</v>
      </c>
      <c r="D287" s="109">
        <v>74884</v>
      </c>
      <c r="E287" s="157">
        <v>49292</v>
      </c>
      <c r="F287" s="107"/>
      <c r="G287" s="20">
        <v>24176</v>
      </c>
      <c r="H287" s="109">
        <v>100000</v>
      </c>
      <c r="I287" s="109">
        <v>74884</v>
      </c>
      <c r="J287" s="20">
        <v>49292</v>
      </c>
    </row>
    <row r="288" spans="1:10" customFormat="1" x14ac:dyDescent="0.25">
      <c r="A288" s="107" t="s">
        <v>1062</v>
      </c>
      <c r="B288" s="157">
        <v>9800</v>
      </c>
      <c r="C288" s="109">
        <v>11938</v>
      </c>
      <c r="D288" s="109">
        <v>13958</v>
      </c>
      <c r="E288" s="157">
        <v>7780</v>
      </c>
      <c r="F288" s="107"/>
      <c r="G288" s="20">
        <v>9800</v>
      </c>
      <c r="H288" s="109">
        <v>11938</v>
      </c>
      <c r="I288" s="109">
        <v>13958</v>
      </c>
      <c r="J288" s="20">
        <v>7780</v>
      </c>
    </row>
    <row r="289" spans="1:10" customFormat="1" x14ac:dyDescent="0.25">
      <c r="A289" s="107" t="s">
        <v>1219</v>
      </c>
      <c r="B289" s="157">
        <v>1375</v>
      </c>
      <c r="C289" s="108"/>
      <c r="D289" s="108"/>
      <c r="E289" s="157">
        <v>1375</v>
      </c>
      <c r="F289" s="107"/>
      <c r="G289" s="20">
        <v>1375</v>
      </c>
      <c r="H289" s="108"/>
      <c r="I289" s="108"/>
      <c r="J289" s="20">
        <v>1375</v>
      </c>
    </row>
    <row r="290" spans="1:10" customFormat="1" x14ac:dyDescent="0.25">
      <c r="A290" s="107" t="s">
        <v>685</v>
      </c>
      <c r="B290" s="110"/>
      <c r="C290" s="109">
        <v>75</v>
      </c>
      <c r="D290" s="108"/>
      <c r="E290" s="157">
        <v>75</v>
      </c>
      <c r="F290" s="107"/>
      <c r="G290" s="110"/>
      <c r="H290" s="109">
        <v>75</v>
      </c>
      <c r="I290" s="108"/>
      <c r="J290" s="20">
        <v>75</v>
      </c>
    </row>
    <row r="291" spans="1:10" customFormat="1" x14ac:dyDescent="0.25">
      <c r="A291" s="107" t="s">
        <v>1284</v>
      </c>
      <c r="B291" s="110"/>
      <c r="C291" s="109">
        <v>4000</v>
      </c>
      <c r="D291" s="108"/>
      <c r="E291" s="157">
        <v>4000</v>
      </c>
      <c r="F291" s="107"/>
      <c r="G291" s="110"/>
      <c r="H291" s="109">
        <v>4000</v>
      </c>
      <c r="I291" s="108"/>
      <c r="J291" s="20">
        <v>4000</v>
      </c>
    </row>
    <row r="292" spans="1:10" customFormat="1" x14ac:dyDescent="0.25">
      <c r="A292" s="107" t="s">
        <v>688</v>
      </c>
      <c r="B292" s="158">
        <v>3597664.52</v>
      </c>
      <c r="C292" s="108"/>
      <c r="D292" s="108"/>
      <c r="E292" s="158">
        <v>3597664.52</v>
      </c>
      <c r="F292" s="107"/>
      <c r="G292" s="20">
        <v>-3597664.52</v>
      </c>
      <c r="H292" s="108"/>
      <c r="I292" s="108"/>
      <c r="J292" s="20">
        <v>-3597664.52</v>
      </c>
    </row>
    <row r="293" spans="1:10" customFormat="1" x14ac:dyDescent="0.25">
      <c r="A293" s="107" t="s">
        <v>689</v>
      </c>
      <c r="B293" s="158">
        <v>10000000</v>
      </c>
      <c r="C293" s="108"/>
      <c r="D293" s="108"/>
      <c r="E293" s="158">
        <v>10000000</v>
      </c>
      <c r="F293" s="107"/>
      <c r="G293" s="20">
        <v>-10000000</v>
      </c>
      <c r="H293" s="108"/>
      <c r="I293" s="108"/>
      <c r="J293" s="20">
        <v>-10000000</v>
      </c>
    </row>
    <row r="294" spans="1:10" customFormat="1" x14ac:dyDescent="0.25">
      <c r="A294" s="107" t="s">
        <v>691</v>
      </c>
      <c r="B294" s="157">
        <v>83193.78</v>
      </c>
      <c r="C294" s="108"/>
      <c r="D294" s="108"/>
      <c r="E294" s="157">
        <v>83193.78</v>
      </c>
      <c r="F294" s="107"/>
      <c r="G294" s="20">
        <v>83193.78</v>
      </c>
      <c r="H294" s="108"/>
      <c r="I294" s="108"/>
      <c r="J294" s="20">
        <v>83193.78</v>
      </c>
    </row>
    <row r="295" spans="1:10" customFormat="1" x14ac:dyDescent="0.25">
      <c r="A295" s="107" t="s">
        <v>692</v>
      </c>
      <c r="B295" s="110"/>
      <c r="C295" s="109">
        <v>2360</v>
      </c>
      <c r="D295" s="109">
        <v>4720</v>
      </c>
      <c r="E295" s="158">
        <v>2360</v>
      </c>
      <c r="F295" s="107"/>
      <c r="G295" s="110"/>
      <c r="H295" s="109">
        <v>2360</v>
      </c>
      <c r="I295" s="109">
        <v>4720</v>
      </c>
      <c r="J295" s="20">
        <v>-2360</v>
      </c>
    </row>
    <row r="296" spans="1:10" customFormat="1" x14ac:dyDescent="0.25">
      <c r="A296" s="107" t="s">
        <v>693</v>
      </c>
      <c r="B296" s="157">
        <v>2421.91</v>
      </c>
      <c r="C296" s="108"/>
      <c r="D296" s="108"/>
      <c r="E296" s="157">
        <v>2421.91</v>
      </c>
      <c r="F296" s="107"/>
      <c r="G296" s="20">
        <v>2421.91</v>
      </c>
      <c r="H296" s="108"/>
      <c r="I296" s="108"/>
      <c r="J296" s="20">
        <v>2421.91</v>
      </c>
    </row>
    <row r="297" spans="1:10" customFormat="1" x14ac:dyDescent="0.25">
      <c r="A297" s="107" t="s">
        <v>699</v>
      </c>
      <c r="B297" s="157">
        <v>24097.17</v>
      </c>
      <c r="C297" s="108"/>
      <c r="D297" s="108"/>
      <c r="E297" s="157">
        <v>24097.17</v>
      </c>
      <c r="F297" s="107"/>
      <c r="G297" s="20">
        <v>24097.17</v>
      </c>
      <c r="H297" s="108"/>
      <c r="I297" s="108"/>
      <c r="J297" s="20">
        <v>24097.17</v>
      </c>
    </row>
    <row r="298" spans="1:10" customFormat="1" x14ac:dyDescent="0.25">
      <c r="A298" s="107" t="s">
        <v>701</v>
      </c>
      <c r="B298" s="157">
        <v>17420</v>
      </c>
      <c r="C298" s="108"/>
      <c r="D298" s="108"/>
      <c r="E298" s="157">
        <v>17420</v>
      </c>
      <c r="F298" s="107"/>
      <c r="G298" s="20">
        <v>17420</v>
      </c>
      <c r="H298" s="108"/>
      <c r="I298" s="108"/>
      <c r="J298" s="20">
        <v>17420</v>
      </c>
    </row>
    <row r="299" spans="1:10" customFormat="1" x14ac:dyDescent="0.25">
      <c r="A299" s="107" t="s">
        <v>706</v>
      </c>
      <c r="B299" s="110"/>
      <c r="C299" s="109">
        <v>2410</v>
      </c>
      <c r="D299" s="108"/>
      <c r="E299" s="157">
        <v>2410</v>
      </c>
      <c r="F299" s="107"/>
      <c r="G299" s="110"/>
      <c r="H299" s="109">
        <v>2410</v>
      </c>
      <c r="I299" s="108"/>
      <c r="J299" s="20">
        <v>2410</v>
      </c>
    </row>
    <row r="300" spans="1:10" customFormat="1" x14ac:dyDescent="0.25">
      <c r="A300" s="107" t="s">
        <v>1382</v>
      </c>
      <c r="B300" s="110"/>
      <c r="C300" s="109">
        <v>25257</v>
      </c>
      <c r="D300" s="108"/>
      <c r="E300" s="157">
        <v>25257</v>
      </c>
      <c r="F300" s="107"/>
      <c r="G300" s="110"/>
      <c r="H300" s="109">
        <v>25257</v>
      </c>
      <c r="I300" s="108"/>
      <c r="J300" s="20">
        <v>25257</v>
      </c>
    </row>
    <row r="301" spans="1:10" customFormat="1" x14ac:dyDescent="0.25">
      <c r="A301" s="107" t="s">
        <v>1221</v>
      </c>
      <c r="B301" s="110"/>
      <c r="C301" s="109">
        <v>30</v>
      </c>
      <c r="D301" s="108"/>
      <c r="E301" s="157">
        <v>30</v>
      </c>
      <c r="F301" s="107"/>
      <c r="G301" s="110"/>
      <c r="H301" s="109">
        <v>30</v>
      </c>
      <c r="I301" s="108"/>
      <c r="J301" s="20">
        <v>30</v>
      </c>
    </row>
    <row r="302" spans="1:10" customFormat="1" x14ac:dyDescent="0.25">
      <c r="A302" s="107" t="s">
        <v>1086</v>
      </c>
      <c r="B302" s="110"/>
      <c r="C302" s="109">
        <v>10785</v>
      </c>
      <c r="D302" s="108"/>
      <c r="E302" s="157">
        <v>10785</v>
      </c>
      <c r="F302" s="107"/>
      <c r="G302" s="110"/>
      <c r="H302" s="109">
        <v>10785</v>
      </c>
      <c r="I302" s="108"/>
      <c r="J302" s="20">
        <v>10785</v>
      </c>
    </row>
    <row r="303" spans="1:10" customFormat="1" x14ac:dyDescent="0.25">
      <c r="A303" s="107" t="s">
        <v>716</v>
      </c>
      <c r="B303" s="110"/>
      <c r="C303" s="109">
        <v>20000</v>
      </c>
      <c r="D303" s="108"/>
      <c r="E303" s="157">
        <v>20000</v>
      </c>
      <c r="F303" s="107"/>
      <c r="G303" s="110"/>
      <c r="H303" s="109">
        <v>20000</v>
      </c>
      <c r="I303" s="108"/>
      <c r="J303" s="20">
        <v>20000</v>
      </c>
    </row>
    <row r="304" spans="1:10" customFormat="1" x14ac:dyDescent="0.25">
      <c r="A304" s="107" t="s">
        <v>712</v>
      </c>
      <c r="B304" s="158">
        <v>800</v>
      </c>
      <c r="C304" s="109">
        <v>800</v>
      </c>
      <c r="D304" s="108"/>
      <c r="E304" s="110"/>
      <c r="F304" s="107"/>
      <c r="G304" s="20">
        <v>-800</v>
      </c>
      <c r="H304" s="109">
        <v>800</v>
      </c>
      <c r="I304" s="108"/>
      <c r="J304" s="110"/>
    </row>
    <row r="305" spans="1:10" customFormat="1" x14ac:dyDescent="0.25">
      <c r="A305" s="107" t="s">
        <v>710</v>
      </c>
      <c r="B305" s="158">
        <v>2500</v>
      </c>
      <c r="C305" s="109">
        <v>1700</v>
      </c>
      <c r="D305" s="109">
        <v>200</v>
      </c>
      <c r="E305" s="158">
        <v>1000</v>
      </c>
      <c r="F305" s="107"/>
      <c r="G305" s="20">
        <v>-2500</v>
      </c>
      <c r="H305" s="109">
        <v>1700</v>
      </c>
      <c r="I305" s="109">
        <v>200</v>
      </c>
      <c r="J305" s="20">
        <v>-1000</v>
      </c>
    </row>
    <row r="306" spans="1:10" customFormat="1" x14ac:dyDescent="0.25">
      <c r="A306" s="107" t="s">
        <v>713</v>
      </c>
      <c r="B306" s="158">
        <v>2400</v>
      </c>
      <c r="C306" s="109">
        <v>4400</v>
      </c>
      <c r="D306" s="109">
        <v>400</v>
      </c>
      <c r="E306" s="157">
        <v>1600</v>
      </c>
      <c r="F306" s="107"/>
      <c r="G306" s="20">
        <v>-2400</v>
      </c>
      <c r="H306" s="109">
        <v>4400</v>
      </c>
      <c r="I306" s="109">
        <v>400</v>
      </c>
      <c r="J306" s="20">
        <v>1600</v>
      </c>
    </row>
    <row r="307" spans="1:10" customFormat="1" x14ac:dyDescent="0.25">
      <c r="A307" s="107" t="s">
        <v>1064</v>
      </c>
      <c r="B307" s="158">
        <v>2500</v>
      </c>
      <c r="C307" s="109">
        <v>2300</v>
      </c>
      <c r="D307" s="109">
        <v>600</v>
      </c>
      <c r="E307" s="158">
        <v>800</v>
      </c>
      <c r="F307" s="107"/>
      <c r="G307" s="20">
        <v>-2500</v>
      </c>
      <c r="H307" s="109">
        <v>2300</v>
      </c>
      <c r="I307" s="109">
        <v>600</v>
      </c>
      <c r="J307" s="20">
        <v>-800</v>
      </c>
    </row>
    <row r="308" spans="1:10" customFormat="1" x14ac:dyDescent="0.25">
      <c r="A308" s="107" t="s">
        <v>714</v>
      </c>
      <c r="B308" s="157">
        <v>1225</v>
      </c>
      <c r="C308" s="108"/>
      <c r="D308" s="108"/>
      <c r="E308" s="157">
        <v>1225</v>
      </c>
      <c r="F308" s="107"/>
      <c r="G308" s="20">
        <v>1225</v>
      </c>
      <c r="H308" s="108"/>
      <c r="I308" s="108"/>
      <c r="J308" s="20">
        <v>1225</v>
      </c>
    </row>
    <row r="309" spans="1:10" customFormat="1" x14ac:dyDescent="0.25">
      <c r="A309" s="107" t="s">
        <v>717</v>
      </c>
      <c r="B309" s="157">
        <v>88047692.739999995</v>
      </c>
      <c r="C309" s="108"/>
      <c r="D309" s="108"/>
      <c r="E309" s="157">
        <v>88047692.739999995</v>
      </c>
      <c r="F309" s="107"/>
      <c r="G309" s="20">
        <v>88047692.739999995</v>
      </c>
      <c r="H309" s="108"/>
      <c r="I309" s="108"/>
      <c r="J309" s="20">
        <v>88047692.739999995</v>
      </c>
    </row>
    <row r="310" spans="1:10" customFormat="1" x14ac:dyDescent="0.25">
      <c r="A310" s="107" t="s">
        <v>720</v>
      </c>
      <c r="B310" s="158">
        <v>54000</v>
      </c>
      <c r="C310" s="108"/>
      <c r="D310" s="108"/>
      <c r="E310" s="158">
        <v>54000</v>
      </c>
      <c r="F310" s="107"/>
      <c r="G310" s="20">
        <v>-54000</v>
      </c>
      <c r="H310" s="108"/>
      <c r="I310" s="108"/>
      <c r="J310" s="20">
        <v>-54000</v>
      </c>
    </row>
    <row r="311" spans="1:10" customFormat="1" x14ac:dyDescent="0.25">
      <c r="A311" s="107" t="s">
        <v>1413</v>
      </c>
      <c r="B311" s="158"/>
      <c r="C311" s="108"/>
      <c r="D311" s="108"/>
      <c r="E311" s="158"/>
      <c r="F311" s="107"/>
      <c r="G311" s="20"/>
      <c r="H311" s="108"/>
      <c r="I311" s="108"/>
      <c r="J311" s="20"/>
    </row>
    <row r="312" spans="1:10" customFormat="1" x14ac:dyDescent="0.25">
      <c r="A312" s="107" t="s">
        <v>724</v>
      </c>
      <c r="B312" s="158">
        <v>200000</v>
      </c>
      <c r="C312" s="108"/>
      <c r="D312" s="108"/>
      <c r="E312" s="158">
        <v>200000</v>
      </c>
      <c r="F312" s="107"/>
      <c r="G312" s="20">
        <v>-200000</v>
      </c>
      <c r="H312" s="108"/>
      <c r="I312" s="108"/>
      <c r="J312" s="20">
        <v>-200000</v>
      </c>
    </row>
    <row r="313" spans="1:10" customFormat="1" x14ac:dyDescent="0.25">
      <c r="A313" s="107" t="s">
        <v>721</v>
      </c>
      <c r="B313" s="158">
        <v>125000</v>
      </c>
      <c r="C313" s="108"/>
      <c r="D313" s="108"/>
      <c r="E313" s="158">
        <v>125000</v>
      </c>
      <c r="F313" s="107"/>
      <c r="G313" s="20">
        <v>-125000</v>
      </c>
      <c r="H313" s="108"/>
      <c r="I313" s="108"/>
      <c r="J313" s="20">
        <v>-125000</v>
      </c>
    </row>
    <row r="314" spans="1:10" customFormat="1" x14ac:dyDescent="0.25">
      <c r="A314" s="107" t="s">
        <v>723</v>
      </c>
      <c r="B314" s="158">
        <v>450000</v>
      </c>
      <c r="C314" s="108"/>
      <c r="D314" s="108"/>
      <c r="E314" s="158">
        <v>450000</v>
      </c>
      <c r="F314" s="107"/>
      <c r="G314" s="20">
        <v>-450000</v>
      </c>
      <c r="H314" s="108"/>
      <c r="I314" s="108"/>
      <c r="J314" s="20">
        <v>-450000</v>
      </c>
    </row>
    <row r="315" spans="1:10" customFormat="1" x14ac:dyDescent="0.25">
      <c r="A315" s="107" t="s">
        <v>675</v>
      </c>
      <c r="B315" s="157">
        <v>999.87</v>
      </c>
      <c r="C315" s="108"/>
      <c r="D315" s="108"/>
      <c r="E315" s="157">
        <v>999.87</v>
      </c>
      <c r="F315" s="107"/>
      <c r="G315" s="20">
        <v>999.87</v>
      </c>
      <c r="H315" s="108"/>
      <c r="I315" s="108"/>
      <c r="J315" s="20">
        <v>999.87</v>
      </c>
    </row>
    <row r="316" spans="1:10" customFormat="1" x14ac:dyDescent="0.25">
      <c r="A316" s="107" t="s">
        <v>726</v>
      </c>
      <c r="B316" s="110"/>
      <c r="C316" s="109">
        <v>28434.720000000001</v>
      </c>
      <c r="D316" s="108"/>
      <c r="E316" s="157">
        <v>28434.720000000001</v>
      </c>
      <c r="F316" s="107"/>
      <c r="G316" s="110"/>
      <c r="H316" s="109">
        <v>28434.720000000001</v>
      </c>
      <c r="I316" s="108"/>
      <c r="J316" s="20">
        <v>28434.720000000001</v>
      </c>
    </row>
    <row r="317" spans="1:10" customFormat="1" x14ac:dyDescent="0.25">
      <c r="A317" s="107" t="s">
        <v>731</v>
      </c>
      <c r="B317" s="110"/>
      <c r="C317" s="109">
        <v>16540</v>
      </c>
      <c r="D317" s="108"/>
      <c r="E317" s="157">
        <v>16540</v>
      </c>
      <c r="F317" s="107"/>
      <c r="G317" s="110"/>
      <c r="H317" s="109">
        <v>16540</v>
      </c>
      <c r="I317" s="108"/>
      <c r="J317" s="20">
        <v>16540</v>
      </c>
    </row>
    <row r="318" spans="1:10" customFormat="1" x14ac:dyDescent="0.25">
      <c r="A318" s="107" t="s">
        <v>732</v>
      </c>
      <c r="B318" s="110"/>
      <c r="C318" s="109">
        <v>48357904.5</v>
      </c>
      <c r="D318" s="109">
        <v>161460</v>
      </c>
      <c r="E318" s="157">
        <v>48196444.5</v>
      </c>
      <c r="F318" s="107"/>
      <c r="G318" s="110"/>
      <c r="H318" s="109">
        <v>48357904.5</v>
      </c>
      <c r="I318" s="109">
        <v>161460</v>
      </c>
      <c r="J318" s="20">
        <v>48196444.5</v>
      </c>
    </row>
    <row r="319" spans="1:10" customFormat="1" x14ac:dyDescent="0.25">
      <c r="A319" s="107" t="s">
        <v>1383</v>
      </c>
      <c r="B319" s="110"/>
      <c r="C319" s="109">
        <v>3425069</v>
      </c>
      <c r="D319" s="109">
        <v>677408.8</v>
      </c>
      <c r="E319" s="157">
        <v>2747660.2</v>
      </c>
      <c r="F319" s="107"/>
      <c r="G319" s="110"/>
      <c r="H319" s="109">
        <v>3425069</v>
      </c>
      <c r="I319" s="109">
        <v>677408.8</v>
      </c>
      <c r="J319" s="20">
        <v>2747660.2</v>
      </c>
    </row>
    <row r="320" spans="1:10" customFormat="1" x14ac:dyDescent="0.25">
      <c r="A320" s="107" t="s">
        <v>1384</v>
      </c>
      <c r="B320" s="157">
        <v>50000</v>
      </c>
      <c r="C320" s="109">
        <v>100000</v>
      </c>
      <c r="D320" s="108"/>
      <c r="E320" s="157">
        <v>150000</v>
      </c>
      <c r="F320" s="107"/>
      <c r="G320" s="20">
        <v>50000</v>
      </c>
      <c r="H320" s="109">
        <v>100000</v>
      </c>
      <c r="I320" s="108"/>
      <c r="J320" s="20">
        <v>150000</v>
      </c>
    </row>
    <row r="321" spans="1:10" customFormat="1" x14ac:dyDescent="0.25">
      <c r="A321" s="107" t="s">
        <v>741</v>
      </c>
      <c r="B321" s="157">
        <v>66000</v>
      </c>
      <c r="C321" s="108"/>
      <c r="D321" s="108"/>
      <c r="E321" s="157">
        <v>66000</v>
      </c>
      <c r="F321" s="107"/>
      <c r="G321" s="20">
        <v>66000</v>
      </c>
      <c r="H321" s="108"/>
      <c r="I321" s="108"/>
      <c r="J321" s="20">
        <v>66000</v>
      </c>
    </row>
    <row r="322" spans="1:10" customFormat="1" x14ac:dyDescent="0.25">
      <c r="A322" s="107" t="s">
        <v>744</v>
      </c>
      <c r="B322" s="158">
        <v>43120</v>
      </c>
      <c r="C322" s="109">
        <v>43120</v>
      </c>
      <c r="D322" s="108"/>
      <c r="E322" s="110"/>
      <c r="F322" s="107"/>
      <c r="G322" s="20">
        <v>-43120</v>
      </c>
      <c r="H322" s="109">
        <v>43120</v>
      </c>
      <c r="I322" s="108"/>
      <c r="J322" s="110"/>
    </row>
    <row r="323" spans="1:10" customFormat="1" x14ac:dyDescent="0.25">
      <c r="A323" s="107" t="s">
        <v>746</v>
      </c>
      <c r="B323" s="110"/>
      <c r="C323" s="109">
        <v>115000</v>
      </c>
      <c r="D323" s="109">
        <v>129999</v>
      </c>
      <c r="E323" s="158">
        <v>14999</v>
      </c>
      <c r="F323" s="107"/>
      <c r="G323" s="110"/>
      <c r="H323" s="109">
        <v>115000</v>
      </c>
      <c r="I323" s="109">
        <v>129999</v>
      </c>
      <c r="J323" s="20">
        <v>-14999</v>
      </c>
    </row>
    <row r="324" spans="1:10" customFormat="1" x14ac:dyDescent="0.25">
      <c r="A324" s="107" t="s">
        <v>748</v>
      </c>
      <c r="B324" s="157">
        <v>293.82</v>
      </c>
      <c r="C324" s="109">
        <v>1491.94</v>
      </c>
      <c r="D324" s="109">
        <v>1491.94</v>
      </c>
      <c r="E324" s="157">
        <v>293.82</v>
      </c>
      <c r="F324" s="107"/>
      <c r="G324" s="20">
        <v>293.82</v>
      </c>
      <c r="H324" s="109">
        <v>1491.94</v>
      </c>
      <c r="I324" s="109">
        <v>1491.94</v>
      </c>
      <c r="J324" s="20">
        <v>293.82</v>
      </c>
    </row>
    <row r="325" spans="1:10" customFormat="1" x14ac:dyDescent="0.25">
      <c r="A325" s="107" t="s">
        <v>749</v>
      </c>
      <c r="B325" s="110"/>
      <c r="C325" s="109">
        <v>942.82</v>
      </c>
      <c r="D325" s="109">
        <v>942.82</v>
      </c>
      <c r="E325" s="110"/>
      <c r="F325" s="107"/>
      <c r="G325" s="110"/>
      <c r="H325" s="109">
        <v>942.82</v>
      </c>
      <c r="I325" s="109">
        <v>942.82</v>
      </c>
      <c r="J325" s="110"/>
    </row>
    <row r="326" spans="1:10" customFormat="1" x14ac:dyDescent="0.25">
      <c r="A326" s="107" t="s">
        <v>1083</v>
      </c>
      <c r="B326" s="110"/>
      <c r="C326" s="109">
        <v>28000</v>
      </c>
      <c r="D326" s="108"/>
      <c r="E326" s="157">
        <v>28000</v>
      </c>
      <c r="F326" s="107"/>
      <c r="G326" s="110"/>
      <c r="H326" s="109">
        <v>28000</v>
      </c>
      <c r="I326" s="108"/>
      <c r="J326" s="20">
        <v>28000</v>
      </c>
    </row>
    <row r="327" spans="1:10" customFormat="1" x14ac:dyDescent="0.25">
      <c r="A327" s="107" t="s">
        <v>754</v>
      </c>
      <c r="B327" s="110"/>
      <c r="C327" s="109">
        <v>179550</v>
      </c>
      <c r="D327" s="108"/>
      <c r="E327" s="157">
        <v>179550</v>
      </c>
      <c r="F327" s="107"/>
      <c r="G327" s="110"/>
      <c r="H327" s="109">
        <v>179550</v>
      </c>
      <c r="I327" s="108"/>
      <c r="J327" s="20">
        <v>179550</v>
      </c>
    </row>
    <row r="328" spans="1:10" customFormat="1" x14ac:dyDescent="0.25">
      <c r="A328" s="107" t="s">
        <v>760</v>
      </c>
      <c r="B328" s="110"/>
      <c r="C328" s="109">
        <v>12.4</v>
      </c>
      <c r="D328" s="109">
        <v>23.85</v>
      </c>
      <c r="E328" s="158">
        <v>11.45</v>
      </c>
      <c r="F328" s="107"/>
      <c r="G328" s="110"/>
      <c r="H328" s="109">
        <v>12.4</v>
      </c>
      <c r="I328" s="109">
        <v>23.85</v>
      </c>
      <c r="J328" s="20">
        <v>-11.45</v>
      </c>
    </row>
    <row r="329" spans="1:10" customFormat="1" x14ac:dyDescent="0.25">
      <c r="A329" s="107" t="s">
        <v>761</v>
      </c>
      <c r="B329" s="157">
        <v>51094</v>
      </c>
      <c r="C329" s="108"/>
      <c r="D329" s="108"/>
      <c r="E329" s="157">
        <v>51094</v>
      </c>
      <c r="F329" s="107"/>
      <c r="G329" s="20">
        <v>51094</v>
      </c>
      <c r="H329" s="108"/>
      <c r="I329" s="108"/>
      <c r="J329" s="20">
        <v>51094</v>
      </c>
    </row>
    <row r="330" spans="1:10" customFormat="1" x14ac:dyDescent="0.25">
      <c r="A330" s="107" t="s">
        <v>1385</v>
      </c>
      <c r="B330" s="110"/>
      <c r="C330" s="109">
        <v>3540000</v>
      </c>
      <c r="D330" s="109">
        <v>3540000</v>
      </c>
      <c r="E330" s="110"/>
      <c r="F330" s="107"/>
      <c r="G330" s="110"/>
      <c r="H330" s="109">
        <v>3540000</v>
      </c>
      <c r="I330" s="109">
        <v>3540000</v>
      </c>
      <c r="J330" s="110"/>
    </row>
    <row r="331" spans="1:10" customFormat="1" x14ac:dyDescent="0.25">
      <c r="A331" s="107" t="s">
        <v>1318</v>
      </c>
      <c r="B331" s="158">
        <v>79006</v>
      </c>
      <c r="C331" s="109">
        <v>161922</v>
      </c>
      <c r="D331" s="109">
        <v>82916</v>
      </c>
      <c r="E331" s="110"/>
      <c r="F331" s="107"/>
      <c r="G331" s="20">
        <v>-79006</v>
      </c>
      <c r="H331" s="109">
        <v>161922</v>
      </c>
      <c r="I331" s="109">
        <v>82916</v>
      </c>
      <c r="J331" s="110"/>
    </row>
    <row r="332" spans="1:10" customFormat="1" x14ac:dyDescent="0.25">
      <c r="A332" s="107" t="s">
        <v>770</v>
      </c>
      <c r="B332" s="157">
        <v>279</v>
      </c>
      <c r="C332" s="108"/>
      <c r="D332" s="109">
        <v>304</v>
      </c>
      <c r="E332" s="158">
        <v>25</v>
      </c>
      <c r="F332" s="107"/>
      <c r="G332" s="20">
        <v>279</v>
      </c>
      <c r="H332" s="108"/>
      <c r="I332" s="109">
        <v>304</v>
      </c>
      <c r="J332" s="20">
        <v>-25</v>
      </c>
    </row>
    <row r="333" spans="1:10" customFormat="1" x14ac:dyDescent="0.25">
      <c r="A333" s="107" t="s">
        <v>771</v>
      </c>
      <c r="B333" s="158">
        <v>1000</v>
      </c>
      <c r="C333" s="109">
        <v>2000</v>
      </c>
      <c r="D333" s="109">
        <v>2000</v>
      </c>
      <c r="E333" s="158">
        <v>1000</v>
      </c>
      <c r="F333" s="107"/>
      <c r="G333" s="20">
        <v>-1000</v>
      </c>
      <c r="H333" s="109">
        <v>2000</v>
      </c>
      <c r="I333" s="109">
        <v>2000</v>
      </c>
      <c r="J333" s="20">
        <v>-1000</v>
      </c>
    </row>
    <row r="334" spans="1:10" customFormat="1" x14ac:dyDescent="0.25">
      <c r="A334" s="107" t="s">
        <v>773</v>
      </c>
      <c r="B334" s="158">
        <v>606233</v>
      </c>
      <c r="C334" s="109">
        <v>610835</v>
      </c>
      <c r="D334" s="109">
        <v>584007</v>
      </c>
      <c r="E334" s="158">
        <v>579405</v>
      </c>
      <c r="F334" s="107"/>
      <c r="G334" s="20">
        <v>-606233</v>
      </c>
      <c r="H334" s="109">
        <v>610835</v>
      </c>
      <c r="I334" s="109">
        <v>584007</v>
      </c>
      <c r="J334" s="20">
        <v>-579405</v>
      </c>
    </row>
    <row r="335" spans="1:10" customFormat="1" x14ac:dyDescent="0.25">
      <c r="A335" s="107" t="s">
        <v>774</v>
      </c>
      <c r="B335" s="110"/>
      <c r="C335" s="108"/>
      <c r="D335" s="109">
        <v>28434.720000000001</v>
      </c>
      <c r="E335" s="158">
        <v>28434.720000000001</v>
      </c>
      <c r="F335" s="107"/>
      <c r="G335" s="110"/>
      <c r="H335" s="108"/>
      <c r="I335" s="109">
        <v>28434.720000000001</v>
      </c>
      <c r="J335" s="20">
        <v>-28434.720000000001</v>
      </c>
    </row>
    <row r="336" spans="1:10" customFormat="1" x14ac:dyDescent="0.25">
      <c r="A336" s="107" t="s">
        <v>780</v>
      </c>
      <c r="B336" s="110"/>
      <c r="C336" s="109">
        <v>6827434.4000000004</v>
      </c>
      <c r="D336" s="109">
        <v>81857931.269999996</v>
      </c>
      <c r="E336" s="158">
        <v>75030496.870000005</v>
      </c>
      <c r="F336" s="107"/>
      <c r="G336" s="110"/>
      <c r="H336" s="109">
        <v>6827434.4000000004</v>
      </c>
      <c r="I336" s="109">
        <v>81857931.269999996</v>
      </c>
      <c r="J336" s="20">
        <v>-75030496.870000005</v>
      </c>
    </row>
    <row r="337" spans="1:10" customFormat="1" x14ac:dyDescent="0.25">
      <c r="A337" s="107" t="s">
        <v>784</v>
      </c>
      <c r="B337" s="158">
        <v>2360</v>
      </c>
      <c r="C337" s="108"/>
      <c r="D337" s="108"/>
      <c r="E337" s="158">
        <v>2360</v>
      </c>
      <c r="F337" s="107"/>
      <c r="G337" s="20">
        <v>-2360</v>
      </c>
      <c r="H337" s="108"/>
      <c r="I337" s="108"/>
      <c r="J337" s="20">
        <v>-2360</v>
      </c>
    </row>
    <row r="338" spans="1:10" customFormat="1" x14ac:dyDescent="0.25">
      <c r="A338" s="107" t="s">
        <v>1386</v>
      </c>
      <c r="B338" s="110"/>
      <c r="C338" s="109">
        <v>257250</v>
      </c>
      <c r="D338" s="109">
        <v>257250</v>
      </c>
      <c r="E338" s="110"/>
      <c r="F338" s="107"/>
      <c r="G338" s="110"/>
      <c r="H338" s="109">
        <v>257250</v>
      </c>
      <c r="I338" s="109">
        <v>257250</v>
      </c>
      <c r="J338" s="110"/>
    </row>
    <row r="339" spans="1:10" customFormat="1" x14ac:dyDescent="0.25">
      <c r="A339" s="107" t="s">
        <v>785</v>
      </c>
      <c r="B339" s="157">
        <v>31996</v>
      </c>
      <c r="C339" s="108"/>
      <c r="D339" s="108"/>
      <c r="E339" s="157">
        <v>31996</v>
      </c>
      <c r="F339" s="107"/>
      <c r="G339" s="20">
        <v>31996</v>
      </c>
      <c r="H339" s="108"/>
      <c r="I339" s="108"/>
      <c r="J339" s="20">
        <v>31996</v>
      </c>
    </row>
    <row r="340" spans="1:10" customFormat="1" x14ac:dyDescent="0.25">
      <c r="A340" s="107" t="s">
        <v>1387</v>
      </c>
      <c r="B340" s="110"/>
      <c r="C340" s="109">
        <v>2612131</v>
      </c>
      <c r="D340" s="108"/>
      <c r="E340" s="157">
        <v>2612131</v>
      </c>
      <c r="F340" s="107"/>
      <c r="G340" s="110"/>
      <c r="H340" s="109">
        <v>2612131</v>
      </c>
      <c r="I340" s="108"/>
      <c r="J340" s="20">
        <v>2612131</v>
      </c>
    </row>
    <row r="341" spans="1:10" customFormat="1" x14ac:dyDescent="0.25">
      <c r="A341" s="107" t="s">
        <v>1255</v>
      </c>
      <c r="B341" s="110"/>
      <c r="C341" s="109">
        <v>21660</v>
      </c>
      <c r="D341" s="109">
        <v>21660</v>
      </c>
      <c r="E341" s="110"/>
      <c r="F341" s="107"/>
      <c r="G341" s="110"/>
      <c r="H341" s="109">
        <v>21660</v>
      </c>
      <c r="I341" s="109">
        <v>21660</v>
      </c>
      <c r="J341" s="110"/>
    </row>
    <row r="342" spans="1:10" customFormat="1" x14ac:dyDescent="0.25">
      <c r="A342" s="107" t="s">
        <v>1070</v>
      </c>
      <c r="B342" s="158">
        <v>4843178</v>
      </c>
      <c r="C342" s="109">
        <v>2349878</v>
      </c>
      <c r="D342" s="108"/>
      <c r="E342" s="158">
        <v>2493300</v>
      </c>
      <c r="F342" s="107"/>
      <c r="G342" s="20">
        <v>-4843178</v>
      </c>
      <c r="H342" s="109">
        <v>2349878</v>
      </c>
      <c r="I342" s="108"/>
      <c r="J342" s="20">
        <v>-2493300</v>
      </c>
    </row>
    <row r="343" spans="1:10" customFormat="1" x14ac:dyDescent="0.25">
      <c r="A343" s="107" t="s">
        <v>764</v>
      </c>
      <c r="B343" s="157">
        <v>1870</v>
      </c>
      <c r="C343" s="108"/>
      <c r="D343" s="108"/>
      <c r="E343" s="157">
        <v>1870</v>
      </c>
      <c r="F343" s="107"/>
      <c r="G343" s="20">
        <v>1870</v>
      </c>
      <c r="H343" s="108"/>
      <c r="I343" s="108"/>
      <c r="J343" s="20">
        <v>1870</v>
      </c>
    </row>
    <row r="344" spans="1:10" customFormat="1" x14ac:dyDescent="0.25">
      <c r="A344" s="107" t="s">
        <v>766</v>
      </c>
      <c r="B344" s="157">
        <v>6580</v>
      </c>
      <c r="C344" s="108"/>
      <c r="D344" s="108"/>
      <c r="E344" s="157">
        <v>6580</v>
      </c>
      <c r="F344" s="107"/>
      <c r="G344" s="20">
        <v>6580</v>
      </c>
      <c r="H344" s="108"/>
      <c r="I344" s="108"/>
      <c r="J344" s="20">
        <v>6580</v>
      </c>
    </row>
    <row r="345" spans="1:10" customFormat="1" x14ac:dyDescent="0.25">
      <c r="A345" s="107" t="s">
        <v>788</v>
      </c>
      <c r="B345" s="110"/>
      <c r="C345" s="109">
        <v>47503.63</v>
      </c>
      <c r="D345" s="108"/>
      <c r="E345" s="157">
        <v>47503.63</v>
      </c>
      <c r="F345" s="107"/>
      <c r="G345" s="110"/>
      <c r="H345" s="109">
        <v>47503.63</v>
      </c>
      <c r="I345" s="108"/>
      <c r="J345" s="20">
        <v>47503.63</v>
      </c>
    </row>
    <row r="346" spans="1:10" customFormat="1" x14ac:dyDescent="0.25">
      <c r="A346" s="107" t="s">
        <v>1256</v>
      </c>
      <c r="B346" s="110"/>
      <c r="C346" s="109">
        <v>7873.08</v>
      </c>
      <c r="D346" s="108"/>
      <c r="E346" s="157">
        <v>7873.08</v>
      </c>
      <c r="F346" s="107"/>
      <c r="G346" s="110"/>
      <c r="H346" s="109">
        <v>7873.08</v>
      </c>
      <c r="I346" s="108"/>
      <c r="J346" s="20">
        <v>7873.08</v>
      </c>
    </row>
    <row r="347" spans="1:10" customFormat="1" x14ac:dyDescent="0.25">
      <c r="A347" s="107" t="s">
        <v>791</v>
      </c>
      <c r="B347" s="157">
        <v>4000</v>
      </c>
      <c r="C347" s="108"/>
      <c r="D347" s="108"/>
      <c r="E347" s="157">
        <v>4000</v>
      </c>
      <c r="F347" s="107"/>
      <c r="G347" s="20">
        <v>4000</v>
      </c>
      <c r="H347" s="108"/>
      <c r="I347" s="108"/>
      <c r="J347" s="20">
        <v>4000</v>
      </c>
    </row>
    <row r="348" spans="1:10" customFormat="1" x14ac:dyDescent="0.25">
      <c r="A348" s="107" t="s">
        <v>794</v>
      </c>
      <c r="B348" s="157">
        <v>1530</v>
      </c>
      <c r="C348" s="108"/>
      <c r="D348" s="108"/>
      <c r="E348" s="157">
        <v>1530</v>
      </c>
      <c r="F348" s="107"/>
      <c r="G348" s="20">
        <v>1530</v>
      </c>
      <c r="H348" s="108"/>
      <c r="I348" s="108"/>
      <c r="J348" s="20">
        <v>1530</v>
      </c>
    </row>
    <row r="349" spans="1:10" customFormat="1" x14ac:dyDescent="0.25">
      <c r="A349" s="107" t="s">
        <v>795</v>
      </c>
      <c r="B349" s="157">
        <v>433850</v>
      </c>
      <c r="C349" s="108"/>
      <c r="D349" s="108"/>
      <c r="E349" s="157">
        <v>433850</v>
      </c>
      <c r="F349" s="107"/>
      <c r="G349" s="20">
        <v>433850</v>
      </c>
      <c r="H349" s="108"/>
      <c r="I349" s="108"/>
      <c r="J349" s="20">
        <v>433850</v>
      </c>
    </row>
    <row r="350" spans="1:10" customFormat="1" x14ac:dyDescent="0.25">
      <c r="A350" s="107" t="s">
        <v>796</v>
      </c>
      <c r="B350" s="157">
        <v>653050</v>
      </c>
      <c r="C350" s="108"/>
      <c r="D350" s="108"/>
      <c r="E350" s="157">
        <v>653050</v>
      </c>
      <c r="F350" s="107"/>
      <c r="G350" s="20">
        <v>653050</v>
      </c>
      <c r="H350" s="108"/>
      <c r="I350" s="108"/>
      <c r="J350" s="20">
        <v>653050</v>
      </c>
    </row>
    <row r="351" spans="1:10" customFormat="1" x14ac:dyDescent="0.25">
      <c r="A351" s="107" t="s">
        <v>800</v>
      </c>
      <c r="B351" s="157">
        <v>348252.15999999997</v>
      </c>
      <c r="C351" s="109">
        <v>324787.86</v>
      </c>
      <c r="D351" s="108"/>
      <c r="E351" s="157">
        <v>673040.02</v>
      </c>
      <c r="F351" s="107"/>
      <c r="G351" s="20">
        <v>348252.15999999997</v>
      </c>
      <c r="H351" s="109">
        <v>324787.86</v>
      </c>
      <c r="I351" s="108"/>
      <c r="J351" s="20">
        <v>673040.02</v>
      </c>
    </row>
    <row r="352" spans="1:10" customFormat="1" x14ac:dyDescent="0.25">
      <c r="A352" s="107" t="s">
        <v>801</v>
      </c>
      <c r="B352" s="158">
        <v>1329.9</v>
      </c>
      <c r="C352" s="108"/>
      <c r="D352" s="108"/>
      <c r="E352" s="158">
        <v>1329.9</v>
      </c>
      <c r="F352" s="107"/>
      <c r="G352" s="20">
        <v>-1329.9</v>
      </c>
      <c r="H352" s="108"/>
      <c r="I352" s="108"/>
      <c r="J352" s="20">
        <v>-1329.9</v>
      </c>
    </row>
    <row r="353" spans="1:10" customFormat="1" x14ac:dyDescent="0.25">
      <c r="A353" s="107" t="s">
        <v>802</v>
      </c>
      <c r="B353" s="157">
        <v>367217.96</v>
      </c>
      <c r="C353" s="109">
        <v>400078</v>
      </c>
      <c r="D353" s="109">
        <v>1847559.12</v>
      </c>
      <c r="E353" s="158">
        <v>1080263.1599999999</v>
      </c>
      <c r="F353" s="107"/>
      <c r="G353" s="20">
        <v>367217.96</v>
      </c>
      <c r="H353" s="109">
        <v>400078</v>
      </c>
      <c r="I353" s="109">
        <v>1847559.12</v>
      </c>
      <c r="J353" s="20">
        <v>-1080263.1599999999</v>
      </c>
    </row>
    <row r="354" spans="1:10" customFormat="1" x14ac:dyDescent="0.25">
      <c r="A354" s="107" t="s">
        <v>803</v>
      </c>
      <c r="B354" s="110"/>
      <c r="C354" s="109">
        <v>1500</v>
      </c>
      <c r="D354" s="108"/>
      <c r="E354" s="157">
        <v>1500</v>
      </c>
      <c r="F354" s="107"/>
      <c r="G354" s="110"/>
      <c r="H354" s="109">
        <v>1500</v>
      </c>
      <c r="I354" s="108"/>
      <c r="J354" s="20">
        <v>1500</v>
      </c>
    </row>
    <row r="355" spans="1:10" customFormat="1" x14ac:dyDescent="0.25">
      <c r="A355" s="107" t="s">
        <v>1320</v>
      </c>
      <c r="B355" s="158">
        <v>161460</v>
      </c>
      <c r="C355" s="109">
        <v>161460</v>
      </c>
      <c r="D355" s="109">
        <v>2146725</v>
      </c>
      <c r="E355" s="158">
        <v>2146725</v>
      </c>
      <c r="F355" s="107"/>
      <c r="G355" s="20">
        <v>-161460</v>
      </c>
      <c r="H355" s="109">
        <v>161460</v>
      </c>
      <c r="I355" s="109">
        <v>2146725</v>
      </c>
      <c r="J355" s="20">
        <v>-2146725</v>
      </c>
    </row>
    <row r="356" spans="1:10" customFormat="1" x14ac:dyDescent="0.25">
      <c r="A356" s="107" t="s">
        <v>1071</v>
      </c>
      <c r="B356" s="110"/>
      <c r="C356" s="109">
        <v>551250</v>
      </c>
      <c r="D356" s="109">
        <v>551250</v>
      </c>
      <c r="E356" s="110"/>
      <c r="F356" s="107"/>
      <c r="G356" s="110"/>
      <c r="H356" s="109">
        <v>551250</v>
      </c>
      <c r="I356" s="109">
        <v>551250</v>
      </c>
      <c r="J356" s="110"/>
    </row>
    <row r="357" spans="1:10" customFormat="1" x14ac:dyDescent="0.25">
      <c r="A357" s="107" t="s">
        <v>1388</v>
      </c>
      <c r="B357" s="110"/>
      <c r="C357" s="109">
        <v>91382</v>
      </c>
      <c r="D357" s="109">
        <v>91382</v>
      </c>
      <c r="E357" s="110"/>
      <c r="F357" s="107"/>
      <c r="G357" s="110"/>
      <c r="H357" s="109">
        <v>91382</v>
      </c>
      <c r="I357" s="109">
        <v>91382</v>
      </c>
      <c r="J357" s="110"/>
    </row>
    <row r="358" spans="1:10" customFormat="1" x14ac:dyDescent="0.25">
      <c r="A358" s="107" t="s">
        <v>854</v>
      </c>
      <c r="B358" s="158">
        <v>464</v>
      </c>
      <c r="C358" s="108"/>
      <c r="D358" s="108"/>
      <c r="E358" s="158">
        <v>464</v>
      </c>
      <c r="F358" s="107"/>
      <c r="G358" s="20">
        <v>-464</v>
      </c>
      <c r="H358" s="108"/>
      <c r="I358" s="108"/>
      <c r="J358" s="20">
        <v>-464</v>
      </c>
    </row>
    <row r="359" spans="1:10" customFormat="1" x14ac:dyDescent="0.25">
      <c r="A359" s="107" t="s">
        <v>855</v>
      </c>
      <c r="B359" s="158">
        <v>226</v>
      </c>
      <c r="C359" s="108"/>
      <c r="D359" s="108"/>
      <c r="E359" s="158">
        <v>226</v>
      </c>
      <c r="F359" s="107"/>
      <c r="G359" s="20">
        <v>-226</v>
      </c>
      <c r="H359" s="108"/>
      <c r="I359" s="108"/>
      <c r="J359" s="20">
        <v>-226</v>
      </c>
    </row>
    <row r="360" spans="1:10" customFormat="1" x14ac:dyDescent="0.25">
      <c r="A360" s="107" t="s">
        <v>858</v>
      </c>
      <c r="B360" s="158">
        <v>10000</v>
      </c>
      <c r="C360" s="109">
        <v>10000</v>
      </c>
      <c r="D360" s="108"/>
      <c r="E360" s="110"/>
      <c r="F360" s="107"/>
      <c r="G360" s="20">
        <v>-10000</v>
      </c>
      <c r="H360" s="109">
        <v>10000</v>
      </c>
      <c r="I360" s="108"/>
      <c r="J360" s="110"/>
    </row>
    <row r="361" spans="1:10" customFormat="1" x14ac:dyDescent="0.25">
      <c r="A361" s="107" t="s">
        <v>1389</v>
      </c>
      <c r="B361" s="110"/>
      <c r="C361" s="109">
        <v>3912300</v>
      </c>
      <c r="D361" s="109">
        <v>3912300</v>
      </c>
      <c r="E361" s="110"/>
      <c r="F361" s="107"/>
      <c r="G361" s="110"/>
      <c r="H361" s="109">
        <v>3912300</v>
      </c>
      <c r="I361" s="109">
        <v>3912300</v>
      </c>
      <c r="J361" s="110"/>
    </row>
    <row r="362" spans="1:10" customFormat="1" x14ac:dyDescent="0.25">
      <c r="A362" s="107" t="s">
        <v>1321</v>
      </c>
      <c r="B362" s="158">
        <v>7600</v>
      </c>
      <c r="C362" s="109">
        <v>7600</v>
      </c>
      <c r="D362" s="108"/>
      <c r="E362" s="110"/>
      <c r="F362" s="107"/>
      <c r="G362" s="20">
        <v>-7600</v>
      </c>
      <c r="H362" s="109">
        <v>7600</v>
      </c>
      <c r="I362" s="108"/>
      <c r="J362" s="110"/>
    </row>
    <row r="363" spans="1:10" customFormat="1" x14ac:dyDescent="0.25">
      <c r="A363" s="107" t="s">
        <v>1072</v>
      </c>
      <c r="B363" s="110"/>
      <c r="C363" s="109">
        <v>44972</v>
      </c>
      <c r="D363" s="109">
        <v>44972</v>
      </c>
      <c r="E363" s="110"/>
      <c r="F363" s="107"/>
      <c r="G363" s="110"/>
      <c r="H363" s="109">
        <v>44972</v>
      </c>
      <c r="I363" s="109">
        <v>44972</v>
      </c>
      <c r="J363" s="110"/>
    </row>
    <row r="364" spans="1:10" customFormat="1" x14ac:dyDescent="0.25">
      <c r="A364" s="107" t="s">
        <v>1322</v>
      </c>
      <c r="B364" s="158">
        <v>20900</v>
      </c>
      <c r="C364" s="109">
        <v>20900</v>
      </c>
      <c r="D364" s="108"/>
      <c r="E364" s="110"/>
      <c r="F364" s="107"/>
      <c r="G364" s="20">
        <v>-20900</v>
      </c>
      <c r="H364" s="109">
        <v>20900</v>
      </c>
      <c r="I364" s="108"/>
      <c r="J364" s="110"/>
    </row>
    <row r="365" spans="1:10" customFormat="1" x14ac:dyDescent="0.25">
      <c r="A365" s="107" t="s">
        <v>861</v>
      </c>
      <c r="B365" s="157">
        <v>78824</v>
      </c>
      <c r="C365" s="108"/>
      <c r="D365" s="108"/>
      <c r="E365" s="157">
        <v>78824</v>
      </c>
      <c r="F365" s="107"/>
      <c r="G365" s="20">
        <v>78824</v>
      </c>
      <c r="H365" s="108"/>
      <c r="I365" s="108"/>
      <c r="J365" s="20">
        <v>78824</v>
      </c>
    </row>
    <row r="366" spans="1:10" customFormat="1" x14ac:dyDescent="0.25">
      <c r="A366" s="107" t="s">
        <v>1285</v>
      </c>
      <c r="B366" s="158">
        <v>318718</v>
      </c>
      <c r="C366" s="109">
        <v>318718</v>
      </c>
      <c r="D366" s="108"/>
      <c r="E366" s="110"/>
      <c r="F366" s="107"/>
      <c r="G366" s="20">
        <v>-318718</v>
      </c>
      <c r="H366" s="109">
        <v>318718</v>
      </c>
      <c r="I366" s="108"/>
      <c r="J366" s="110"/>
    </row>
    <row r="367" spans="1:10" customFormat="1" x14ac:dyDescent="0.25">
      <c r="A367" s="107" t="s">
        <v>1073</v>
      </c>
      <c r="B367" s="110"/>
      <c r="C367" s="109">
        <v>2734200</v>
      </c>
      <c r="D367" s="109">
        <v>2734200</v>
      </c>
      <c r="E367" s="110"/>
      <c r="F367" s="107"/>
      <c r="G367" s="110"/>
      <c r="H367" s="109">
        <v>2734200</v>
      </c>
      <c r="I367" s="109">
        <v>2734200</v>
      </c>
      <c r="J367" s="110"/>
    </row>
    <row r="368" spans="1:10" customFormat="1" x14ac:dyDescent="0.25">
      <c r="A368" s="107" t="s">
        <v>1390</v>
      </c>
      <c r="B368" s="158">
        <v>5983</v>
      </c>
      <c r="C368" s="109">
        <v>22780</v>
      </c>
      <c r="D368" s="109">
        <v>16797</v>
      </c>
      <c r="E368" s="110"/>
      <c r="F368" s="107"/>
      <c r="G368" s="20">
        <v>-5983</v>
      </c>
      <c r="H368" s="109">
        <v>22780</v>
      </c>
      <c r="I368" s="109">
        <v>16797</v>
      </c>
      <c r="J368" s="110"/>
    </row>
    <row r="369" spans="1:10" customFormat="1" x14ac:dyDescent="0.25">
      <c r="A369" s="107" t="s">
        <v>869</v>
      </c>
      <c r="B369" s="157">
        <v>13800</v>
      </c>
      <c r="C369" s="108"/>
      <c r="D369" s="108"/>
      <c r="E369" s="157">
        <v>13800</v>
      </c>
      <c r="F369" s="107"/>
      <c r="G369" s="20">
        <v>13800</v>
      </c>
      <c r="H369" s="108"/>
      <c r="I369" s="108"/>
      <c r="J369" s="20">
        <v>13800</v>
      </c>
    </row>
    <row r="370" spans="1:10" customFormat="1" x14ac:dyDescent="0.25">
      <c r="A370" s="107" t="s">
        <v>1074</v>
      </c>
      <c r="B370" s="110"/>
      <c r="C370" s="109">
        <v>87433</v>
      </c>
      <c r="D370" s="108"/>
      <c r="E370" s="157">
        <v>87433</v>
      </c>
      <c r="F370" s="107"/>
      <c r="G370" s="110"/>
      <c r="H370" s="109">
        <v>87433</v>
      </c>
      <c r="I370" s="108"/>
      <c r="J370" s="20">
        <v>87433</v>
      </c>
    </row>
    <row r="371" spans="1:10" customFormat="1" x14ac:dyDescent="0.25">
      <c r="A371" s="107" t="s">
        <v>878</v>
      </c>
      <c r="B371" s="110"/>
      <c r="C371" s="109">
        <v>211575.85</v>
      </c>
      <c r="D371" s="109">
        <v>211575.85</v>
      </c>
      <c r="E371" s="110"/>
      <c r="F371" s="107"/>
      <c r="G371" s="110"/>
      <c r="H371" s="109">
        <v>211575.85</v>
      </c>
      <c r="I371" s="109">
        <v>211575.85</v>
      </c>
      <c r="J371" s="110"/>
    </row>
    <row r="372" spans="1:10" customFormat="1" x14ac:dyDescent="0.25">
      <c r="A372" s="107" t="s">
        <v>1275</v>
      </c>
      <c r="B372" s="157">
        <v>8785</v>
      </c>
      <c r="C372" s="109">
        <v>9987215</v>
      </c>
      <c r="D372" s="109">
        <v>9996000</v>
      </c>
      <c r="E372" s="110"/>
      <c r="F372" s="107"/>
      <c r="G372" s="20">
        <v>8785</v>
      </c>
      <c r="H372" s="109">
        <v>9987215</v>
      </c>
      <c r="I372" s="109">
        <v>9996000</v>
      </c>
      <c r="J372" s="110"/>
    </row>
    <row r="373" spans="1:10" customFormat="1" x14ac:dyDescent="0.25">
      <c r="A373" s="107" t="s">
        <v>763</v>
      </c>
      <c r="B373" s="158">
        <v>1180</v>
      </c>
      <c r="C373" s="108"/>
      <c r="D373" s="108"/>
      <c r="E373" s="158">
        <v>1180</v>
      </c>
      <c r="F373" s="107"/>
      <c r="G373" s="20">
        <v>-1180</v>
      </c>
      <c r="H373" s="108"/>
      <c r="I373" s="108"/>
      <c r="J373" s="20">
        <v>-1180</v>
      </c>
    </row>
    <row r="374" spans="1:10" customFormat="1" x14ac:dyDescent="0.25">
      <c r="A374" s="107" t="s">
        <v>1257</v>
      </c>
      <c r="B374" s="157">
        <v>818194</v>
      </c>
      <c r="C374" s="109">
        <v>10949086</v>
      </c>
      <c r="D374" s="108"/>
      <c r="E374" s="157">
        <v>11767280</v>
      </c>
      <c r="F374" s="107"/>
      <c r="G374" s="20">
        <v>818194</v>
      </c>
      <c r="H374" s="109">
        <v>10949086</v>
      </c>
      <c r="I374" s="108"/>
      <c r="J374" s="20">
        <v>11767280</v>
      </c>
    </row>
    <row r="375" spans="1:10" customFormat="1" x14ac:dyDescent="0.25">
      <c r="A375" s="107" t="s">
        <v>880</v>
      </c>
      <c r="B375" s="158">
        <v>1387</v>
      </c>
      <c r="C375" s="108"/>
      <c r="D375" s="108"/>
      <c r="E375" s="158">
        <v>1387</v>
      </c>
      <c r="F375" s="107"/>
      <c r="G375" s="20">
        <v>-1387</v>
      </c>
      <c r="H375" s="108"/>
      <c r="I375" s="108"/>
      <c r="J375" s="20">
        <v>-1387</v>
      </c>
    </row>
    <row r="376" spans="1:10" customFormat="1" x14ac:dyDescent="0.25">
      <c r="A376" s="107" t="s">
        <v>1069</v>
      </c>
      <c r="B376" s="110"/>
      <c r="C376" s="109">
        <v>33205</v>
      </c>
      <c r="D376" s="109">
        <v>33205</v>
      </c>
      <c r="E376" s="110"/>
      <c r="F376" s="107"/>
      <c r="G376" s="110"/>
      <c r="H376" s="109">
        <v>33205</v>
      </c>
      <c r="I376" s="109">
        <v>33205</v>
      </c>
      <c r="J376" s="110"/>
    </row>
    <row r="377" spans="1:10" customFormat="1" x14ac:dyDescent="0.25">
      <c r="A377" s="107" t="s">
        <v>1021</v>
      </c>
      <c r="B377" s="110"/>
      <c r="C377" s="109">
        <v>29277.29</v>
      </c>
      <c r="D377" s="108"/>
      <c r="E377" s="157">
        <v>29277.29</v>
      </c>
      <c r="F377" s="107"/>
      <c r="G377" s="110"/>
      <c r="H377" s="109">
        <v>29277.29</v>
      </c>
      <c r="I377" s="108"/>
      <c r="J377" s="20">
        <v>29277.29</v>
      </c>
    </row>
    <row r="378" spans="1:10" customFormat="1" x14ac:dyDescent="0.25">
      <c r="A378" s="107" t="s">
        <v>765</v>
      </c>
      <c r="B378" s="157">
        <v>8490.99</v>
      </c>
      <c r="C378" s="108"/>
      <c r="D378" s="108"/>
      <c r="E378" s="157">
        <v>8490.99</v>
      </c>
      <c r="F378" s="107"/>
      <c r="G378" s="20">
        <v>8490.99</v>
      </c>
      <c r="H378" s="108"/>
      <c r="I378" s="108"/>
      <c r="J378" s="20">
        <v>8490.99</v>
      </c>
    </row>
    <row r="379" spans="1:10" customFormat="1" x14ac:dyDescent="0.25">
      <c r="A379" s="107" t="s">
        <v>882</v>
      </c>
      <c r="B379" s="157">
        <v>830</v>
      </c>
      <c r="C379" s="108"/>
      <c r="D379" s="108"/>
      <c r="E379" s="157">
        <v>830</v>
      </c>
      <c r="F379" s="107"/>
      <c r="G379" s="20">
        <v>830</v>
      </c>
      <c r="H379" s="108"/>
      <c r="I379" s="108"/>
      <c r="J379" s="20">
        <v>830</v>
      </c>
    </row>
    <row r="380" spans="1:10" customFormat="1" x14ac:dyDescent="0.25">
      <c r="A380" s="107" t="s">
        <v>883</v>
      </c>
      <c r="B380" s="110"/>
      <c r="C380" s="109">
        <v>9850</v>
      </c>
      <c r="D380" s="108"/>
      <c r="E380" s="157">
        <v>9850</v>
      </c>
      <c r="F380" s="107"/>
      <c r="G380" s="110"/>
      <c r="H380" s="109">
        <v>9850</v>
      </c>
      <c r="I380" s="108"/>
      <c r="J380" s="20">
        <v>9850</v>
      </c>
    </row>
    <row r="381" spans="1:10" customFormat="1" x14ac:dyDescent="0.25">
      <c r="A381" s="107" t="s">
        <v>884</v>
      </c>
      <c r="B381" s="110"/>
      <c r="C381" s="109">
        <v>5192</v>
      </c>
      <c r="D381" s="108"/>
      <c r="E381" s="157">
        <v>5192</v>
      </c>
      <c r="F381" s="107"/>
      <c r="G381" s="110"/>
      <c r="H381" s="109">
        <v>5192</v>
      </c>
      <c r="I381" s="108"/>
      <c r="J381" s="20">
        <v>5192</v>
      </c>
    </row>
    <row r="382" spans="1:10" customFormat="1" x14ac:dyDescent="0.25">
      <c r="A382" s="107" t="s">
        <v>1258</v>
      </c>
      <c r="B382" s="110"/>
      <c r="C382" s="109">
        <v>2290</v>
      </c>
      <c r="D382" s="108"/>
      <c r="E382" s="157">
        <v>2290</v>
      </c>
      <c r="F382" s="107"/>
      <c r="G382" s="110"/>
      <c r="H382" s="109">
        <v>2290</v>
      </c>
      <c r="I382" s="108"/>
      <c r="J382" s="20">
        <v>2290</v>
      </c>
    </row>
    <row r="383" spans="1:10" customFormat="1" x14ac:dyDescent="0.25">
      <c r="A383" s="107" t="s">
        <v>890</v>
      </c>
      <c r="B383" s="110"/>
      <c r="C383" s="109">
        <v>4452</v>
      </c>
      <c r="D383" s="108"/>
      <c r="E383" s="157">
        <v>4452</v>
      </c>
      <c r="F383" s="107"/>
      <c r="G383" s="110"/>
      <c r="H383" s="109">
        <v>4452</v>
      </c>
      <c r="I383" s="108"/>
      <c r="J383" s="20">
        <v>4452</v>
      </c>
    </row>
    <row r="384" spans="1:10" customFormat="1" x14ac:dyDescent="0.25">
      <c r="A384" s="107" t="s">
        <v>1075</v>
      </c>
      <c r="B384" s="110"/>
      <c r="C384" s="109">
        <v>5300</v>
      </c>
      <c r="D384" s="108"/>
      <c r="E384" s="157">
        <v>5300</v>
      </c>
      <c r="F384" s="107"/>
      <c r="G384" s="110"/>
      <c r="H384" s="109">
        <v>5300</v>
      </c>
      <c r="I384" s="108"/>
      <c r="J384" s="20">
        <v>5300</v>
      </c>
    </row>
    <row r="385" spans="1:10" customFormat="1" x14ac:dyDescent="0.25">
      <c r="A385" s="107" t="s">
        <v>1260</v>
      </c>
      <c r="B385" s="158">
        <v>53418.33</v>
      </c>
      <c r="C385" s="109">
        <v>4670837</v>
      </c>
      <c r="D385" s="108"/>
      <c r="E385" s="157">
        <v>4617418.67</v>
      </c>
      <c r="F385" s="107"/>
      <c r="G385" s="20">
        <v>-53418.33</v>
      </c>
      <c r="H385" s="109">
        <v>4670837</v>
      </c>
      <c r="I385" s="108"/>
      <c r="J385" s="20">
        <v>4617418.67</v>
      </c>
    </row>
    <row r="386" spans="1:10" customFormat="1" x14ac:dyDescent="0.25">
      <c r="A386" s="107" t="s">
        <v>1324</v>
      </c>
      <c r="B386" s="157">
        <v>12000</v>
      </c>
      <c r="C386" s="108"/>
      <c r="D386" s="108"/>
      <c r="E386" s="157">
        <v>12000</v>
      </c>
      <c r="F386" s="107"/>
      <c r="G386" s="20">
        <v>12000</v>
      </c>
      <c r="H386" s="108"/>
      <c r="I386" s="108"/>
      <c r="J386" s="20">
        <v>12000</v>
      </c>
    </row>
    <row r="387" spans="1:10" customFormat="1" x14ac:dyDescent="0.25">
      <c r="A387" s="107" t="s">
        <v>1091</v>
      </c>
      <c r="B387" s="110"/>
      <c r="C387" s="109">
        <v>7918</v>
      </c>
      <c r="D387" s="109">
        <v>7918</v>
      </c>
      <c r="E387" s="110"/>
      <c r="F387" s="107"/>
      <c r="G387" s="110"/>
      <c r="H387" s="109">
        <v>7918</v>
      </c>
      <c r="I387" s="109">
        <v>7918</v>
      </c>
      <c r="J387" s="110"/>
    </row>
    <row r="388" spans="1:10" customFormat="1" x14ac:dyDescent="0.25">
      <c r="A388" s="107" t="s">
        <v>892</v>
      </c>
      <c r="B388" s="110"/>
      <c r="C388" s="108"/>
      <c r="D388" s="109">
        <v>5000</v>
      </c>
      <c r="E388" s="158">
        <v>5000</v>
      </c>
      <c r="F388" s="107"/>
      <c r="G388" s="110"/>
      <c r="H388" s="108"/>
      <c r="I388" s="109">
        <v>5000</v>
      </c>
      <c r="J388" s="20">
        <v>-5000</v>
      </c>
    </row>
    <row r="389" spans="1:10" customFormat="1" x14ac:dyDescent="0.25">
      <c r="A389" s="107" t="s">
        <v>894</v>
      </c>
      <c r="B389" s="158">
        <v>15713.54</v>
      </c>
      <c r="C389" s="108"/>
      <c r="D389" s="108"/>
      <c r="E389" s="158">
        <v>15713.54</v>
      </c>
      <c r="F389" s="107"/>
      <c r="G389" s="20">
        <v>-15713.54</v>
      </c>
      <c r="H389" s="108"/>
      <c r="I389" s="108"/>
      <c r="J389" s="20">
        <v>-15713.54</v>
      </c>
    </row>
    <row r="390" spans="1:10" customFormat="1" x14ac:dyDescent="0.25">
      <c r="A390" s="107" t="s">
        <v>1326</v>
      </c>
      <c r="B390" s="157">
        <v>3132635</v>
      </c>
      <c r="C390" s="108"/>
      <c r="D390" s="109">
        <v>3073698.36</v>
      </c>
      <c r="E390" s="157">
        <v>58936.639999999999</v>
      </c>
      <c r="F390" s="107"/>
      <c r="G390" s="20">
        <v>3132635</v>
      </c>
      <c r="H390" s="108"/>
      <c r="I390" s="109">
        <v>3073698.36</v>
      </c>
      <c r="J390" s="20">
        <v>58936.639999999999</v>
      </c>
    </row>
    <row r="391" spans="1:10" customFormat="1" x14ac:dyDescent="0.25">
      <c r="A391" s="107" t="s">
        <v>1327</v>
      </c>
      <c r="B391" s="110"/>
      <c r="C391" s="109">
        <v>3108269</v>
      </c>
      <c r="D391" s="109">
        <v>3108269</v>
      </c>
      <c r="E391" s="110"/>
      <c r="F391" s="107"/>
      <c r="G391" s="110"/>
      <c r="H391" s="109">
        <v>3108269</v>
      </c>
      <c r="I391" s="109">
        <v>3108269</v>
      </c>
      <c r="J391" s="110"/>
    </row>
    <row r="392" spans="1:10" customFormat="1" x14ac:dyDescent="0.25">
      <c r="A392" s="107" t="s">
        <v>1391</v>
      </c>
      <c r="B392" s="110"/>
      <c r="C392" s="108"/>
      <c r="D392" s="109">
        <v>3506</v>
      </c>
      <c r="E392" s="158">
        <v>3506</v>
      </c>
      <c r="F392" s="107"/>
      <c r="G392" s="110"/>
      <c r="H392" s="108"/>
      <c r="I392" s="109">
        <v>3506</v>
      </c>
      <c r="J392" s="20">
        <v>-3506</v>
      </c>
    </row>
    <row r="393" spans="1:10" customFormat="1" x14ac:dyDescent="0.25">
      <c r="A393" s="107" t="s">
        <v>898</v>
      </c>
      <c r="B393" s="157">
        <v>11041.2</v>
      </c>
      <c r="C393" s="108"/>
      <c r="D393" s="108"/>
      <c r="E393" s="157">
        <v>11041.2</v>
      </c>
      <c r="F393" s="107"/>
      <c r="G393" s="20">
        <v>11041.2</v>
      </c>
      <c r="H393" s="108"/>
      <c r="I393" s="108"/>
      <c r="J393" s="20">
        <v>11041.2</v>
      </c>
    </row>
    <row r="394" spans="1:10" customFormat="1" x14ac:dyDescent="0.25">
      <c r="A394" s="107" t="s">
        <v>899</v>
      </c>
      <c r="B394" s="157">
        <v>5744</v>
      </c>
      <c r="C394" s="108"/>
      <c r="D394" s="108"/>
      <c r="E394" s="157">
        <v>5744</v>
      </c>
      <c r="F394" s="107"/>
      <c r="G394" s="20">
        <v>5744</v>
      </c>
      <c r="H394" s="108"/>
      <c r="I394" s="108"/>
      <c r="J394" s="20">
        <v>5744</v>
      </c>
    </row>
    <row r="395" spans="1:10" customFormat="1" x14ac:dyDescent="0.25">
      <c r="A395" s="107" t="s">
        <v>901</v>
      </c>
      <c r="B395" s="158">
        <v>916</v>
      </c>
      <c r="C395" s="108"/>
      <c r="D395" s="108"/>
      <c r="E395" s="158">
        <v>916</v>
      </c>
      <c r="F395" s="107"/>
      <c r="G395" s="20">
        <v>-916</v>
      </c>
      <c r="H395" s="108"/>
      <c r="I395" s="108"/>
      <c r="J395" s="20">
        <v>-916</v>
      </c>
    </row>
    <row r="396" spans="1:10" customFormat="1" x14ac:dyDescent="0.25">
      <c r="A396" s="107" t="s">
        <v>902</v>
      </c>
      <c r="B396" s="157">
        <v>288246</v>
      </c>
      <c r="C396" s="108"/>
      <c r="D396" s="108"/>
      <c r="E396" s="157">
        <v>288246</v>
      </c>
      <c r="F396" s="107"/>
      <c r="G396" s="20">
        <v>288246</v>
      </c>
      <c r="H396" s="108"/>
      <c r="I396" s="108"/>
      <c r="J396" s="20">
        <v>288246</v>
      </c>
    </row>
    <row r="397" spans="1:10" customFormat="1" x14ac:dyDescent="0.25">
      <c r="A397" s="107" t="s">
        <v>904</v>
      </c>
      <c r="B397" s="157">
        <v>162000</v>
      </c>
      <c r="C397" s="108"/>
      <c r="D397" s="108"/>
      <c r="E397" s="157">
        <v>162000</v>
      </c>
      <c r="F397" s="107"/>
      <c r="G397" s="20">
        <v>162000</v>
      </c>
      <c r="H397" s="108"/>
      <c r="I397" s="108"/>
      <c r="J397" s="20">
        <v>162000</v>
      </c>
    </row>
    <row r="398" spans="1:10" customFormat="1" x14ac:dyDescent="0.25">
      <c r="A398" s="107" t="s">
        <v>905</v>
      </c>
      <c r="B398" s="157">
        <v>41707</v>
      </c>
      <c r="C398" s="108"/>
      <c r="D398" s="108"/>
      <c r="E398" s="157">
        <v>41707</v>
      </c>
      <c r="F398" s="107"/>
      <c r="G398" s="20">
        <v>41707</v>
      </c>
      <c r="H398" s="108"/>
      <c r="I398" s="108"/>
      <c r="J398" s="20">
        <v>41707</v>
      </c>
    </row>
    <row r="399" spans="1:10" customFormat="1" x14ac:dyDescent="0.25">
      <c r="A399" s="107" t="s">
        <v>906</v>
      </c>
      <c r="B399" s="157">
        <v>162000</v>
      </c>
      <c r="C399" s="108"/>
      <c r="D399" s="108"/>
      <c r="E399" s="157">
        <v>162000</v>
      </c>
      <c r="F399" s="107"/>
      <c r="G399" s="20">
        <v>162000</v>
      </c>
      <c r="H399" s="108"/>
      <c r="I399" s="108"/>
      <c r="J399" s="20">
        <v>162000</v>
      </c>
    </row>
    <row r="400" spans="1:10" customFormat="1" x14ac:dyDescent="0.25">
      <c r="A400" s="107" t="s">
        <v>907</v>
      </c>
      <c r="B400" s="157">
        <v>20000</v>
      </c>
      <c r="C400" s="108"/>
      <c r="D400" s="108"/>
      <c r="E400" s="157">
        <v>20000</v>
      </c>
      <c r="F400" s="107"/>
      <c r="G400" s="20">
        <v>20000</v>
      </c>
      <c r="H400" s="108"/>
      <c r="I400" s="108"/>
      <c r="J400" s="20">
        <v>20000</v>
      </c>
    </row>
    <row r="401" spans="1:11" customFormat="1" x14ac:dyDescent="0.25">
      <c r="A401" s="107" t="s">
        <v>908</v>
      </c>
      <c r="B401" s="157">
        <v>400000</v>
      </c>
      <c r="C401" s="108"/>
      <c r="D401" s="108"/>
      <c r="E401" s="157">
        <v>400000</v>
      </c>
      <c r="F401" s="107"/>
      <c r="G401" s="20">
        <v>400000</v>
      </c>
      <c r="H401" s="108"/>
      <c r="I401" s="108"/>
      <c r="J401" s="20">
        <v>400000</v>
      </c>
    </row>
    <row r="402" spans="1:11" x14ac:dyDescent="0.25">
      <c r="A402" s="107" t="s">
        <v>895</v>
      </c>
      <c r="B402" s="157">
        <v>8567</v>
      </c>
      <c r="C402" s="108"/>
      <c r="D402" s="108"/>
      <c r="E402" s="157">
        <v>8567</v>
      </c>
      <c r="F402" s="107"/>
      <c r="G402" s="20">
        <v>8567</v>
      </c>
      <c r="H402" s="108"/>
      <c r="I402" s="108"/>
      <c r="J402" s="20">
        <v>8567</v>
      </c>
      <c r="K402"/>
    </row>
    <row r="403" spans="1:11" x14ac:dyDescent="0.25">
      <c r="A403" s="107" t="s">
        <v>909</v>
      </c>
      <c r="B403" s="158">
        <v>2687</v>
      </c>
      <c r="C403" s="108"/>
      <c r="D403" s="109">
        <v>2900</v>
      </c>
      <c r="E403" s="158">
        <v>5587</v>
      </c>
      <c r="F403" s="107"/>
      <c r="G403" s="20">
        <v>-2687</v>
      </c>
      <c r="H403" s="108"/>
      <c r="I403" s="109">
        <v>2900</v>
      </c>
      <c r="J403" s="20">
        <v>-5587</v>
      </c>
      <c r="K403"/>
    </row>
    <row r="404" spans="1:11" x14ac:dyDescent="0.25">
      <c r="A404" s="107" t="s">
        <v>911</v>
      </c>
      <c r="B404" s="158">
        <v>1241</v>
      </c>
      <c r="C404" s="109">
        <v>2140</v>
      </c>
      <c r="D404" s="108"/>
      <c r="E404" s="157">
        <v>899</v>
      </c>
      <c r="F404" s="107"/>
      <c r="G404" s="20">
        <v>-1241</v>
      </c>
      <c r="H404" s="109">
        <v>2140</v>
      </c>
      <c r="I404" s="108"/>
      <c r="J404" s="20">
        <v>899</v>
      </c>
      <c r="K404"/>
    </row>
    <row r="405" spans="1:11" x14ac:dyDescent="0.25">
      <c r="A405" s="107" t="s">
        <v>912</v>
      </c>
      <c r="B405" s="157">
        <v>40</v>
      </c>
      <c r="C405" s="108"/>
      <c r="D405" s="108"/>
      <c r="E405" s="157">
        <v>40</v>
      </c>
      <c r="F405" s="107"/>
      <c r="G405" s="20">
        <v>40</v>
      </c>
      <c r="H405" s="108"/>
      <c r="I405" s="108"/>
      <c r="J405" s="20">
        <v>40</v>
      </c>
      <c r="K405"/>
    </row>
    <row r="406" spans="1:11" x14ac:dyDescent="0.25">
      <c r="A406" s="107" t="s">
        <v>914</v>
      </c>
      <c r="B406" s="157">
        <v>9046</v>
      </c>
      <c r="C406" s="108"/>
      <c r="D406" s="108"/>
      <c r="E406" s="157">
        <v>9046</v>
      </c>
      <c r="F406" s="107"/>
      <c r="G406" s="20">
        <v>9046</v>
      </c>
      <c r="H406" s="108"/>
      <c r="I406" s="108"/>
      <c r="J406" s="20">
        <v>9046</v>
      </c>
      <c r="K406"/>
    </row>
    <row r="407" spans="1:11" x14ac:dyDescent="0.25">
      <c r="A407" s="107" t="s">
        <v>915</v>
      </c>
      <c r="B407" s="157">
        <v>12311</v>
      </c>
      <c r="C407" s="108"/>
      <c r="D407" s="108"/>
      <c r="E407" s="157">
        <v>12311</v>
      </c>
      <c r="F407" s="107"/>
      <c r="G407" s="20">
        <v>12311</v>
      </c>
      <c r="H407" s="108"/>
      <c r="I407" s="108"/>
      <c r="J407" s="20">
        <v>12311</v>
      </c>
      <c r="K407"/>
    </row>
    <row r="408" spans="1:11" x14ac:dyDescent="0.25">
      <c r="A408" s="107" t="s">
        <v>916</v>
      </c>
      <c r="B408" s="157">
        <v>12543</v>
      </c>
      <c r="C408" s="108"/>
      <c r="D408" s="108"/>
      <c r="E408" s="157">
        <v>12543</v>
      </c>
      <c r="F408" s="107"/>
      <c r="G408" s="20">
        <v>12543</v>
      </c>
      <c r="H408" s="108"/>
      <c r="I408" s="108"/>
      <c r="J408" s="20">
        <v>12543</v>
      </c>
      <c r="K408"/>
    </row>
    <row r="409" spans="1:11" x14ac:dyDescent="0.25">
      <c r="A409" s="107" t="s">
        <v>917</v>
      </c>
      <c r="B409" s="157">
        <v>9190</v>
      </c>
      <c r="C409" s="108"/>
      <c r="D409" s="108"/>
      <c r="E409" s="157">
        <v>9190</v>
      </c>
      <c r="F409" s="107"/>
      <c r="G409" s="20">
        <v>9190</v>
      </c>
      <c r="H409" s="108"/>
      <c r="I409" s="108"/>
      <c r="J409" s="20">
        <v>9190</v>
      </c>
      <c r="K409"/>
    </row>
    <row r="410" spans="1:11" x14ac:dyDescent="0.25">
      <c r="A410" s="107" t="s">
        <v>918</v>
      </c>
      <c r="B410" s="157">
        <v>6800</v>
      </c>
      <c r="C410" s="108"/>
      <c r="D410" s="108"/>
      <c r="E410" s="157">
        <v>6800</v>
      </c>
      <c r="F410" s="107"/>
      <c r="G410" s="20">
        <v>6800</v>
      </c>
      <c r="H410" s="108"/>
      <c r="I410" s="108"/>
      <c r="J410" s="20">
        <v>6800</v>
      </c>
      <c r="K410"/>
    </row>
    <row r="411" spans="1:11" x14ac:dyDescent="0.25">
      <c r="A411" s="107" t="s">
        <v>919</v>
      </c>
      <c r="B411" s="157">
        <v>9136</v>
      </c>
      <c r="C411" s="108"/>
      <c r="D411" s="108"/>
      <c r="E411" s="157">
        <v>9136</v>
      </c>
      <c r="F411" s="107"/>
      <c r="G411" s="20">
        <v>9136</v>
      </c>
      <c r="H411" s="108"/>
      <c r="I411" s="108"/>
      <c r="J411" s="20">
        <v>9136</v>
      </c>
      <c r="K411"/>
    </row>
    <row r="412" spans="1:11" x14ac:dyDescent="0.25">
      <c r="A412" s="107" t="s">
        <v>920</v>
      </c>
      <c r="B412" s="157">
        <v>7537</v>
      </c>
      <c r="C412" s="108"/>
      <c r="D412" s="108"/>
      <c r="E412" s="157">
        <v>7537</v>
      </c>
      <c r="F412" s="107"/>
      <c r="G412" s="20">
        <v>7537</v>
      </c>
      <c r="H412" s="108"/>
      <c r="I412" s="108"/>
      <c r="J412" s="20">
        <v>7537</v>
      </c>
      <c r="K412"/>
    </row>
    <row r="413" spans="1:11" x14ac:dyDescent="0.25">
      <c r="A413" s="107" t="s">
        <v>921</v>
      </c>
      <c r="B413" s="157">
        <v>6887</v>
      </c>
      <c r="C413" s="108"/>
      <c r="D413" s="108"/>
      <c r="E413" s="157">
        <v>6887</v>
      </c>
      <c r="F413" s="107"/>
      <c r="G413" s="20">
        <v>6887</v>
      </c>
      <c r="H413" s="108"/>
      <c r="I413" s="108"/>
      <c r="J413" s="20">
        <v>6887</v>
      </c>
      <c r="K413"/>
    </row>
    <row r="414" spans="1:11" x14ac:dyDescent="0.25">
      <c r="A414" s="107" t="s">
        <v>923</v>
      </c>
      <c r="B414" s="157">
        <v>31077</v>
      </c>
      <c r="C414" s="108"/>
      <c r="D414" s="108"/>
      <c r="E414" s="157">
        <v>31077</v>
      </c>
      <c r="F414" s="107"/>
      <c r="G414" s="20">
        <v>31077</v>
      </c>
      <c r="H414" s="108"/>
      <c r="I414" s="108"/>
      <c r="J414" s="20">
        <v>31077</v>
      </c>
    </row>
    <row r="415" spans="1:11" x14ac:dyDescent="0.25">
      <c r="A415" s="107" t="s">
        <v>924</v>
      </c>
      <c r="B415" s="157">
        <v>21584</v>
      </c>
      <c r="C415" s="108"/>
      <c r="D415" s="108"/>
      <c r="E415" s="157">
        <v>21584</v>
      </c>
      <c r="F415" s="107"/>
      <c r="G415" s="20">
        <v>21584</v>
      </c>
      <c r="H415" s="108"/>
      <c r="I415" s="108"/>
      <c r="J415" s="20">
        <v>21584</v>
      </c>
    </row>
    <row r="416" spans="1:11" x14ac:dyDescent="0.25">
      <c r="A416" s="107" t="s">
        <v>925</v>
      </c>
      <c r="B416" s="157">
        <v>7122</v>
      </c>
      <c r="C416" s="108"/>
      <c r="D416" s="108"/>
      <c r="E416" s="157">
        <v>7122</v>
      </c>
      <c r="F416" s="107"/>
      <c r="G416" s="20">
        <v>7122</v>
      </c>
      <c r="H416" s="108"/>
      <c r="I416" s="108"/>
      <c r="J416" s="20">
        <v>7122</v>
      </c>
    </row>
    <row r="417" spans="1:10" x14ac:dyDescent="0.25">
      <c r="A417" s="107" t="s">
        <v>926</v>
      </c>
      <c r="B417" s="157">
        <v>4428</v>
      </c>
      <c r="C417" s="108"/>
      <c r="D417" s="108"/>
      <c r="E417" s="157">
        <v>4428</v>
      </c>
      <c r="F417" s="107"/>
      <c r="G417" s="20">
        <v>4428</v>
      </c>
      <c r="H417" s="108"/>
      <c r="I417" s="108"/>
      <c r="J417" s="20">
        <v>4428</v>
      </c>
    </row>
    <row r="418" spans="1:10" x14ac:dyDescent="0.25">
      <c r="A418" s="107" t="s">
        <v>927</v>
      </c>
      <c r="B418" s="157">
        <v>5130</v>
      </c>
      <c r="C418" s="108"/>
      <c r="D418" s="108"/>
      <c r="E418" s="157">
        <v>5130</v>
      </c>
      <c r="F418" s="107"/>
      <c r="G418" s="20">
        <v>5130</v>
      </c>
      <c r="H418" s="108"/>
      <c r="I418" s="108"/>
      <c r="J418" s="20">
        <v>5130</v>
      </c>
    </row>
    <row r="419" spans="1:10" x14ac:dyDescent="0.25">
      <c r="A419" s="107" t="s">
        <v>928</v>
      </c>
      <c r="B419" s="157">
        <v>5963</v>
      </c>
      <c r="C419" s="108"/>
      <c r="D419" s="108"/>
      <c r="E419" s="157">
        <v>5963</v>
      </c>
      <c r="F419" s="107"/>
      <c r="G419" s="20">
        <v>5963</v>
      </c>
      <c r="H419" s="108"/>
      <c r="I419" s="108"/>
      <c r="J419" s="20">
        <v>5963</v>
      </c>
    </row>
    <row r="420" spans="1:10" x14ac:dyDescent="0.25">
      <c r="A420" s="107" t="s">
        <v>922</v>
      </c>
      <c r="B420" s="157">
        <v>7437</v>
      </c>
      <c r="C420" s="108"/>
      <c r="D420" s="108"/>
      <c r="E420" s="157">
        <v>7437</v>
      </c>
      <c r="F420" s="107"/>
      <c r="G420" s="20">
        <v>7437</v>
      </c>
      <c r="H420" s="108"/>
      <c r="I420" s="108"/>
      <c r="J420" s="20">
        <v>7437</v>
      </c>
    </row>
    <row r="421" spans="1:10" x14ac:dyDescent="0.25">
      <c r="A421" s="107" t="s">
        <v>930</v>
      </c>
      <c r="B421" s="157">
        <v>23704</v>
      </c>
      <c r="C421" s="108"/>
      <c r="D421" s="108"/>
      <c r="E421" s="157">
        <v>23704</v>
      </c>
      <c r="F421" s="107"/>
      <c r="G421" s="20">
        <v>23704</v>
      </c>
      <c r="H421" s="108"/>
      <c r="I421" s="108"/>
      <c r="J421" s="20">
        <v>23704</v>
      </c>
    </row>
    <row r="422" spans="1:10" x14ac:dyDescent="0.25">
      <c r="A422" s="107" t="s">
        <v>931</v>
      </c>
      <c r="B422" s="157">
        <v>9567</v>
      </c>
      <c r="C422" s="108"/>
      <c r="D422" s="108"/>
      <c r="E422" s="157">
        <v>9567</v>
      </c>
      <c r="F422" s="107"/>
      <c r="G422" s="20">
        <v>9567</v>
      </c>
      <c r="H422" s="108"/>
      <c r="I422" s="108"/>
      <c r="J422" s="20">
        <v>9567</v>
      </c>
    </row>
    <row r="423" spans="1:10" x14ac:dyDescent="0.25">
      <c r="A423" s="107" t="s">
        <v>929</v>
      </c>
      <c r="B423" s="157">
        <v>43414</v>
      </c>
      <c r="C423" s="108"/>
      <c r="D423" s="108"/>
      <c r="E423" s="157">
        <v>43414</v>
      </c>
      <c r="F423" s="107"/>
      <c r="G423" s="20">
        <v>43414</v>
      </c>
      <c r="H423" s="108"/>
      <c r="I423" s="108"/>
      <c r="J423" s="20">
        <v>43414</v>
      </c>
    </row>
    <row r="424" spans="1:10" x14ac:dyDescent="0.25">
      <c r="A424" s="107" t="s">
        <v>1392</v>
      </c>
      <c r="B424" s="110"/>
      <c r="C424" s="109">
        <v>263263</v>
      </c>
      <c r="D424" s="109">
        <v>263263</v>
      </c>
      <c r="E424" s="110"/>
      <c r="F424" s="107"/>
      <c r="G424" s="110"/>
      <c r="H424" s="109">
        <v>263263</v>
      </c>
      <c r="I424" s="109">
        <v>263263</v>
      </c>
      <c r="J424" s="110"/>
    </row>
    <row r="425" spans="1:10" x14ac:dyDescent="0.25">
      <c r="A425" s="107" t="s">
        <v>932</v>
      </c>
      <c r="B425" s="157">
        <v>943</v>
      </c>
      <c r="C425" s="108"/>
      <c r="D425" s="108"/>
      <c r="E425" s="157">
        <v>943</v>
      </c>
      <c r="F425" s="107"/>
      <c r="G425" s="20">
        <v>943</v>
      </c>
      <c r="H425" s="108"/>
      <c r="I425" s="108"/>
      <c r="J425" s="20">
        <v>943</v>
      </c>
    </row>
    <row r="426" spans="1:10" x14ac:dyDescent="0.25">
      <c r="A426" s="107" t="s">
        <v>934</v>
      </c>
      <c r="B426" s="158">
        <v>2000</v>
      </c>
      <c r="C426" s="109">
        <v>2000</v>
      </c>
      <c r="D426" s="109">
        <v>2000</v>
      </c>
      <c r="E426" s="158">
        <v>2000</v>
      </c>
      <c r="F426" s="107"/>
      <c r="G426" s="20">
        <v>-2000</v>
      </c>
      <c r="H426" s="109">
        <v>2000</v>
      </c>
      <c r="I426" s="109">
        <v>2000</v>
      </c>
      <c r="J426" s="20">
        <v>-2000</v>
      </c>
    </row>
    <row r="427" spans="1:10" x14ac:dyDescent="0.25">
      <c r="A427" s="107" t="s">
        <v>935</v>
      </c>
      <c r="B427" s="157">
        <v>135000</v>
      </c>
      <c r="C427" s="108"/>
      <c r="D427" s="108"/>
      <c r="E427" s="157">
        <v>135000</v>
      </c>
      <c r="F427" s="107"/>
      <c r="G427" s="20">
        <v>135000</v>
      </c>
      <c r="H427" s="108"/>
      <c r="I427" s="108"/>
      <c r="J427" s="20">
        <v>135000</v>
      </c>
    </row>
    <row r="428" spans="1:10" x14ac:dyDescent="0.25">
      <c r="A428" s="107" t="s">
        <v>936</v>
      </c>
      <c r="B428" s="158">
        <v>76840</v>
      </c>
      <c r="C428" s="109">
        <v>76840</v>
      </c>
      <c r="D428" s="109">
        <v>11684</v>
      </c>
      <c r="E428" s="158">
        <v>11684</v>
      </c>
      <c r="F428" s="107"/>
      <c r="G428" s="20">
        <v>-76840</v>
      </c>
      <c r="H428" s="109">
        <v>76840</v>
      </c>
      <c r="I428" s="109">
        <v>11684</v>
      </c>
      <c r="J428" s="20">
        <v>-11684</v>
      </c>
    </row>
    <row r="429" spans="1:10" x14ac:dyDescent="0.25">
      <c r="A429" s="107" t="s">
        <v>942</v>
      </c>
      <c r="B429" s="158">
        <v>25386</v>
      </c>
      <c r="C429" s="109">
        <v>25386</v>
      </c>
      <c r="D429" s="109">
        <v>25386</v>
      </c>
      <c r="E429" s="158">
        <v>25386</v>
      </c>
      <c r="F429" s="107"/>
      <c r="G429" s="20">
        <v>-25386</v>
      </c>
      <c r="H429" s="109">
        <v>25386</v>
      </c>
      <c r="I429" s="109">
        <v>25386</v>
      </c>
      <c r="J429" s="20">
        <v>-25386</v>
      </c>
    </row>
    <row r="430" spans="1:10" x14ac:dyDescent="0.25">
      <c r="A430" s="107" t="s">
        <v>937</v>
      </c>
      <c r="B430" s="157">
        <v>49500</v>
      </c>
      <c r="C430" s="108"/>
      <c r="D430" s="108"/>
      <c r="E430" s="157">
        <v>49500</v>
      </c>
      <c r="F430" s="107"/>
      <c r="G430" s="20">
        <v>49500</v>
      </c>
      <c r="H430" s="108"/>
      <c r="I430" s="108"/>
      <c r="J430" s="20">
        <v>49500</v>
      </c>
    </row>
    <row r="431" spans="1:10" x14ac:dyDescent="0.25">
      <c r="A431" s="107" t="s">
        <v>939</v>
      </c>
      <c r="B431" s="157">
        <v>45000</v>
      </c>
      <c r="C431" s="108"/>
      <c r="D431" s="108"/>
      <c r="E431" s="157">
        <v>45000</v>
      </c>
      <c r="F431" s="107"/>
      <c r="G431" s="20">
        <v>45000</v>
      </c>
      <c r="H431" s="108"/>
      <c r="I431" s="108"/>
      <c r="J431" s="20">
        <v>45000</v>
      </c>
    </row>
    <row r="432" spans="1:10" x14ac:dyDescent="0.25">
      <c r="A432" s="107" t="s">
        <v>938</v>
      </c>
      <c r="B432" s="157">
        <v>54000</v>
      </c>
      <c r="C432" s="108"/>
      <c r="D432" s="108"/>
      <c r="E432" s="157">
        <v>54000</v>
      </c>
      <c r="F432" s="107"/>
      <c r="G432" s="20">
        <v>54000</v>
      </c>
      <c r="H432" s="108"/>
      <c r="I432" s="108"/>
      <c r="J432" s="20">
        <v>54000</v>
      </c>
    </row>
    <row r="433" spans="1:10" x14ac:dyDescent="0.25">
      <c r="A433" s="107" t="s">
        <v>940</v>
      </c>
      <c r="B433" s="157">
        <v>63000</v>
      </c>
      <c r="C433" s="108"/>
      <c r="D433" s="108"/>
      <c r="E433" s="157">
        <v>63000</v>
      </c>
      <c r="F433" s="107"/>
      <c r="G433" s="20">
        <v>63000</v>
      </c>
      <c r="H433" s="108"/>
      <c r="I433" s="108"/>
      <c r="J433" s="20">
        <v>63000</v>
      </c>
    </row>
    <row r="434" spans="1:10" x14ac:dyDescent="0.25">
      <c r="A434" s="107" t="s">
        <v>1130</v>
      </c>
      <c r="B434" s="158">
        <v>40000</v>
      </c>
      <c r="C434" s="109">
        <v>40000</v>
      </c>
      <c r="D434" s="109">
        <v>40667</v>
      </c>
      <c r="E434" s="158">
        <v>40667</v>
      </c>
      <c r="F434" s="107"/>
      <c r="G434" s="20">
        <v>-40000</v>
      </c>
      <c r="H434" s="109">
        <v>40000</v>
      </c>
      <c r="I434" s="109">
        <v>40667</v>
      </c>
      <c r="J434" s="20">
        <v>-40667</v>
      </c>
    </row>
    <row r="435" spans="1:10" x14ac:dyDescent="0.25">
      <c r="A435" s="107" t="s">
        <v>943</v>
      </c>
      <c r="B435" s="157">
        <v>54000</v>
      </c>
      <c r="C435" s="108"/>
      <c r="D435" s="108"/>
      <c r="E435" s="157">
        <v>54000</v>
      </c>
      <c r="F435" s="107"/>
      <c r="G435" s="20">
        <v>54000</v>
      </c>
      <c r="H435" s="108"/>
      <c r="I435" s="108"/>
      <c r="J435" s="20">
        <v>54000</v>
      </c>
    </row>
    <row r="436" spans="1:10" x14ac:dyDescent="0.25">
      <c r="A436" s="107" t="s">
        <v>944</v>
      </c>
      <c r="B436" s="157">
        <v>63942</v>
      </c>
      <c r="C436" s="108"/>
      <c r="D436" s="108"/>
      <c r="E436" s="157">
        <v>63942</v>
      </c>
      <c r="F436" s="107"/>
      <c r="G436" s="20">
        <v>63942</v>
      </c>
      <c r="H436" s="108"/>
      <c r="I436" s="108"/>
      <c r="J436" s="20">
        <v>63942</v>
      </c>
    </row>
    <row r="437" spans="1:10" x14ac:dyDescent="0.25">
      <c r="A437" s="107" t="s">
        <v>948</v>
      </c>
      <c r="B437" s="157">
        <v>93296</v>
      </c>
      <c r="C437" s="108"/>
      <c r="D437" s="108"/>
      <c r="E437" s="157">
        <v>93296</v>
      </c>
      <c r="F437" s="107"/>
      <c r="G437" s="20">
        <v>93296</v>
      </c>
      <c r="H437" s="108"/>
      <c r="I437" s="108"/>
      <c r="J437" s="20">
        <v>93296</v>
      </c>
    </row>
    <row r="438" spans="1:10" x14ac:dyDescent="0.25">
      <c r="A438" s="107" t="s">
        <v>949</v>
      </c>
      <c r="B438" s="157">
        <v>3864</v>
      </c>
      <c r="C438" s="108"/>
      <c r="D438" s="108"/>
      <c r="E438" s="157">
        <v>3864</v>
      </c>
      <c r="F438" s="107"/>
      <c r="G438" s="20">
        <v>3864</v>
      </c>
      <c r="H438" s="108"/>
      <c r="I438" s="108"/>
      <c r="J438" s="20">
        <v>3864</v>
      </c>
    </row>
    <row r="439" spans="1:10" x14ac:dyDescent="0.25">
      <c r="A439" s="107" t="s">
        <v>945</v>
      </c>
      <c r="B439" s="157">
        <v>157052.5</v>
      </c>
      <c r="C439" s="108"/>
      <c r="D439" s="108"/>
      <c r="E439" s="157">
        <v>157052.5</v>
      </c>
      <c r="F439" s="107"/>
      <c r="G439" s="20">
        <v>157052.5</v>
      </c>
      <c r="H439" s="108"/>
      <c r="I439" s="108"/>
      <c r="J439" s="20">
        <v>157052.5</v>
      </c>
    </row>
    <row r="440" spans="1:10" x14ac:dyDescent="0.25">
      <c r="A440" s="107" t="s">
        <v>947</v>
      </c>
      <c r="B440" s="157">
        <v>14020.62</v>
      </c>
      <c r="C440" s="109">
        <v>340000</v>
      </c>
      <c r="D440" s="108"/>
      <c r="E440" s="157">
        <v>354020.62</v>
      </c>
      <c r="F440" s="107"/>
      <c r="G440" s="20">
        <v>14020.62</v>
      </c>
      <c r="H440" s="109">
        <v>340000</v>
      </c>
      <c r="I440" s="108"/>
      <c r="J440" s="20">
        <v>354020.62</v>
      </c>
    </row>
    <row r="441" spans="1:10" x14ac:dyDescent="0.25">
      <c r="A441" s="107" t="s">
        <v>953</v>
      </c>
      <c r="B441" s="110"/>
      <c r="C441" s="109">
        <v>1264.3599999999999</v>
      </c>
      <c r="D441" s="108"/>
      <c r="E441" s="157">
        <v>1264.3599999999999</v>
      </c>
      <c r="F441" s="107"/>
      <c r="G441" s="110"/>
      <c r="H441" s="109">
        <v>1264.3599999999999</v>
      </c>
      <c r="I441" s="108"/>
      <c r="J441" s="20">
        <v>1264.3599999999999</v>
      </c>
    </row>
    <row r="442" spans="1:10" x14ac:dyDescent="0.25">
      <c r="A442" s="107" t="s">
        <v>1263</v>
      </c>
      <c r="B442" s="110"/>
      <c r="C442" s="109">
        <v>499</v>
      </c>
      <c r="D442" s="108"/>
      <c r="E442" s="157">
        <v>499</v>
      </c>
      <c r="F442" s="107"/>
      <c r="G442" s="110"/>
      <c r="H442" s="109">
        <v>499</v>
      </c>
      <c r="I442" s="108"/>
      <c r="J442" s="20">
        <v>499</v>
      </c>
    </row>
    <row r="443" spans="1:10" x14ac:dyDescent="0.25">
      <c r="A443" s="107" t="s">
        <v>955</v>
      </c>
      <c r="B443" s="157">
        <v>5534</v>
      </c>
      <c r="C443" s="108"/>
      <c r="D443" s="108"/>
      <c r="E443" s="157">
        <v>5534</v>
      </c>
      <c r="F443" s="107"/>
      <c r="G443" s="20">
        <v>5534</v>
      </c>
      <c r="H443" s="108"/>
      <c r="I443" s="108"/>
      <c r="J443" s="20">
        <v>5534</v>
      </c>
    </row>
    <row r="444" spans="1:10" x14ac:dyDescent="0.25">
      <c r="A444" s="107" t="s">
        <v>1264</v>
      </c>
      <c r="B444" s="110"/>
      <c r="C444" s="109">
        <v>174575</v>
      </c>
      <c r="D444" s="108"/>
      <c r="E444" s="157">
        <v>174575</v>
      </c>
      <c r="F444" s="107"/>
      <c r="G444" s="110"/>
      <c r="H444" s="109">
        <v>174575</v>
      </c>
      <c r="I444" s="108"/>
      <c r="J444" s="20">
        <v>174575</v>
      </c>
    </row>
    <row r="445" spans="1:10" x14ac:dyDescent="0.25">
      <c r="A445" s="107" t="s">
        <v>1077</v>
      </c>
      <c r="B445" s="157">
        <v>2489532</v>
      </c>
      <c r="C445" s="109">
        <v>2631747</v>
      </c>
      <c r="D445" s="109">
        <v>2556565.9700000002</v>
      </c>
      <c r="E445" s="157">
        <v>2564713.0299999998</v>
      </c>
      <c r="F445" s="107"/>
      <c r="G445" s="20">
        <v>2489532</v>
      </c>
      <c r="H445" s="109">
        <v>2631747</v>
      </c>
      <c r="I445" s="109">
        <v>2556565.9700000002</v>
      </c>
      <c r="J445" s="20">
        <v>2564713.0299999998</v>
      </c>
    </row>
    <row r="446" spans="1:10" x14ac:dyDescent="0.25">
      <c r="A446" s="107" t="s">
        <v>958</v>
      </c>
      <c r="B446" s="157">
        <v>14083.35</v>
      </c>
      <c r="C446" s="108"/>
      <c r="D446" s="108"/>
      <c r="E446" s="157">
        <v>14083.35</v>
      </c>
      <c r="F446" s="107"/>
      <c r="G446" s="20">
        <v>14083.35</v>
      </c>
      <c r="H446" s="108"/>
      <c r="I446" s="108"/>
      <c r="J446" s="20">
        <v>14083.35</v>
      </c>
    </row>
    <row r="447" spans="1:10" x14ac:dyDescent="0.25">
      <c r="A447" s="107" t="s">
        <v>959</v>
      </c>
      <c r="B447" s="157">
        <v>83269.97</v>
      </c>
      <c r="C447" s="108"/>
      <c r="D447" s="108"/>
      <c r="E447" s="157">
        <v>83269.97</v>
      </c>
      <c r="F447" s="107"/>
      <c r="G447" s="20">
        <v>83269.97</v>
      </c>
      <c r="H447" s="108"/>
      <c r="I447" s="108"/>
      <c r="J447" s="20">
        <v>83269.97</v>
      </c>
    </row>
    <row r="448" spans="1:10" x14ac:dyDescent="0.25">
      <c r="A448" s="107" t="s">
        <v>1265</v>
      </c>
      <c r="B448" s="110"/>
      <c r="C448" s="109">
        <v>5395.95</v>
      </c>
      <c r="D448" s="108"/>
      <c r="E448" s="157">
        <v>5395.95</v>
      </c>
      <c r="F448" s="107"/>
      <c r="G448" s="110"/>
      <c r="H448" s="109">
        <v>5395.95</v>
      </c>
      <c r="I448" s="108"/>
      <c r="J448" s="20">
        <v>5395.95</v>
      </c>
    </row>
    <row r="449" spans="1:10" x14ac:dyDescent="0.25">
      <c r="A449" s="107" t="s">
        <v>961</v>
      </c>
      <c r="B449" s="157">
        <v>115300</v>
      </c>
      <c r="C449" s="108"/>
      <c r="D449" s="108"/>
      <c r="E449" s="157">
        <v>115300</v>
      </c>
      <c r="F449" s="107"/>
      <c r="G449" s="20">
        <v>115300</v>
      </c>
      <c r="H449" s="108"/>
      <c r="I449" s="108"/>
      <c r="J449" s="20">
        <v>115300</v>
      </c>
    </row>
    <row r="450" spans="1:10" x14ac:dyDescent="0.25">
      <c r="A450" s="107" t="s">
        <v>962</v>
      </c>
      <c r="B450" s="157">
        <v>55087.64</v>
      </c>
      <c r="C450" s="108"/>
      <c r="D450" s="108"/>
      <c r="E450" s="157">
        <v>55087.64</v>
      </c>
      <c r="F450" s="107"/>
      <c r="G450" s="20">
        <v>55087.64</v>
      </c>
      <c r="H450" s="108"/>
      <c r="I450" s="108"/>
      <c r="J450" s="20">
        <v>55087.64</v>
      </c>
    </row>
    <row r="451" spans="1:10" x14ac:dyDescent="0.25">
      <c r="A451" s="107" t="s">
        <v>963</v>
      </c>
      <c r="B451" s="158">
        <v>50000</v>
      </c>
      <c r="C451" s="108"/>
      <c r="D451" s="108"/>
      <c r="E451" s="158">
        <v>50000</v>
      </c>
      <c r="F451" s="107"/>
      <c r="G451" s="20">
        <v>-50000</v>
      </c>
      <c r="H451" s="108"/>
      <c r="I451" s="108"/>
      <c r="J451" s="20">
        <v>-50000</v>
      </c>
    </row>
    <row r="452" spans="1:10" x14ac:dyDescent="0.25">
      <c r="A452" s="107" t="s">
        <v>1393</v>
      </c>
      <c r="B452" s="110"/>
      <c r="C452" s="109">
        <v>13881504</v>
      </c>
      <c r="D452" s="109">
        <v>6940752</v>
      </c>
      <c r="E452" s="157">
        <v>6940752</v>
      </c>
      <c r="F452" s="107"/>
      <c r="G452" s="110"/>
      <c r="H452" s="109">
        <v>13881504</v>
      </c>
      <c r="I452" s="109">
        <v>6940752</v>
      </c>
      <c r="J452" s="20">
        <v>6940752</v>
      </c>
    </row>
    <row r="453" spans="1:10" x14ac:dyDescent="0.25">
      <c r="A453" s="107" t="s">
        <v>1084</v>
      </c>
      <c r="B453" s="110"/>
      <c r="C453" s="109">
        <v>1199284</v>
      </c>
      <c r="D453" s="109">
        <v>185971</v>
      </c>
      <c r="E453" s="157">
        <v>1013313</v>
      </c>
      <c r="F453" s="107"/>
      <c r="G453" s="110"/>
      <c r="H453" s="109">
        <v>1199284</v>
      </c>
      <c r="I453" s="109">
        <v>185971</v>
      </c>
      <c r="J453" s="20">
        <v>1013313</v>
      </c>
    </row>
    <row r="454" spans="1:10" x14ac:dyDescent="0.25">
      <c r="A454" s="107" t="s">
        <v>1328</v>
      </c>
      <c r="B454" s="110"/>
      <c r="C454" s="109">
        <v>17872.03</v>
      </c>
      <c r="D454" s="108"/>
      <c r="E454" s="157">
        <v>17872.03</v>
      </c>
      <c r="F454" s="107"/>
      <c r="G454" s="110"/>
      <c r="H454" s="109">
        <v>17872.03</v>
      </c>
      <c r="I454" s="108"/>
      <c r="J454" s="20">
        <v>17872.03</v>
      </c>
    </row>
    <row r="455" spans="1:10" x14ac:dyDescent="0.25">
      <c r="A455" s="107" t="s">
        <v>968</v>
      </c>
      <c r="B455" s="157">
        <v>20736.8</v>
      </c>
      <c r="C455" s="108"/>
      <c r="D455" s="108"/>
      <c r="E455" s="157">
        <v>20736.8</v>
      </c>
      <c r="F455" s="107"/>
      <c r="G455" s="20">
        <v>20736.8</v>
      </c>
      <c r="H455" s="108"/>
      <c r="I455" s="108"/>
      <c r="J455" s="20">
        <v>20736.8</v>
      </c>
    </row>
    <row r="456" spans="1:10" x14ac:dyDescent="0.25">
      <c r="A456" s="107" t="s">
        <v>971</v>
      </c>
      <c r="B456" s="110"/>
      <c r="C456" s="109">
        <v>1200</v>
      </c>
      <c r="D456" s="108"/>
      <c r="E456" s="157">
        <v>1200</v>
      </c>
      <c r="F456" s="107"/>
      <c r="G456" s="110"/>
      <c r="H456" s="109">
        <v>1200</v>
      </c>
      <c r="I456" s="108"/>
      <c r="J456" s="20">
        <v>1200</v>
      </c>
    </row>
    <row r="457" spans="1:10" x14ac:dyDescent="0.25">
      <c r="A457" s="107" t="s">
        <v>1286</v>
      </c>
      <c r="B457" s="110"/>
      <c r="C457" s="109">
        <v>126600</v>
      </c>
      <c r="D457" s="108"/>
      <c r="E457" s="157">
        <v>126600</v>
      </c>
      <c r="F457" s="107"/>
      <c r="G457" s="110"/>
      <c r="H457" s="109">
        <v>126600</v>
      </c>
      <c r="I457" s="108"/>
      <c r="J457" s="20">
        <v>126600</v>
      </c>
    </row>
    <row r="458" spans="1:10" x14ac:dyDescent="0.25">
      <c r="A458" s="107" t="s">
        <v>977</v>
      </c>
      <c r="B458" s="110"/>
      <c r="C458" s="109">
        <v>42651</v>
      </c>
      <c r="D458" s="108"/>
      <c r="E458" s="157">
        <v>42651</v>
      </c>
      <c r="F458" s="107"/>
      <c r="G458" s="110"/>
      <c r="H458" s="109">
        <v>42651</v>
      </c>
      <c r="I458" s="108"/>
      <c r="J458" s="20">
        <v>42651</v>
      </c>
    </row>
    <row r="459" spans="1:10" x14ac:dyDescent="0.25">
      <c r="A459" s="107" t="s">
        <v>978</v>
      </c>
      <c r="B459" s="110"/>
      <c r="C459" s="109">
        <v>7012</v>
      </c>
      <c r="D459" s="108"/>
      <c r="E459" s="157">
        <v>7012</v>
      </c>
      <c r="F459" s="107"/>
      <c r="G459" s="110"/>
      <c r="H459" s="109">
        <v>7012</v>
      </c>
      <c r="I459" s="108"/>
      <c r="J459" s="20">
        <v>7012</v>
      </c>
    </row>
    <row r="460" spans="1:10" x14ac:dyDescent="0.25">
      <c r="A460" s="107" t="s">
        <v>979</v>
      </c>
      <c r="B460" s="158">
        <v>508890</v>
      </c>
      <c r="C460" s="108"/>
      <c r="D460" s="108"/>
      <c r="E460" s="158">
        <v>508890</v>
      </c>
      <c r="F460" s="107"/>
      <c r="G460" s="20">
        <v>-508890</v>
      </c>
      <c r="H460" s="108"/>
      <c r="I460" s="108"/>
      <c r="J460" s="20">
        <v>-508890</v>
      </c>
    </row>
    <row r="461" spans="1:10" x14ac:dyDescent="0.25">
      <c r="A461" s="107" t="s">
        <v>981</v>
      </c>
      <c r="B461" s="157">
        <v>113723</v>
      </c>
      <c r="C461" s="108"/>
      <c r="D461" s="108"/>
      <c r="E461" s="157">
        <v>113723</v>
      </c>
      <c r="F461" s="107"/>
      <c r="G461" s="20">
        <v>113723</v>
      </c>
      <c r="H461" s="108"/>
      <c r="I461" s="108"/>
      <c r="J461" s="20">
        <v>113723</v>
      </c>
    </row>
    <row r="462" spans="1:10" x14ac:dyDescent="0.25">
      <c r="A462" s="107" t="s">
        <v>986</v>
      </c>
      <c r="B462" s="157">
        <v>87510.79</v>
      </c>
      <c r="C462" s="109">
        <v>5000</v>
      </c>
      <c r="D462" s="108"/>
      <c r="E462" s="157">
        <v>92510.79</v>
      </c>
      <c r="F462" s="107"/>
      <c r="G462" s="20">
        <v>87510.79</v>
      </c>
      <c r="H462" s="109">
        <v>5000</v>
      </c>
      <c r="I462" s="108"/>
      <c r="J462" s="20">
        <v>92510.79</v>
      </c>
    </row>
    <row r="463" spans="1:10" x14ac:dyDescent="0.25">
      <c r="A463" s="107" t="s">
        <v>985</v>
      </c>
      <c r="B463" s="158">
        <v>220301</v>
      </c>
      <c r="C463" s="108"/>
      <c r="D463" s="108"/>
      <c r="E463" s="158">
        <v>220301</v>
      </c>
      <c r="F463" s="107"/>
      <c r="G463" s="20">
        <v>-220301</v>
      </c>
      <c r="H463" s="108"/>
      <c r="I463" s="108"/>
      <c r="J463" s="20">
        <v>-220301</v>
      </c>
    </row>
    <row r="464" spans="1:10" x14ac:dyDescent="0.25">
      <c r="A464" s="107" t="s">
        <v>1078</v>
      </c>
      <c r="B464" s="157">
        <v>5226962.4400000004</v>
      </c>
      <c r="C464" s="109">
        <v>6743803</v>
      </c>
      <c r="D464" s="109">
        <v>3599664.85</v>
      </c>
      <c r="E464" s="157">
        <v>8371100.5899999999</v>
      </c>
      <c r="F464" s="107"/>
      <c r="G464" s="20">
        <v>5226962.4400000004</v>
      </c>
      <c r="H464" s="109">
        <v>6743803</v>
      </c>
      <c r="I464" s="109">
        <v>3599664.85</v>
      </c>
      <c r="J464" s="20">
        <v>8371100.5899999999</v>
      </c>
    </row>
    <row r="465" spans="1:10" x14ac:dyDescent="0.25">
      <c r="A465" s="107" t="s">
        <v>1332</v>
      </c>
      <c r="B465" s="158">
        <v>1596000</v>
      </c>
      <c r="C465" s="109">
        <v>3066000</v>
      </c>
      <c r="D465" s="109">
        <v>1470000</v>
      </c>
      <c r="E465" s="110"/>
      <c r="F465" s="107"/>
      <c r="G465" s="20">
        <v>-1596000</v>
      </c>
      <c r="H465" s="109">
        <v>3066000</v>
      </c>
      <c r="I465" s="109">
        <v>1470000</v>
      </c>
      <c r="J465" s="110"/>
    </row>
    <row r="466" spans="1:10" x14ac:dyDescent="0.25">
      <c r="A466" s="107" t="s">
        <v>993</v>
      </c>
      <c r="B466" s="157">
        <v>2555.34</v>
      </c>
      <c r="C466" s="108"/>
      <c r="D466" s="108"/>
      <c r="E466" s="157">
        <v>2555.34</v>
      </c>
      <c r="F466" s="107"/>
      <c r="G466" s="20">
        <v>2555.34</v>
      </c>
      <c r="H466" s="108"/>
      <c r="I466" s="108"/>
      <c r="J466" s="20">
        <v>2555.34</v>
      </c>
    </row>
    <row r="467" spans="1:10" x14ac:dyDescent="0.25">
      <c r="A467" s="107" t="s">
        <v>994</v>
      </c>
      <c r="B467" s="157">
        <v>1251</v>
      </c>
      <c r="C467" s="108"/>
      <c r="D467" s="108"/>
      <c r="E467" s="157">
        <v>1251</v>
      </c>
      <c r="F467" s="107"/>
      <c r="G467" s="20">
        <v>1251</v>
      </c>
      <c r="H467" s="108"/>
      <c r="I467" s="108"/>
      <c r="J467" s="20">
        <v>1251</v>
      </c>
    </row>
    <row r="468" spans="1:10" x14ac:dyDescent="0.25">
      <c r="A468" s="107" t="s">
        <v>998</v>
      </c>
      <c r="B468" s="158">
        <v>507408</v>
      </c>
      <c r="C468" s="108"/>
      <c r="D468" s="108"/>
      <c r="E468" s="158">
        <v>507408</v>
      </c>
      <c r="F468" s="107"/>
      <c r="G468" s="20">
        <v>-507408</v>
      </c>
      <c r="H468" s="108"/>
      <c r="I468" s="108"/>
      <c r="J468" s="20">
        <v>-507408</v>
      </c>
    </row>
    <row r="469" spans="1:10" x14ac:dyDescent="0.25">
      <c r="A469" s="107" t="s">
        <v>1003</v>
      </c>
      <c r="B469" s="157">
        <v>64900</v>
      </c>
      <c r="C469" s="108"/>
      <c r="D469" s="108"/>
      <c r="E469" s="157">
        <v>64900</v>
      </c>
      <c r="F469" s="107"/>
      <c r="G469" s="20">
        <v>64900</v>
      </c>
      <c r="H469" s="108"/>
      <c r="I469" s="108"/>
      <c r="J469" s="20">
        <v>64900</v>
      </c>
    </row>
    <row r="470" spans="1:10" x14ac:dyDescent="0.25">
      <c r="A470" s="107" t="s">
        <v>1005</v>
      </c>
      <c r="B470" s="157">
        <v>24377.53</v>
      </c>
      <c r="C470" s="108"/>
      <c r="D470" s="108"/>
      <c r="E470" s="157">
        <v>24377.53</v>
      </c>
      <c r="F470" s="107"/>
      <c r="G470" s="20">
        <v>24377.53</v>
      </c>
      <c r="H470" s="108"/>
      <c r="I470" s="108"/>
      <c r="J470" s="20">
        <v>24377.53</v>
      </c>
    </row>
    <row r="471" spans="1:10" x14ac:dyDescent="0.25">
      <c r="A471" s="107" t="s">
        <v>1007</v>
      </c>
      <c r="B471" s="157">
        <v>1185.5899999999999</v>
      </c>
      <c r="C471" s="108"/>
      <c r="D471" s="108"/>
      <c r="E471" s="157">
        <v>1185.5899999999999</v>
      </c>
      <c r="F471" s="107"/>
      <c r="G471" s="20">
        <v>1185.5899999999999</v>
      </c>
      <c r="H471" s="108"/>
      <c r="I471" s="108"/>
      <c r="J471" s="20">
        <v>1185.5899999999999</v>
      </c>
    </row>
    <row r="472" spans="1:10" x14ac:dyDescent="0.25">
      <c r="A472" s="107" t="s">
        <v>1394</v>
      </c>
      <c r="B472" s="110"/>
      <c r="C472" s="109">
        <v>2000</v>
      </c>
      <c r="D472" s="108"/>
      <c r="E472" s="157">
        <v>2000</v>
      </c>
      <c r="F472" s="107"/>
      <c r="G472" s="110"/>
      <c r="H472" s="109">
        <v>2000</v>
      </c>
      <c r="I472" s="108"/>
      <c r="J472" s="20">
        <v>2000</v>
      </c>
    </row>
    <row r="473" spans="1:10" x14ac:dyDescent="0.25">
      <c r="A473" s="107" t="s">
        <v>1008</v>
      </c>
      <c r="B473" s="157">
        <v>226431.53</v>
      </c>
      <c r="C473" s="108"/>
      <c r="D473" s="108"/>
      <c r="E473" s="157">
        <v>226431.53</v>
      </c>
      <c r="F473" s="107"/>
      <c r="G473" s="20">
        <v>226431.53</v>
      </c>
      <c r="H473" s="108"/>
      <c r="I473" s="108"/>
      <c r="J473" s="20">
        <v>226431.53</v>
      </c>
    </row>
    <row r="474" spans="1:10" x14ac:dyDescent="0.25">
      <c r="A474" s="107" t="s">
        <v>1395</v>
      </c>
      <c r="B474" s="110"/>
      <c r="C474" s="109">
        <v>281610</v>
      </c>
      <c r="D474" s="108"/>
      <c r="E474" s="157">
        <v>281610</v>
      </c>
      <c r="F474" s="107"/>
      <c r="G474" s="110"/>
      <c r="H474" s="109">
        <v>281610</v>
      </c>
      <c r="I474" s="108"/>
      <c r="J474" s="20">
        <v>281610</v>
      </c>
    </row>
    <row r="475" spans="1:10" x14ac:dyDescent="0.25">
      <c r="A475" s="107" t="s">
        <v>1396</v>
      </c>
      <c r="B475" s="110"/>
      <c r="C475" s="108"/>
      <c r="D475" s="109">
        <v>19517</v>
      </c>
      <c r="E475" s="158">
        <v>19517</v>
      </c>
      <c r="F475" s="107"/>
      <c r="G475" s="110"/>
      <c r="H475" s="108"/>
      <c r="I475" s="109">
        <v>19517</v>
      </c>
      <c r="J475" s="20">
        <v>-19517</v>
      </c>
    </row>
    <row r="476" spans="1:10" x14ac:dyDescent="0.25">
      <c r="A476" s="107" t="s">
        <v>1014</v>
      </c>
      <c r="B476" s="157">
        <v>566</v>
      </c>
      <c r="C476" s="108"/>
      <c r="D476" s="108"/>
      <c r="E476" s="157">
        <v>566</v>
      </c>
      <c r="F476" s="107"/>
      <c r="G476" s="20">
        <v>566</v>
      </c>
      <c r="H476" s="108"/>
      <c r="I476" s="108"/>
      <c r="J476" s="20">
        <v>566</v>
      </c>
    </row>
    <row r="477" spans="1:10" x14ac:dyDescent="0.25">
      <c r="A477" s="107" t="s">
        <v>1015</v>
      </c>
      <c r="B477" s="157">
        <v>107429.98</v>
      </c>
      <c r="C477" s="109">
        <v>33553</v>
      </c>
      <c r="D477" s="109">
        <v>26235</v>
      </c>
      <c r="E477" s="157">
        <v>114747.98</v>
      </c>
      <c r="F477" s="107"/>
      <c r="G477" s="20">
        <v>107429.98</v>
      </c>
      <c r="H477" s="109">
        <v>33553</v>
      </c>
      <c r="I477" s="109">
        <v>26235</v>
      </c>
      <c r="J477" s="20">
        <v>114747.98</v>
      </c>
    </row>
    <row r="478" spans="1:10" x14ac:dyDescent="0.25">
      <c r="A478" s="107" t="s">
        <v>1397</v>
      </c>
      <c r="B478" s="110"/>
      <c r="C478" s="109">
        <v>13351</v>
      </c>
      <c r="D478" s="109">
        <v>13351</v>
      </c>
      <c r="E478" s="110"/>
      <c r="F478" s="107"/>
      <c r="G478" s="110"/>
      <c r="H478" s="109">
        <v>13351</v>
      </c>
      <c r="I478" s="109">
        <v>13351</v>
      </c>
      <c r="J478" s="110"/>
    </row>
    <row r="479" spans="1:10" x14ac:dyDescent="0.25">
      <c r="A479" s="107" t="s">
        <v>1018</v>
      </c>
      <c r="B479" s="157">
        <v>59822.59</v>
      </c>
      <c r="C479" s="108"/>
      <c r="D479" s="108"/>
      <c r="E479" s="157">
        <v>59822.59</v>
      </c>
      <c r="F479" s="107"/>
      <c r="G479" s="20">
        <v>59822.59</v>
      </c>
      <c r="H479" s="108"/>
      <c r="I479" s="108"/>
      <c r="J479" s="20">
        <v>59822.59</v>
      </c>
    </row>
    <row r="480" spans="1:10" x14ac:dyDescent="0.25">
      <c r="A480" s="107" t="s">
        <v>1019</v>
      </c>
      <c r="B480" s="157">
        <v>64806.68</v>
      </c>
      <c r="C480" s="108"/>
      <c r="D480" s="108"/>
      <c r="E480" s="157">
        <v>64806.68</v>
      </c>
      <c r="F480" s="107"/>
      <c r="G480" s="20">
        <v>64806.68</v>
      </c>
      <c r="H480" s="108"/>
      <c r="I480" s="108"/>
      <c r="J480" s="20">
        <v>64806.68</v>
      </c>
    </row>
    <row r="481" spans="1:10" x14ac:dyDescent="0.25">
      <c r="A481" s="161" t="s">
        <v>22</v>
      </c>
      <c r="B481" s="112"/>
      <c r="C481" s="162">
        <v>342790548.17000002</v>
      </c>
      <c r="D481" s="162">
        <v>342790548.17000002</v>
      </c>
      <c r="E481" s="112"/>
      <c r="F481" s="107"/>
      <c r="G481" s="112"/>
      <c r="H481" s="162">
        <v>342790548.17000002</v>
      </c>
      <c r="I481" s="162">
        <v>342790548.17000002</v>
      </c>
      <c r="J481" s="112"/>
    </row>
  </sheetData>
  <autoFilter ref="A4:J481" xr:uid="{00000000-0001-0000-0700-000000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55"/>
  <sheetViews>
    <sheetView topLeftCell="A469" workbookViewId="0">
      <selection activeCell="A480" sqref="A480"/>
    </sheetView>
  </sheetViews>
  <sheetFormatPr defaultColWidth="9.42578125" defaultRowHeight="15" x14ac:dyDescent="0.25"/>
  <cols>
    <col min="1" max="1" width="47.5703125" style="2" bestFit="1" customWidth="1"/>
    <col min="2" max="2" width="15.42578125" style="2" bestFit="1" customWidth="1"/>
    <col min="3" max="3" width="16.5703125" style="24" bestFit="1" customWidth="1"/>
    <col min="4" max="4" width="16.5703125" style="7" bestFit="1" customWidth="1"/>
    <col min="5" max="5" width="15.5703125" style="2" bestFit="1" customWidth="1"/>
    <col min="6" max="6" width="9.42578125" style="2"/>
    <col min="7" max="7" width="16" style="18" bestFit="1" customWidth="1"/>
    <col min="8" max="9" width="17.5703125" style="18" bestFit="1" customWidth="1"/>
    <col min="10" max="10" width="15.5703125" style="18" bestFit="1" customWidth="1"/>
    <col min="11" max="16384" width="9.42578125" style="2"/>
  </cols>
  <sheetData>
    <row r="1" spans="1:10" x14ac:dyDescent="0.25">
      <c r="A1" s="3" t="s">
        <v>1108</v>
      </c>
      <c r="B1" s="3"/>
      <c r="C1" s="3"/>
      <c r="D1" s="28"/>
      <c r="E1" s="23"/>
      <c r="G1" s="47"/>
      <c r="H1" s="20">
        <v>1</v>
      </c>
      <c r="I1" s="20">
        <v>-1</v>
      </c>
      <c r="J1" s="46"/>
    </row>
    <row r="2" spans="1:10" x14ac:dyDescent="0.25">
      <c r="A2" s="47" t="str">
        <f>'P&amp;L'!N5</f>
        <v>(April to Mar)</v>
      </c>
      <c r="B2" s="8"/>
      <c r="C2" s="8"/>
      <c r="D2" s="28"/>
      <c r="E2" s="23"/>
      <c r="G2" s="46"/>
      <c r="H2" s="46"/>
      <c r="I2" s="46"/>
      <c r="J2" s="46"/>
    </row>
    <row r="3" spans="1:10" x14ac:dyDescent="0.25">
      <c r="A3" s="8"/>
      <c r="B3" s="46"/>
      <c r="C3" s="46"/>
      <c r="D3" s="46"/>
      <c r="E3" s="46"/>
      <c r="G3" s="46">
        <f>SUBTOTAL(9,G5:G754)</f>
        <v>-1.9754224922508001E-8</v>
      </c>
      <c r="H3" s="46">
        <f t="shared" ref="H3:J3" si="0">SUBTOTAL(9,H5:H754)</f>
        <v>1321237700.48</v>
      </c>
      <c r="I3" s="46">
        <f t="shared" si="0"/>
        <v>1321237700.4800003</v>
      </c>
      <c r="J3" s="46">
        <f t="shared" si="0"/>
        <v>2.4090695660561323E-8</v>
      </c>
    </row>
    <row r="4" spans="1:10" s="1" customFormat="1" ht="14.25" x14ac:dyDescent="0.2">
      <c r="A4" s="14" t="s">
        <v>26</v>
      </c>
      <c r="B4" s="10" t="s">
        <v>114</v>
      </c>
      <c r="C4" s="21" t="s">
        <v>115</v>
      </c>
      <c r="D4" s="29" t="s">
        <v>116</v>
      </c>
      <c r="E4" s="10" t="s">
        <v>117</v>
      </c>
      <c r="G4" s="48" t="s">
        <v>119</v>
      </c>
      <c r="H4" s="48" t="s">
        <v>120</v>
      </c>
      <c r="I4" s="48" t="s">
        <v>121</v>
      </c>
      <c r="J4" s="48" t="s">
        <v>122</v>
      </c>
    </row>
    <row r="5" spans="1:10" x14ac:dyDescent="0.25">
      <c r="A5" s="107" t="s">
        <v>84</v>
      </c>
      <c r="B5" s="157">
        <v>21152594.190000001</v>
      </c>
      <c r="C5" s="108"/>
      <c r="D5" s="108"/>
      <c r="E5" s="157">
        <v>21152594.190000001</v>
      </c>
      <c r="F5" s="107"/>
      <c r="G5" s="20">
        <v>21152594.190000001</v>
      </c>
      <c r="H5" s="108"/>
      <c r="I5" s="108"/>
      <c r="J5" s="20">
        <v>21152594.190000001</v>
      </c>
    </row>
    <row r="6" spans="1:10" x14ac:dyDescent="0.25">
      <c r="A6" s="189" t="s">
        <v>1334</v>
      </c>
      <c r="B6" s="110"/>
      <c r="C6" s="108"/>
      <c r="D6" s="109">
        <v>-1124270</v>
      </c>
      <c r="E6" s="157">
        <v>1124270</v>
      </c>
      <c r="F6" s="189"/>
      <c r="G6" s="110"/>
      <c r="H6" s="108"/>
      <c r="I6" s="109">
        <v>-1124270</v>
      </c>
      <c r="J6" s="20">
        <v>1124270</v>
      </c>
    </row>
    <row r="7" spans="1:10" x14ac:dyDescent="0.25">
      <c r="A7" s="189" t="s">
        <v>1335</v>
      </c>
      <c r="B7" s="110"/>
      <c r="C7" s="109">
        <v>-1124270</v>
      </c>
      <c r="D7" s="108"/>
      <c r="E7" s="158">
        <v>1124270</v>
      </c>
      <c r="F7" s="189"/>
      <c r="G7" s="110"/>
      <c r="H7" s="109">
        <v>-1124270</v>
      </c>
      <c r="I7" s="108"/>
      <c r="J7" s="20">
        <v>-1124270</v>
      </c>
    </row>
    <row r="8" spans="1:10" x14ac:dyDescent="0.25">
      <c r="A8" s="107" t="s">
        <v>1344</v>
      </c>
      <c r="B8" s="110"/>
      <c r="C8" s="109">
        <v>35400</v>
      </c>
      <c r="D8" s="109">
        <v>35400</v>
      </c>
      <c r="E8" s="110"/>
      <c r="F8" s="107"/>
      <c r="G8" s="110"/>
      <c r="H8" s="109">
        <v>35400</v>
      </c>
      <c r="I8" s="109">
        <v>35400</v>
      </c>
      <c r="J8" s="110"/>
    </row>
    <row r="9" spans="1:10" x14ac:dyDescent="0.25">
      <c r="A9" s="107" t="s">
        <v>123</v>
      </c>
      <c r="B9" s="157">
        <v>130956.83</v>
      </c>
      <c r="C9" s="108"/>
      <c r="D9" s="108"/>
      <c r="E9" s="157">
        <v>130956.83</v>
      </c>
      <c r="F9" s="107"/>
      <c r="G9" s="20">
        <v>130956.83</v>
      </c>
      <c r="H9" s="108"/>
      <c r="I9" s="108"/>
      <c r="J9" s="20">
        <v>130956.83</v>
      </c>
    </row>
    <row r="10" spans="1:10" x14ac:dyDescent="0.25">
      <c r="A10" s="107" t="s">
        <v>125</v>
      </c>
      <c r="B10" s="157">
        <v>171401.27</v>
      </c>
      <c r="C10" s="108"/>
      <c r="D10" s="108"/>
      <c r="E10" s="157">
        <v>171401.27</v>
      </c>
      <c r="F10" s="107"/>
      <c r="G10" s="20">
        <v>171401.27</v>
      </c>
      <c r="H10" s="108"/>
      <c r="I10" s="108"/>
      <c r="J10" s="20">
        <v>171401.27</v>
      </c>
    </row>
    <row r="11" spans="1:10" x14ac:dyDescent="0.25">
      <c r="A11" s="107" t="s">
        <v>1030</v>
      </c>
      <c r="B11" s="110"/>
      <c r="C11" s="109">
        <v>21240</v>
      </c>
      <c r="D11" s="109">
        <v>21240</v>
      </c>
      <c r="E11" s="110"/>
      <c r="F11" s="107"/>
      <c r="G11" s="110"/>
      <c r="H11" s="109">
        <v>21240</v>
      </c>
      <c r="I11" s="109">
        <v>21240</v>
      </c>
      <c r="J11" s="110"/>
    </row>
    <row r="12" spans="1:10" x14ac:dyDescent="0.25">
      <c r="A12" s="107" t="s">
        <v>137</v>
      </c>
      <c r="B12" s="157">
        <v>79762.52</v>
      </c>
      <c r="C12" s="108"/>
      <c r="D12" s="108"/>
      <c r="E12" s="157">
        <v>79762.52</v>
      </c>
      <c r="F12" s="107"/>
      <c r="G12" s="20">
        <v>79762.52</v>
      </c>
      <c r="H12" s="108"/>
      <c r="I12" s="108"/>
      <c r="J12" s="20">
        <v>79762.52</v>
      </c>
    </row>
    <row r="13" spans="1:10" x14ac:dyDescent="0.25">
      <c r="A13" s="107" t="s">
        <v>139</v>
      </c>
      <c r="B13" s="158">
        <v>17847</v>
      </c>
      <c r="C13" s="109">
        <v>52686.5</v>
      </c>
      <c r="D13" s="109">
        <v>34839.5</v>
      </c>
      <c r="E13" s="110"/>
      <c r="F13" s="107"/>
      <c r="G13" s="20">
        <v>-17847</v>
      </c>
      <c r="H13" s="109">
        <v>52686.5</v>
      </c>
      <c r="I13" s="109">
        <v>34839.5</v>
      </c>
      <c r="J13" s="110"/>
    </row>
    <row r="14" spans="1:10" x14ac:dyDescent="0.25">
      <c r="A14" s="107" t="s">
        <v>141</v>
      </c>
      <c r="B14" s="158">
        <v>1905100</v>
      </c>
      <c r="C14" s="109">
        <v>1905100</v>
      </c>
      <c r="D14" s="108"/>
      <c r="E14" s="110"/>
      <c r="F14" s="107"/>
      <c r="G14" s="20">
        <v>-1905100</v>
      </c>
      <c r="H14" s="109">
        <v>1905100</v>
      </c>
      <c r="I14" s="108"/>
      <c r="J14" s="110"/>
    </row>
    <row r="15" spans="1:10" x14ac:dyDescent="0.25">
      <c r="A15" s="107" t="s">
        <v>147</v>
      </c>
      <c r="B15" s="157">
        <v>200000</v>
      </c>
      <c r="C15" s="108"/>
      <c r="D15" s="108"/>
      <c r="E15" s="157">
        <v>200000</v>
      </c>
      <c r="F15" s="107"/>
      <c r="G15" s="20">
        <v>200000</v>
      </c>
      <c r="H15" s="108"/>
      <c r="I15" s="108"/>
      <c r="J15" s="20">
        <v>200000</v>
      </c>
    </row>
    <row r="16" spans="1:10" x14ac:dyDescent="0.25">
      <c r="A16" s="107" t="s">
        <v>148</v>
      </c>
      <c r="B16" s="157">
        <v>139000</v>
      </c>
      <c r="C16" s="108"/>
      <c r="D16" s="108"/>
      <c r="E16" s="157">
        <v>139000</v>
      </c>
      <c r="F16" s="107"/>
      <c r="G16" s="20">
        <v>139000</v>
      </c>
      <c r="H16" s="108"/>
      <c r="I16" s="108"/>
      <c r="J16" s="20">
        <v>139000</v>
      </c>
    </row>
    <row r="17" spans="1:10" x14ac:dyDescent="0.25">
      <c r="A17" s="107" t="s">
        <v>145</v>
      </c>
      <c r="B17" s="157">
        <v>70000</v>
      </c>
      <c r="C17" s="108"/>
      <c r="D17" s="108"/>
      <c r="E17" s="157">
        <v>70000</v>
      </c>
      <c r="F17" s="107"/>
      <c r="G17" s="20">
        <v>70000</v>
      </c>
      <c r="H17" s="108"/>
      <c r="I17" s="108"/>
      <c r="J17" s="20">
        <v>70000</v>
      </c>
    </row>
    <row r="18" spans="1:10" x14ac:dyDescent="0.25">
      <c r="A18" s="107" t="s">
        <v>1027</v>
      </c>
      <c r="B18" s="110"/>
      <c r="C18" s="109">
        <v>273050</v>
      </c>
      <c r="D18" s="108"/>
      <c r="E18" s="157">
        <v>273050</v>
      </c>
      <c r="F18" s="107"/>
      <c r="G18" s="110"/>
      <c r="H18" s="109">
        <v>273050</v>
      </c>
      <c r="I18" s="108"/>
      <c r="J18" s="20">
        <v>273050</v>
      </c>
    </row>
    <row r="19" spans="1:10" x14ac:dyDescent="0.25">
      <c r="A19" s="107" t="s">
        <v>155</v>
      </c>
      <c r="B19" s="110"/>
      <c r="C19" s="109">
        <v>15741</v>
      </c>
      <c r="D19" s="109">
        <v>15741</v>
      </c>
      <c r="E19" s="110"/>
      <c r="F19" s="107"/>
      <c r="G19" s="110"/>
      <c r="H19" s="109">
        <v>15741</v>
      </c>
      <c r="I19" s="109">
        <v>15741</v>
      </c>
      <c r="J19" s="110"/>
    </row>
    <row r="20" spans="1:10" x14ac:dyDescent="0.25">
      <c r="A20" s="107" t="s">
        <v>1296</v>
      </c>
      <c r="B20" s="110"/>
      <c r="C20" s="109">
        <v>2121504</v>
      </c>
      <c r="D20" s="108"/>
      <c r="E20" s="157">
        <v>2121504</v>
      </c>
      <c r="F20" s="107"/>
      <c r="G20" s="110"/>
      <c r="H20" s="109">
        <v>2121504</v>
      </c>
      <c r="I20" s="108"/>
      <c r="J20" s="20">
        <v>2121504</v>
      </c>
    </row>
    <row r="21" spans="1:10" x14ac:dyDescent="0.25">
      <c r="A21" s="107" t="s">
        <v>1214</v>
      </c>
      <c r="B21" s="110"/>
      <c r="C21" s="109">
        <v>38100</v>
      </c>
      <c r="D21" s="108"/>
      <c r="E21" s="157">
        <v>38100</v>
      </c>
      <c r="F21" s="107"/>
      <c r="G21" s="110"/>
      <c r="H21" s="109">
        <v>38100</v>
      </c>
      <c r="I21" s="108"/>
      <c r="J21" s="20">
        <v>38100</v>
      </c>
    </row>
    <row r="22" spans="1:10" x14ac:dyDescent="0.25">
      <c r="A22" s="107" t="s">
        <v>157</v>
      </c>
      <c r="B22" s="110"/>
      <c r="C22" s="109">
        <v>5900</v>
      </c>
      <c r="D22" s="109">
        <v>5900</v>
      </c>
      <c r="E22" s="110"/>
      <c r="F22" s="107"/>
      <c r="G22" s="110"/>
      <c r="H22" s="109">
        <v>5900</v>
      </c>
      <c r="I22" s="109">
        <v>5900</v>
      </c>
      <c r="J22" s="110"/>
    </row>
    <row r="23" spans="1:10" x14ac:dyDescent="0.25">
      <c r="A23" s="107" t="s">
        <v>159</v>
      </c>
      <c r="B23" s="157">
        <v>54886.38</v>
      </c>
      <c r="C23" s="108"/>
      <c r="D23" s="108"/>
      <c r="E23" s="157">
        <v>54886.38</v>
      </c>
      <c r="F23" s="107"/>
      <c r="G23" s="20">
        <v>54886.38</v>
      </c>
      <c r="H23" s="108"/>
      <c r="I23" s="108"/>
      <c r="J23" s="20">
        <v>54886.38</v>
      </c>
    </row>
    <row r="24" spans="1:10" x14ac:dyDescent="0.25">
      <c r="A24" s="107" t="s">
        <v>167</v>
      </c>
      <c r="B24" s="110"/>
      <c r="C24" s="109">
        <v>21714</v>
      </c>
      <c r="D24" s="109">
        <v>21714</v>
      </c>
      <c r="E24" s="110"/>
      <c r="F24" s="107"/>
      <c r="G24" s="110"/>
      <c r="H24" s="109">
        <v>21714</v>
      </c>
      <c r="I24" s="109">
        <v>21714</v>
      </c>
      <c r="J24" s="110"/>
    </row>
    <row r="25" spans="1:10" x14ac:dyDescent="0.25">
      <c r="A25" s="107" t="s">
        <v>170</v>
      </c>
      <c r="B25" s="110"/>
      <c r="C25" s="109">
        <v>529.82000000000005</v>
      </c>
      <c r="D25" s="109">
        <v>1825.46</v>
      </c>
      <c r="E25" s="158">
        <v>1295.6400000000001</v>
      </c>
      <c r="F25" s="107"/>
      <c r="G25" s="110"/>
      <c r="H25" s="109">
        <v>529.82000000000005</v>
      </c>
      <c r="I25" s="109">
        <v>1825.46</v>
      </c>
      <c r="J25" s="20">
        <v>-1295.6400000000001</v>
      </c>
    </row>
    <row r="26" spans="1:10" x14ac:dyDescent="0.25">
      <c r="A26" s="107" t="s">
        <v>169</v>
      </c>
      <c r="B26" s="158">
        <v>6134</v>
      </c>
      <c r="C26" s="109">
        <v>69851.23</v>
      </c>
      <c r="D26" s="109">
        <v>63717.23</v>
      </c>
      <c r="E26" s="110"/>
      <c r="F26" s="107"/>
      <c r="G26" s="20">
        <v>-6134</v>
      </c>
      <c r="H26" s="109">
        <v>69851.23</v>
      </c>
      <c r="I26" s="109">
        <v>63717.23</v>
      </c>
      <c r="J26" s="110"/>
    </row>
    <row r="27" spans="1:10" x14ac:dyDescent="0.25">
      <c r="A27" s="107" t="s">
        <v>168</v>
      </c>
      <c r="B27" s="158">
        <v>6219.16</v>
      </c>
      <c r="C27" s="109">
        <v>32293.08</v>
      </c>
      <c r="D27" s="109">
        <v>26073.919999999998</v>
      </c>
      <c r="E27" s="110"/>
      <c r="F27" s="107"/>
      <c r="G27" s="20">
        <v>-6219.16</v>
      </c>
      <c r="H27" s="109">
        <v>32293.08</v>
      </c>
      <c r="I27" s="109">
        <v>26073.919999999998</v>
      </c>
      <c r="J27" s="110"/>
    </row>
    <row r="28" spans="1:10" x14ac:dyDescent="0.25">
      <c r="A28" s="107" t="s">
        <v>171</v>
      </c>
      <c r="B28" s="157">
        <v>5000</v>
      </c>
      <c r="C28" s="108"/>
      <c r="D28" s="108"/>
      <c r="E28" s="157">
        <v>5000</v>
      </c>
      <c r="F28" s="107"/>
      <c r="G28" s="20">
        <v>5000</v>
      </c>
      <c r="H28" s="108"/>
      <c r="I28" s="108"/>
      <c r="J28" s="20">
        <v>5000</v>
      </c>
    </row>
    <row r="29" spans="1:10" x14ac:dyDescent="0.25">
      <c r="A29" s="107" t="s">
        <v>174</v>
      </c>
      <c r="B29" s="158">
        <v>102312391.39</v>
      </c>
      <c r="C29" s="109">
        <v>8281392</v>
      </c>
      <c r="D29" s="109">
        <v>709265</v>
      </c>
      <c r="E29" s="158">
        <v>94740264.390000001</v>
      </c>
      <c r="F29" s="107"/>
      <c r="G29" s="20">
        <v>-102312391.39</v>
      </c>
      <c r="H29" s="109">
        <v>8281392</v>
      </c>
      <c r="I29" s="109">
        <v>709265</v>
      </c>
      <c r="J29" s="20">
        <v>-94740264.390000001</v>
      </c>
    </row>
    <row r="30" spans="1:10" x14ac:dyDescent="0.25">
      <c r="A30" s="107" t="s">
        <v>177</v>
      </c>
      <c r="B30" s="110"/>
      <c r="C30" s="109">
        <v>110979</v>
      </c>
      <c r="D30" s="109">
        <v>110979</v>
      </c>
      <c r="E30" s="110"/>
      <c r="F30" s="107"/>
      <c r="G30" s="110"/>
      <c r="H30" s="109">
        <v>110979</v>
      </c>
      <c r="I30" s="109">
        <v>110979</v>
      </c>
      <c r="J30" s="110"/>
    </row>
    <row r="31" spans="1:10" x14ac:dyDescent="0.25">
      <c r="A31" s="107" t="s">
        <v>179</v>
      </c>
      <c r="B31" s="158">
        <v>221250</v>
      </c>
      <c r="C31" s="109">
        <v>221250</v>
      </c>
      <c r="D31" s="108"/>
      <c r="E31" s="110"/>
      <c r="F31" s="107"/>
      <c r="G31" s="20">
        <v>-221250</v>
      </c>
      <c r="H31" s="109">
        <v>221250</v>
      </c>
      <c r="I31" s="108"/>
      <c r="J31" s="110"/>
    </row>
    <row r="32" spans="1:10" x14ac:dyDescent="0.25">
      <c r="A32" s="107" t="s">
        <v>181</v>
      </c>
      <c r="B32" s="157">
        <v>21405.96</v>
      </c>
      <c r="C32" s="108"/>
      <c r="D32" s="108"/>
      <c r="E32" s="157">
        <v>21405.96</v>
      </c>
      <c r="F32" s="107"/>
      <c r="G32" s="20">
        <v>21405.96</v>
      </c>
      <c r="H32" s="108"/>
      <c r="I32" s="108"/>
      <c r="J32" s="20">
        <v>21405.96</v>
      </c>
    </row>
    <row r="33" spans="1:10" x14ac:dyDescent="0.25">
      <c r="A33" s="107" t="s">
        <v>184</v>
      </c>
      <c r="B33" s="110"/>
      <c r="C33" s="109">
        <v>31288</v>
      </c>
      <c r="D33" s="109">
        <v>31288</v>
      </c>
      <c r="E33" s="110"/>
      <c r="F33" s="107"/>
      <c r="G33" s="110"/>
      <c r="H33" s="109">
        <v>31288</v>
      </c>
      <c r="I33" s="109">
        <v>31288</v>
      </c>
      <c r="J33" s="110"/>
    </row>
    <row r="34" spans="1:10" x14ac:dyDescent="0.25">
      <c r="A34" s="107" t="s">
        <v>188</v>
      </c>
      <c r="B34" s="157">
        <v>164182.82</v>
      </c>
      <c r="C34" s="109">
        <v>151904</v>
      </c>
      <c r="D34" s="109">
        <v>316086.82</v>
      </c>
      <c r="E34" s="110"/>
      <c r="F34" s="107"/>
      <c r="G34" s="20">
        <v>164182.82</v>
      </c>
      <c r="H34" s="109">
        <v>151904</v>
      </c>
      <c r="I34" s="109">
        <v>316086.82</v>
      </c>
      <c r="J34" s="110"/>
    </row>
    <row r="35" spans="1:10" x14ac:dyDescent="0.25">
      <c r="A35" s="107" t="s">
        <v>190</v>
      </c>
      <c r="B35" s="157">
        <v>42199</v>
      </c>
      <c r="C35" s="109">
        <v>388748</v>
      </c>
      <c r="D35" s="109">
        <v>430947</v>
      </c>
      <c r="E35" s="110"/>
      <c r="F35" s="107"/>
      <c r="G35" s="20">
        <v>42199</v>
      </c>
      <c r="H35" s="109">
        <v>388748</v>
      </c>
      <c r="I35" s="109">
        <v>430947</v>
      </c>
      <c r="J35" s="110"/>
    </row>
    <row r="36" spans="1:10" x14ac:dyDescent="0.25">
      <c r="A36" s="107" t="s">
        <v>1031</v>
      </c>
      <c r="B36" s="110"/>
      <c r="C36" s="109">
        <v>5255775</v>
      </c>
      <c r="D36" s="109">
        <v>5255775</v>
      </c>
      <c r="E36" s="110"/>
      <c r="F36" s="107"/>
      <c r="G36" s="110"/>
      <c r="H36" s="109">
        <v>5255775</v>
      </c>
      <c r="I36" s="109">
        <v>5255775</v>
      </c>
      <c r="J36" s="110"/>
    </row>
    <row r="37" spans="1:10" x14ac:dyDescent="0.25">
      <c r="A37" s="107" t="s">
        <v>1226</v>
      </c>
      <c r="B37" s="110"/>
      <c r="C37" s="109">
        <v>2476377.42</v>
      </c>
      <c r="D37" s="109">
        <v>2359827.61</v>
      </c>
      <c r="E37" s="157">
        <v>116549.81</v>
      </c>
      <c r="F37" s="107"/>
      <c r="G37" s="110"/>
      <c r="H37" s="109">
        <v>2476377.42</v>
      </c>
      <c r="I37" s="109">
        <v>2359827.61</v>
      </c>
      <c r="J37" s="20">
        <v>116549.81</v>
      </c>
    </row>
    <row r="38" spans="1:10" x14ac:dyDescent="0.25">
      <c r="A38" s="107" t="s">
        <v>194</v>
      </c>
      <c r="B38" s="110"/>
      <c r="C38" s="109">
        <v>5282157.59</v>
      </c>
      <c r="D38" s="109">
        <v>5294641.7</v>
      </c>
      <c r="E38" s="158">
        <v>12484.11</v>
      </c>
      <c r="F38" s="107"/>
      <c r="G38" s="110"/>
      <c r="H38" s="109">
        <v>5282157.59</v>
      </c>
      <c r="I38" s="109">
        <v>5294641.7</v>
      </c>
      <c r="J38" s="20">
        <v>-12484.11</v>
      </c>
    </row>
    <row r="39" spans="1:10" x14ac:dyDescent="0.25">
      <c r="A39" s="107" t="s">
        <v>199</v>
      </c>
      <c r="B39" s="158">
        <v>600000</v>
      </c>
      <c r="C39" s="108"/>
      <c r="D39" s="108"/>
      <c r="E39" s="158">
        <v>600000</v>
      </c>
      <c r="F39" s="107"/>
      <c r="G39" s="20">
        <v>-600000</v>
      </c>
      <c r="H39" s="108"/>
      <c r="I39" s="108"/>
      <c r="J39" s="20">
        <v>-600000</v>
      </c>
    </row>
    <row r="40" spans="1:10" x14ac:dyDescent="0.25">
      <c r="A40" s="107" t="s">
        <v>201</v>
      </c>
      <c r="B40" s="110"/>
      <c r="C40" s="109">
        <v>54908</v>
      </c>
      <c r="D40" s="109">
        <v>54908</v>
      </c>
      <c r="E40" s="110"/>
      <c r="F40" s="107"/>
      <c r="G40" s="110"/>
      <c r="H40" s="109">
        <v>54908</v>
      </c>
      <c r="I40" s="109">
        <v>54908</v>
      </c>
      <c r="J40" s="110"/>
    </row>
    <row r="41" spans="1:10" x14ac:dyDescent="0.25">
      <c r="A41" s="107" t="s">
        <v>204</v>
      </c>
      <c r="B41" s="157">
        <v>845.57</v>
      </c>
      <c r="C41" s="108"/>
      <c r="D41" s="108"/>
      <c r="E41" s="157">
        <v>845.57</v>
      </c>
      <c r="F41" s="107"/>
      <c r="G41" s="20">
        <v>845.57</v>
      </c>
      <c r="H41" s="108"/>
      <c r="I41" s="108"/>
      <c r="J41" s="20">
        <v>845.57</v>
      </c>
    </row>
    <row r="42" spans="1:10" x14ac:dyDescent="0.25">
      <c r="A42" s="107" t="s">
        <v>210</v>
      </c>
      <c r="B42" s="110"/>
      <c r="C42" s="109">
        <v>21902</v>
      </c>
      <c r="D42" s="109">
        <v>21902</v>
      </c>
      <c r="E42" s="110"/>
      <c r="F42" s="107"/>
      <c r="G42" s="110"/>
      <c r="H42" s="109">
        <v>21902</v>
      </c>
      <c r="I42" s="109">
        <v>21902</v>
      </c>
      <c r="J42" s="110"/>
    </row>
    <row r="43" spans="1:10" x14ac:dyDescent="0.25">
      <c r="A43" s="107" t="s">
        <v>211</v>
      </c>
      <c r="B43" s="157">
        <v>463</v>
      </c>
      <c r="C43" s="108"/>
      <c r="D43" s="108"/>
      <c r="E43" s="157">
        <v>463</v>
      </c>
      <c r="F43" s="107"/>
      <c r="G43" s="20">
        <v>463</v>
      </c>
      <c r="H43" s="108"/>
      <c r="I43" s="108"/>
      <c r="J43" s="20">
        <v>463</v>
      </c>
    </row>
    <row r="44" spans="1:10" x14ac:dyDescent="0.25">
      <c r="A44" s="107" t="s">
        <v>212</v>
      </c>
      <c r="B44" s="157">
        <v>9523</v>
      </c>
      <c r="C44" s="108"/>
      <c r="D44" s="108"/>
      <c r="E44" s="157">
        <v>9523</v>
      </c>
      <c r="F44" s="107"/>
      <c r="G44" s="20">
        <v>9523</v>
      </c>
      <c r="H44" s="108"/>
      <c r="I44" s="108"/>
      <c r="J44" s="20">
        <v>9523</v>
      </c>
    </row>
    <row r="45" spans="1:10" x14ac:dyDescent="0.25">
      <c r="A45" s="107" t="s">
        <v>213</v>
      </c>
      <c r="B45" s="157">
        <v>7683</v>
      </c>
      <c r="C45" s="108"/>
      <c r="D45" s="108"/>
      <c r="E45" s="157">
        <v>7683</v>
      </c>
      <c r="F45" s="107"/>
      <c r="G45" s="20">
        <v>7683</v>
      </c>
      <c r="H45" s="108"/>
      <c r="I45" s="108"/>
      <c r="J45" s="20">
        <v>7683</v>
      </c>
    </row>
    <row r="46" spans="1:10" x14ac:dyDescent="0.25">
      <c r="A46" s="107" t="s">
        <v>1112</v>
      </c>
      <c r="B46" s="110"/>
      <c r="C46" s="109">
        <v>26694.92</v>
      </c>
      <c r="D46" s="108"/>
      <c r="E46" s="157">
        <v>26694.92</v>
      </c>
      <c r="F46" s="107"/>
      <c r="G46" s="110"/>
      <c r="H46" s="109">
        <v>26694.92</v>
      </c>
      <c r="I46" s="108"/>
      <c r="J46" s="20">
        <v>26694.92</v>
      </c>
    </row>
    <row r="47" spans="1:10" x14ac:dyDescent="0.25">
      <c r="A47" s="107" t="s">
        <v>1227</v>
      </c>
      <c r="B47" s="110"/>
      <c r="C47" s="109">
        <v>6390774</v>
      </c>
      <c r="D47" s="109">
        <v>6390774</v>
      </c>
      <c r="E47" s="110"/>
      <c r="F47" s="107"/>
      <c r="G47" s="110"/>
      <c r="H47" s="109">
        <v>6390774</v>
      </c>
      <c r="I47" s="109">
        <v>6390774</v>
      </c>
      <c r="J47" s="110"/>
    </row>
    <row r="48" spans="1:10" x14ac:dyDescent="0.25">
      <c r="A48" s="107" t="s">
        <v>126</v>
      </c>
      <c r="B48" s="157">
        <v>684000</v>
      </c>
      <c r="C48" s="108"/>
      <c r="D48" s="108"/>
      <c r="E48" s="157">
        <v>684000</v>
      </c>
      <c r="F48" s="107"/>
      <c r="G48" s="20">
        <v>684000</v>
      </c>
      <c r="H48" s="108"/>
      <c r="I48" s="108"/>
      <c r="J48" s="20">
        <v>684000</v>
      </c>
    </row>
    <row r="49" spans="1:10" x14ac:dyDescent="0.25">
      <c r="A49" s="107" t="s">
        <v>1085</v>
      </c>
      <c r="B49" s="110"/>
      <c r="C49" s="109">
        <v>220000</v>
      </c>
      <c r="D49" s="108"/>
      <c r="E49" s="157">
        <v>220000</v>
      </c>
      <c r="F49" s="107"/>
      <c r="G49" s="110"/>
      <c r="H49" s="109">
        <v>220000</v>
      </c>
      <c r="I49" s="108"/>
      <c r="J49" s="20">
        <v>220000</v>
      </c>
    </row>
    <row r="50" spans="1:10" x14ac:dyDescent="0.25">
      <c r="A50" s="107" t="s">
        <v>216</v>
      </c>
      <c r="B50" s="157">
        <v>1283.76</v>
      </c>
      <c r="C50" s="108"/>
      <c r="D50" s="108"/>
      <c r="E50" s="157">
        <v>1283.76</v>
      </c>
      <c r="F50" s="107"/>
      <c r="G50" s="20">
        <v>1283.76</v>
      </c>
      <c r="H50" s="108"/>
      <c r="I50" s="108"/>
      <c r="J50" s="20">
        <v>1283.76</v>
      </c>
    </row>
    <row r="51" spans="1:10" x14ac:dyDescent="0.25">
      <c r="A51" s="107" t="s">
        <v>219</v>
      </c>
      <c r="B51" s="158">
        <v>960.98</v>
      </c>
      <c r="C51" s="109">
        <v>16522</v>
      </c>
      <c r="D51" s="109">
        <v>16561.02</v>
      </c>
      <c r="E51" s="158">
        <v>1000</v>
      </c>
      <c r="F51" s="107"/>
      <c r="G51" s="20">
        <v>-960.98</v>
      </c>
      <c r="H51" s="109">
        <v>16522</v>
      </c>
      <c r="I51" s="109">
        <v>16561.02</v>
      </c>
      <c r="J51" s="20">
        <v>-1000</v>
      </c>
    </row>
    <row r="52" spans="1:10" x14ac:dyDescent="0.25">
      <c r="A52" s="107" t="s">
        <v>1228</v>
      </c>
      <c r="B52" s="110"/>
      <c r="C52" s="109">
        <v>124100</v>
      </c>
      <c r="D52" s="109">
        <v>124100</v>
      </c>
      <c r="E52" s="110"/>
      <c r="F52" s="107"/>
      <c r="G52" s="110"/>
      <c r="H52" s="109">
        <v>124100</v>
      </c>
      <c r="I52" s="109">
        <v>124100</v>
      </c>
      <c r="J52" s="110"/>
    </row>
    <row r="53" spans="1:10" x14ac:dyDescent="0.25">
      <c r="A53" s="107" t="s">
        <v>221</v>
      </c>
      <c r="B53" s="110"/>
      <c r="C53" s="109">
        <v>136962</v>
      </c>
      <c r="D53" s="109">
        <v>400069.44</v>
      </c>
      <c r="E53" s="158">
        <v>263107.44</v>
      </c>
      <c r="F53" s="107"/>
      <c r="G53" s="110"/>
      <c r="H53" s="109">
        <v>136962</v>
      </c>
      <c r="I53" s="109">
        <v>400069.44</v>
      </c>
      <c r="J53" s="20">
        <v>-263107.44</v>
      </c>
    </row>
    <row r="54" spans="1:10" x14ac:dyDescent="0.25">
      <c r="A54" s="107" t="s">
        <v>1278</v>
      </c>
      <c r="B54" s="110"/>
      <c r="C54" s="109">
        <v>3329823</v>
      </c>
      <c r="D54" s="109">
        <v>3329823</v>
      </c>
      <c r="E54" s="110"/>
      <c r="F54" s="107"/>
      <c r="G54" s="110"/>
      <c r="H54" s="109">
        <v>3329823</v>
      </c>
      <c r="I54" s="109">
        <v>3329823</v>
      </c>
      <c r="J54" s="110"/>
    </row>
    <row r="55" spans="1:10" x14ac:dyDescent="0.25">
      <c r="A55" s="107" t="s">
        <v>223</v>
      </c>
      <c r="B55" s="157">
        <v>249345.9</v>
      </c>
      <c r="C55" s="108"/>
      <c r="D55" s="108"/>
      <c r="E55" s="157">
        <v>249345.9</v>
      </c>
      <c r="F55" s="107"/>
      <c r="G55" s="20">
        <v>249345.9</v>
      </c>
      <c r="H55" s="108"/>
      <c r="I55" s="108"/>
      <c r="J55" s="20">
        <v>249345.9</v>
      </c>
    </row>
    <row r="56" spans="1:10" x14ac:dyDescent="0.25">
      <c r="A56" s="107" t="s">
        <v>224</v>
      </c>
      <c r="B56" s="158">
        <v>112576</v>
      </c>
      <c r="C56" s="109">
        <v>423303</v>
      </c>
      <c r="D56" s="109">
        <v>310727</v>
      </c>
      <c r="E56" s="110"/>
      <c r="F56" s="107"/>
      <c r="G56" s="20">
        <v>-112576</v>
      </c>
      <c r="H56" s="109">
        <v>423303</v>
      </c>
      <c r="I56" s="109">
        <v>310727</v>
      </c>
      <c r="J56" s="110"/>
    </row>
    <row r="57" spans="1:10" x14ac:dyDescent="0.25">
      <c r="A57" s="107" t="s">
        <v>225</v>
      </c>
      <c r="B57" s="157">
        <v>90672.54</v>
      </c>
      <c r="C57" s="108"/>
      <c r="D57" s="108"/>
      <c r="E57" s="157">
        <v>90672.54</v>
      </c>
      <c r="F57" s="107"/>
      <c r="G57" s="20">
        <v>90672.54</v>
      </c>
      <c r="H57" s="108"/>
      <c r="I57" s="108"/>
      <c r="J57" s="20">
        <v>90672.54</v>
      </c>
    </row>
    <row r="58" spans="1:10" x14ac:dyDescent="0.25">
      <c r="A58" s="107" t="s">
        <v>226</v>
      </c>
      <c r="B58" s="110"/>
      <c r="C58" s="109">
        <v>6010.68</v>
      </c>
      <c r="D58" s="108"/>
      <c r="E58" s="157">
        <v>6010.68</v>
      </c>
      <c r="F58" s="107"/>
      <c r="G58" s="110"/>
      <c r="H58" s="109">
        <v>6010.68</v>
      </c>
      <c r="I58" s="108"/>
      <c r="J58" s="20">
        <v>6010.68</v>
      </c>
    </row>
    <row r="59" spans="1:10" x14ac:dyDescent="0.25">
      <c r="A59" s="107" t="s">
        <v>227</v>
      </c>
      <c r="B59" s="110"/>
      <c r="C59" s="109">
        <v>1248</v>
      </c>
      <c r="D59" s="108"/>
      <c r="E59" s="157">
        <v>1248</v>
      </c>
      <c r="F59" s="107"/>
      <c r="G59" s="110"/>
      <c r="H59" s="109">
        <v>1248</v>
      </c>
      <c r="I59" s="108"/>
      <c r="J59" s="20">
        <v>1248</v>
      </c>
    </row>
    <row r="60" spans="1:10" x14ac:dyDescent="0.25">
      <c r="A60" s="107" t="s">
        <v>1345</v>
      </c>
      <c r="B60" s="110"/>
      <c r="C60" s="109">
        <v>4385.3999999999996</v>
      </c>
      <c r="D60" s="108"/>
      <c r="E60" s="157">
        <v>4385.3999999999996</v>
      </c>
      <c r="F60" s="107"/>
      <c r="G60" s="110"/>
      <c r="H60" s="109">
        <v>4385.3999999999996</v>
      </c>
      <c r="I60" s="108"/>
      <c r="J60" s="20">
        <v>4385.3999999999996</v>
      </c>
    </row>
    <row r="61" spans="1:10" x14ac:dyDescent="0.25">
      <c r="A61" s="107" t="s">
        <v>229</v>
      </c>
      <c r="B61" s="110"/>
      <c r="C61" s="109">
        <v>600</v>
      </c>
      <c r="D61" s="108"/>
      <c r="E61" s="157">
        <v>600</v>
      </c>
      <c r="F61" s="107"/>
      <c r="G61" s="110"/>
      <c r="H61" s="109">
        <v>600</v>
      </c>
      <c r="I61" s="108"/>
      <c r="J61" s="20">
        <v>600</v>
      </c>
    </row>
    <row r="62" spans="1:10" x14ac:dyDescent="0.25">
      <c r="A62" s="107" t="s">
        <v>230</v>
      </c>
      <c r="B62" s="110"/>
      <c r="C62" s="109">
        <v>2050</v>
      </c>
      <c r="D62" s="108"/>
      <c r="E62" s="157">
        <v>2050</v>
      </c>
      <c r="F62" s="107"/>
      <c r="G62" s="110"/>
      <c r="H62" s="109">
        <v>2050</v>
      </c>
      <c r="I62" s="108"/>
      <c r="J62" s="20">
        <v>2050</v>
      </c>
    </row>
    <row r="63" spans="1:10" x14ac:dyDescent="0.25">
      <c r="A63" s="107" t="s">
        <v>232</v>
      </c>
      <c r="B63" s="110"/>
      <c r="C63" s="109">
        <v>118</v>
      </c>
      <c r="D63" s="109">
        <v>118</v>
      </c>
      <c r="E63" s="110"/>
      <c r="F63" s="107"/>
      <c r="G63" s="110"/>
      <c r="H63" s="109">
        <v>118</v>
      </c>
      <c r="I63" s="109">
        <v>118</v>
      </c>
      <c r="J63" s="110"/>
    </row>
    <row r="64" spans="1:10" x14ac:dyDescent="0.25">
      <c r="A64" s="107" t="s">
        <v>239</v>
      </c>
      <c r="B64" s="110"/>
      <c r="C64" s="109">
        <v>46500</v>
      </c>
      <c r="D64" s="108"/>
      <c r="E64" s="157">
        <v>46500</v>
      </c>
      <c r="F64" s="107"/>
      <c r="G64" s="110"/>
      <c r="H64" s="109">
        <v>46500</v>
      </c>
      <c r="I64" s="108"/>
      <c r="J64" s="20">
        <v>46500</v>
      </c>
    </row>
    <row r="65" spans="1:10" x14ac:dyDescent="0.25">
      <c r="A65" s="107" t="s">
        <v>235</v>
      </c>
      <c r="B65" s="110"/>
      <c r="C65" s="109">
        <v>151973</v>
      </c>
      <c r="D65" s="108"/>
      <c r="E65" s="157">
        <v>151973</v>
      </c>
      <c r="F65" s="107"/>
      <c r="G65" s="110"/>
      <c r="H65" s="109">
        <v>151973</v>
      </c>
      <c r="I65" s="108"/>
      <c r="J65" s="20">
        <v>151973</v>
      </c>
    </row>
    <row r="66" spans="1:10" x14ac:dyDescent="0.25">
      <c r="A66" s="107" t="s">
        <v>237</v>
      </c>
      <c r="B66" s="110"/>
      <c r="C66" s="109">
        <v>926355</v>
      </c>
      <c r="D66" s="108"/>
      <c r="E66" s="157">
        <v>926355</v>
      </c>
      <c r="F66" s="107"/>
      <c r="G66" s="110"/>
      <c r="H66" s="109">
        <v>926355</v>
      </c>
      <c r="I66" s="108"/>
      <c r="J66" s="20">
        <v>926355</v>
      </c>
    </row>
    <row r="67" spans="1:10" x14ac:dyDescent="0.25">
      <c r="A67" s="107" t="s">
        <v>1033</v>
      </c>
      <c r="B67" s="110"/>
      <c r="C67" s="109">
        <v>1202500</v>
      </c>
      <c r="D67" s="108"/>
      <c r="E67" s="157">
        <v>1202500</v>
      </c>
      <c r="F67" s="107"/>
      <c r="G67" s="110"/>
      <c r="H67" s="109">
        <v>1202500</v>
      </c>
      <c r="I67" s="108"/>
      <c r="J67" s="20">
        <v>1202500</v>
      </c>
    </row>
    <row r="68" spans="1:10" x14ac:dyDescent="0.25">
      <c r="A68" s="107" t="s">
        <v>243</v>
      </c>
      <c r="B68" s="110"/>
      <c r="C68" s="109">
        <v>21902</v>
      </c>
      <c r="D68" s="109">
        <v>21902</v>
      </c>
      <c r="E68" s="110"/>
      <c r="F68" s="107"/>
      <c r="G68" s="110"/>
      <c r="H68" s="109">
        <v>21902</v>
      </c>
      <c r="I68" s="109">
        <v>21902</v>
      </c>
      <c r="J68" s="110"/>
    </row>
    <row r="69" spans="1:10" x14ac:dyDescent="0.25">
      <c r="A69" s="107" t="s">
        <v>247</v>
      </c>
      <c r="B69" s="110"/>
      <c r="C69" s="109">
        <v>15644</v>
      </c>
      <c r="D69" s="109">
        <v>15644</v>
      </c>
      <c r="E69" s="110"/>
      <c r="F69" s="107"/>
      <c r="G69" s="110"/>
      <c r="H69" s="109">
        <v>15644</v>
      </c>
      <c r="I69" s="109">
        <v>15644</v>
      </c>
      <c r="J69" s="110"/>
    </row>
    <row r="70" spans="1:10" x14ac:dyDescent="0.25">
      <c r="A70" s="107" t="s">
        <v>248</v>
      </c>
      <c r="B70" s="158">
        <v>1606.45</v>
      </c>
      <c r="C70" s="109">
        <v>12948.34</v>
      </c>
      <c r="D70" s="109">
        <v>10046.25</v>
      </c>
      <c r="E70" s="157">
        <v>1295.6400000000001</v>
      </c>
      <c r="F70" s="107"/>
      <c r="G70" s="20">
        <v>-1606.45</v>
      </c>
      <c r="H70" s="109">
        <v>12948.34</v>
      </c>
      <c r="I70" s="109">
        <v>10046.25</v>
      </c>
      <c r="J70" s="20">
        <v>1295.6400000000001</v>
      </c>
    </row>
    <row r="71" spans="1:10" x14ac:dyDescent="0.25">
      <c r="A71" s="107" t="s">
        <v>1215</v>
      </c>
      <c r="B71" s="110"/>
      <c r="C71" s="109">
        <v>1633.5</v>
      </c>
      <c r="D71" s="109">
        <v>1633.5</v>
      </c>
      <c r="E71" s="110"/>
      <c r="F71" s="107"/>
      <c r="G71" s="110"/>
      <c r="H71" s="109">
        <v>1633.5</v>
      </c>
      <c r="I71" s="109">
        <v>1633.5</v>
      </c>
      <c r="J71" s="110"/>
    </row>
    <row r="72" spans="1:10" x14ac:dyDescent="0.25">
      <c r="A72" s="107" t="s">
        <v>1346</v>
      </c>
      <c r="B72" s="110"/>
      <c r="C72" s="109">
        <v>15930</v>
      </c>
      <c r="D72" s="109">
        <v>15930</v>
      </c>
      <c r="E72" s="110"/>
      <c r="F72" s="107"/>
      <c r="G72" s="110"/>
      <c r="H72" s="109">
        <v>15930</v>
      </c>
      <c r="I72" s="109">
        <v>15930</v>
      </c>
      <c r="J72" s="110"/>
    </row>
    <row r="73" spans="1:10" x14ac:dyDescent="0.25">
      <c r="A73" s="107" t="s">
        <v>1347</v>
      </c>
      <c r="B73" s="110"/>
      <c r="C73" s="109">
        <v>5999</v>
      </c>
      <c r="D73" s="109">
        <v>5999</v>
      </c>
      <c r="E73" s="110"/>
      <c r="F73" s="107"/>
      <c r="G73" s="110"/>
      <c r="H73" s="109">
        <v>5999</v>
      </c>
      <c r="I73" s="109">
        <v>5999</v>
      </c>
      <c r="J73" s="110"/>
    </row>
    <row r="74" spans="1:10" x14ac:dyDescent="0.25">
      <c r="A74" s="107" t="s">
        <v>252</v>
      </c>
      <c r="B74" s="157">
        <v>1349.97</v>
      </c>
      <c r="C74" s="108"/>
      <c r="D74" s="108"/>
      <c r="E74" s="157">
        <v>1349.97</v>
      </c>
      <c r="F74" s="107"/>
      <c r="G74" s="20">
        <v>1349.97</v>
      </c>
      <c r="H74" s="108"/>
      <c r="I74" s="108"/>
      <c r="J74" s="20">
        <v>1349.97</v>
      </c>
    </row>
    <row r="75" spans="1:10" x14ac:dyDescent="0.25">
      <c r="A75" s="107" t="s">
        <v>1229</v>
      </c>
      <c r="B75" s="110"/>
      <c r="C75" s="109">
        <v>86650</v>
      </c>
      <c r="D75" s="108"/>
      <c r="E75" s="157">
        <v>86650</v>
      </c>
      <c r="F75" s="107"/>
      <c r="G75" s="110"/>
      <c r="H75" s="109">
        <v>86650</v>
      </c>
      <c r="I75" s="108"/>
      <c r="J75" s="20">
        <v>86650</v>
      </c>
    </row>
    <row r="76" spans="1:10" x14ac:dyDescent="0.25">
      <c r="A76" s="107" t="s">
        <v>255</v>
      </c>
      <c r="B76" s="157">
        <v>14161.02</v>
      </c>
      <c r="C76" s="109">
        <v>18000</v>
      </c>
      <c r="D76" s="108"/>
      <c r="E76" s="157">
        <v>32161.02</v>
      </c>
      <c r="F76" s="107"/>
      <c r="G76" s="20">
        <v>14161.02</v>
      </c>
      <c r="H76" s="109">
        <v>18000</v>
      </c>
      <c r="I76" s="108"/>
      <c r="J76" s="20">
        <v>32161.02</v>
      </c>
    </row>
    <row r="77" spans="1:10" x14ac:dyDescent="0.25">
      <c r="A77" s="107" t="s">
        <v>254</v>
      </c>
      <c r="B77" s="157">
        <v>1543.7</v>
      </c>
      <c r="C77" s="108"/>
      <c r="D77" s="108"/>
      <c r="E77" s="157">
        <v>1543.7</v>
      </c>
      <c r="F77" s="107"/>
      <c r="G77" s="20">
        <v>1543.7</v>
      </c>
      <c r="H77" s="108"/>
      <c r="I77" s="108"/>
      <c r="J77" s="20">
        <v>1543.7</v>
      </c>
    </row>
    <row r="78" spans="1:10" x14ac:dyDescent="0.25">
      <c r="A78" s="107" t="s">
        <v>257</v>
      </c>
      <c r="B78" s="110"/>
      <c r="C78" s="109">
        <v>76132861.510000005</v>
      </c>
      <c r="D78" s="109">
        <v>71095206.680000007</v>
      </c>
      <c r="E78" s="157">
        <v>5037654.83</v>
      </c>
      <c r="F78" s="107"/>
      <c r="G78" s="110"/>
      <c r="H78" s="109">
        <v>76132861.510000005</v>
      </c>
      <c r="I78" s="109">
        <v>71095206.680000007</v>
      </c>
      <c r="J78" s="20">
        <v>5037654.83</v>
      </c>
    </row>
    <row r="79" spans="1:10" x14ac:dyDescent="0.25">
      <c r="A79" s="107" t="s">
        <v>256</v>
      </c>
      <c r="B79" s="110"/>
      <c r="C79" s="109">
        <v>9000</v>
      </c>
      <c r="D79" s="108"/>
      <c r="E79" s="157">
        <v>9000</v>
      </c>
      <c r="F79" s="107"/>
      <c r="G79" s="110"/>
      <c r="H79" s="109">
        <v>9000</v>
      </c>
      <c r="I79" s="108"/>
      <c r="J79" s="20">
        <v>9000</v>
      </c>
    </row>
    <row r="80" spans="1:10" x14ac:dyDescent="0.25">
      <c r="A80" s="107" t="s">
        <v>1230</v>
      </c>
      <c r="B80" s="110"/>
      <c r="C80" s="109">
        <v>26537.85</v>
      </c>
      <c r="D80" s="108"/>
      <c r="E80" s="157">
        <v>26537.85</v>
      </c>
      <c r="F80" s="107"/>
      <c r="G80" s="110"/>
      <c r="H80" s="109">
        <v>26537.85</v>
      </c>
      <c r="I80" s="108"/>
      <c r="J80" s="20">
        <v>26537.85</v>
      </c>
    </row>
    <row r="81" spans="1:10" x14ac:dyDescent="0.25">
      <c r="A81" s="107" t="s">
        <v>1231</v>
      </c>
      <c r="B81" s="110"/>
      <c r="C81" s="109">
        <v>10000</v>
      </c>
      <c r="D81" s="109">
        <v>833.63</v>
      </c>
      <c r="E81" s="157">
        <v>9166.3700000000008</v>
      </c>
      <c r="F81" s="107"/>
      <c r="G81" s="110"/>
      <c r="H81" s="109">
        <v>10000</v>
      </c>
      <c r="I81" s="109">
        <v>833.63</v>
      </c>
      <c r="J81" s="20">
        <v>9166.3700000000008</v>
      </c>
    </row>
    <row r="82" spans="1:10" x14ac:dyDescent="0.25">
      <c r="A82" s="107" t="s">
        <v>258</v>
      </c>
      <c r="B82" s="157">
        <v>90635.25</v>
      </c>
      <c r="C82" s="109">
        <v>64599</v>
      </c>
      <c r="D82" s="109">
        <v>155234.25</v>
      </c>
      <c r="E82" s="110"/>
      <c r="F82" s="107"/>
      <c r="G82" s="20">
        <v>90635.25</v>
      </c>
      <c r="H82" s="109">
        <v>64599</v>
      </c>
      <c r="I82" s="109">
        <v>155234.25</v>
      </c>
      <c r="J82" s="110"/>
    </row>
    <row r="83" spans="1:10" x14ac:dyDescent="0.25">
      <c r="A83" s="107" t="s">
        <v>260</v>
      </c>
      <c r="B83" s="110"/>
      <c r="C83" s="109">
        <v>525</v>
      </c>
      <c r="D83" s="109">
        <v>525</v>
      </c>
      <c r="E83" s="110"/>
      <c r="F83" s="107"/>
      <c r="G83" s="110"/>
      <c r="H83" s="109">
        <v>525</v>
      </c>
      <c r="I83" s="109">
        <v>525</v>
      </c>
      <c r="J83" s="110"/>
    </row>
    <row r="84" spans="1:10" x14ac:dyDescent="0.25">
      <c r="A84" s="107" t="s">
        <v>1232</v>
      </c>
      <c r="B84" s="110"/>
      <c r="C84" s="109">
        <v>24600</v>
      </c>
      <c r="D84" s="108"/>
      <c r="E84" s="157">
        <v>24600</v>
      </c>
      <c r="F84" s="107"/>
      <c r="G84" s="110"/>
      <c r="H84" s="109">
        <v>24600</v>
      </c>
      <c r="I84" s="108"/>
      <c r="J84" s="20">
        <v>24600</v>
      </c>
    </row>
    <row r="85" spans="1:10" x14ac:dyDescent="0.25">
      <c r="A85" s="107" t="s">
        <v>1348</v>
      </c>
      <c r="B85" s="110"/>
      <c r="C85" s="109">
        <v>52754.94</v>
      </c>
      <c r="D85" s="108"/>
      <c r="E85" s="157">
        <v>52754.94</v>
      </c>
      <c r="F85" s="107"/>
      <c r="G85" s="110"/>
      <c r="H85" s="109">
        <v>52754.94</v>
      </c>
      <c r="I85" s="108"/>
      <c r="J85" s="20">
        <v>52754.94</v>
      </c>
    </row>
    <row r="86" spans="1:10" x14ac:dyDescent="0.25">
      <c r="A86" s="107" t="s">
        <v>1349</v>
      </c>
      <c r="B86" s="110"/>
      <c r="C86" s="109">
        <v>12203.1</v>
      </c>
      <c r="D86" s="108"/>
      <c r="E86" s="157">
        <v>12203.1</v>
      </c>
      <c r="F86" s="107"/>
      <c r="G86" s="110"/>
      <c r="H86" s="109">
        <v>12203.1</v>
      </c>
      <c r="I86" s="108"/>
      <c r="J86" s="20">
        <v>12203.1</v>
      </c>
    </row>
    <row r="87" spans="1:10" x14ac:dyDescent="0.25">
      <c r="A87" s="107" t="s">
        <v>263</v>
      </c>
      <c r="B87" s="110"/>
      <c r="C87" s="109">
        <v>861</v>
      </c>
      <c r="D87" s="108"/>
      <c r="E87" s="157">
        <v>861</v>
      </c>
      <c r="F87" s="107"/>
      <c r="G87" s="110"/>
      <c r="H87" s="109">
        <v>861</v>
      </c>
      <c r="I87" s="108"/>
      <c r="J87" s="20">
        <v>861</v>
      </c>
    </row>
    <row r="88" spans="1:10" x14ac:dyDescent="0.25">
      <c r="A88" s="107" t="s">
        <v>1028</v>
      </c>
      <c r="B88" s="110"/>
      <c r="C88" s="109">
        <v>421904</v>
      </c>
      <c r="D88" s="108"/>
      <c r="E88" s="157">
        <v>421904</v>
      </c>
      <c r="F88" s="107"/>
      <c r="G88" s="110"/>
      <c r="H88" s="109">
        <v>421904</v>
      </c>
      <c r="I88" s="108"/>
      <c r="J88" s="20">
        <v>421904</v>
      </c>
    </row>
    <row r="89" spans="1:10" x14ac:dyDescent="0.25">
      <c r="A89" s="107" t="s">
        <v>264</v>
      </c>
      <c r="B89" s="110"/>
      <c r="C89" s="109">
        <v>164200.82</v>
      </c>
      <c r="D89" s="108"/>
      <c r="E89" s="157">
        <v>164200.82</v>
      </c>
      <c r="F89" s="107"/>
      <c r="G89" s="110"/>
      <c r="H89" s="109">
        <v>164200.82</v>
      </c>
      <c r="I89" s="108"/>
      <c r="J89" s="20">
        <v>164200.82</v>
      </c>
    </row>
    <row r="90" spans="1:10" x14ac:dyDescent="0.25">
      <c r="A90" s="107" t="s">
        <v>222</v>
      </c>
      <c r="B90" s="158">
        <v>54000</v>
      </c>
      <c r="C90" s="109">
        <v>281600</v>
      </c>
      <c r="D90" s="109">
        <v>281600</v>
      </c>
      <c r="E90" s="158">
        <v>54000</v>
      </c>
      <c r="F90" s="107"/>
      <c r="G90" s="20">
        <v>-54000</v>
      </c>
      <c r="H90" s="109">
        <v>281600</v>
      </c>
      <c r="I90" s="109">
        <v>281600</v>
      </c>
      <c r="J90" s="20">
        <v>-54000</v>
      </c>
    </row>
    <row r="91" spans="1:10" x14ac:dyDescent="0.25">
      <c r="A91" s="107" t="s">
        <v>266</v>
      </c>
      <c r="B91" s="157">
        <v>164376</v>
      </c>
      <c r="C91" s="109">
        <v>247191</v>
      </c>
      <c r="D91" s="109">
        <v>413335</v>
      </c>
      <c r="E91" s="158">
        <v>1768</v>
      </c>
      <c r="F91" s="107"/>
      <c r="G91" s="20">
        <v>164376</v>
      </c>
      <c r="H91" s="109">
        <v>247191</v>
      </c>
      <c r="I91" s="109">
        <v>413335</v>
      </c>
      <c r="J91" s="20">
        <v>-1768</v>
      </c>
    </row>
    <row r="92" spans="1:10" x14ac:dyDescent="0.25">
      <c r="A92" s="107" t="s">
        <v>1113</v>
      </c>
      <c r="B92" s="110"/>
      <c r="C92" s="109">
        <v>31932.2</v>
      </c>
      <c r="D92" s="108"/>
      <c r="E92" s="157">
        <v>31932.2</v>
      </c>
      <c r="F92" s="107"/>
      <c r="G92" s="110"/>
      <c r="H92" s="109">
        <v>31932.2</v>
      </c>
      <c r="I92" s="108"/>
      <c r="J92" s="20">
        <v>31932.2</v>
      </c>
    </row>
    <row r="93" spans="1:10" x14ac:dyDescent="0.25">
      <c r="A93" s="107" t="s">
        <v>269</v>
      </c>
      <c r="B93" s="157">
        <v>24998.21</v>
      </c>
      <c r="C93" s="108"/>
      <c r="D93" s="108"/>
      <c r="E93" s="157">
        <v>24998.21</v>
      </c>
      <c r="F93" s="107"/>
      <c r="G93" s="20">
        <v>24998.21</v>
      </c>
      <c r="H93" s="108"/>
      <c r="I93" s="108"/>
      <c r="J93" s="20">
        <v>24998.21</v>
      </c>
    </row>
    <row r="94" spans="1:10" x14ac:dyDescent="0.25">
      <c r="A94" s="107" t="s">
        <v>270</v>
      </c>
      <c r="B94" s="110"/>
      <c r="C94" s="109">
        <v>711054.97</v>
      </c>
      <c r="D94" s="108"/>
      <c r="E94" s="157">
        <v>711054.97</v>
      </c>
      <c r="F94" s="107"/>
      <c r="G94" s="110"/>
      <c r="H94" s="109">
        <v>711054.97</v>
      </c>
      <c r="I94" s="108"/>
      <c r="J94" s="20">
        <v>711054.97</v>
      </c>
    </row>
    <row r="95" spans="1:10" x14ac:dyDescent="0.25">
      <c r="A95" s="107" t="s">
        <v>280</v>
      </c>
      <c r="B95" s="110"/>
      <c r="C95" s="109">
        <v>492002</v>
      </c>
      <c r="D95" s="109">
        <v>492002</v>
      </c>
      <c r="E95" s="110"/>
      <c r="F95" s="107"/>
      <c r="G95" s="110"/>
      <c r="H95" s="109">
        <v>492002</v>
      </c>
      <c r="I95" s="109">
        <v>492002</v>
      </c>
      <c r="J95" s="110"/>
    </row>
    <row r="96" spans="1:10" x14ac:dyDescent="0.25">
      <c r="A96" s="107" t="s">
        <v>1233</v>
      </c>
      <c r="B96" s="110"/>
      <c r="C96" s="109">
        <v>27000.6</v>
      </c>
      <c r="D96" s="108"/>
      <c r="E96" s="157">
        <v>27000.6</v>
      </c>
      <c r="F96" s="107"/>
      <c r="G96" s="110"/>
      <c r="H96" s="109">
        <v>27000.6</v>
      </c>
      <c r="I96" s="108"/>
      <c r="J96" s="20">
        <v>27000.6</v>
      </c>
    </row>
    <row r="97" spans="1:10" x14ac:dyDescent="0.25">
      <c r="A97" s="107" t="s">
        <v>1350</v>
      </c>
      <c r="B97" s="110"/>
      <c r="C97" s="109">
        <v>220301</v>
      </c>
      <c r="D97" s="108"/>
      <c r="E97" s="157">
        <v>220301</v>
      </c>
      <c r="F97" s="107"/>
      <c r="G97" s="110"/>
      <c r="H97" s="109">
        <v>220301</v>
      </c>
      <c r="I97" s="108"/>
      <c r="J97" s="20">
        <v>220301</v>
      </c>
    </row>
    <row r="98" spans="1:10" x14ac:dyDescent="0.25">
      <c r="A98" s="107" t="s">
        <v>274</v>
      </c>
      <c r="B98" s="110"/>
      <c r="C98" s="109">
        <v>27643</v>
      </c>
      <c r="D98" s="108"/>
      <c r="E98" s="157">
        <v>27643</v>
      </c>
      <c r="F98" s="107"/>
      <c r="G98" s="110"/>
      <c r="H98" s="109">
        <v>27643</v>
      </c>
      <c r="I98" s="108"/>
      <c r="J98" s="20">
        <v>27643</v>
      </c>
    </row>
    <row r="99" spans="1:10" x14ac:dyDescent="0.25">
      <c r="A99" s="107" t="s">
        <v>1020</v>
      </c>
      <c r="B99" s="110"/>
      <c r="C99" s="109">
        <v>27894</v>
      </c>
      <c r="D99" s="108"/>
      <c r="E99" s="157">
        <v>27894</v>
      </c>
      <c r="F99" s="107"/>
      <c r="G99" s="110"/>
      <c r="H99" s="109">
        <v>27894</v>
      </c>
      <c r="I99" s="108"/>
      <c r="J99" s="20">
        <v>27894</v>
      </c>
    </row>
    <row r="100" spans="1:10" x14ac:dyDescent="0.25">
      <c r="A100" s="107" t="s">
        <v>278</v>
      </c>
      <c r="B100" s="110"/>
      <c r="C100" s="109">
        <v>22500</v>
      </c>
      <c r="D100" s="108"/>
      <c r="E100" s="157">
        <v>22500</v>
      </c>
      <c r="F100" s="107"/>
      <c r="G100" s="110"/>
      <c r="H100" s="109">
        <v>22500</v>
      </c>
      <c r="I100" s="108"/>
      <c r="J100" s="20">
        <v>22500</v>
      </c>
    </row>
    <row r="101" spans="1:10" x14ac:dyDescent="0.25">
      <c r="A101" s="107" t="s">
        <v>279</v>
      </c>
      <c r="B101" s="157">
        <v>1335292.31</v>
      </c>
      <c r="C101" s="108"/>
      <c r="D101" s="108"/>
      <c r="E101" s="157">
        <v>1335292.31</v>
      </c>
      <c r="F101" s="107"/>
      <c r="G101" s="20">
        <v>1335292.31</v>
      </c>
      <c r="H101" s="108"/>
      <c r="I101" s="108"/>
      <c r="J101" s="20">
        <v>1335292.31</v>
      </c>
    </row>
    <row r="102" spans="1:10" x14ac:dyDescent="0.25">
      <c r="A102" s="107" t="s">
        <v>282</v>
      </c>
      <c r="B102" s="110"/>
      <c r="C102" s="109">
        <v>60190</v>
      </c>
      <c r="D102" s="108"/>
      <c r="E102" s="157">
        <v>60190</v>
      </c>
      <c r="F102" s="107"/>
      <c r="G102" s="110"/>
      <c r="H102" s="109">
        <v>60190</v>
      </c>
      <c r="I102" s="108"/>
      <c r="J102" s="20">
        <v>60190</v>
      </c>
    </row>
    <row r="103" spans="1:10" x14ac:dyDescent="0.25">
      <c r="A103" s="107" t="s">
        <v>285</v>
      </c>
      <c r="B103" s="157">
        <v>264564.13</v>
      </c>
      <c r="C103" s="109">
        <v>250.96</v>
      </c>
      <c r="D103" s="109">
        <v>264815.09000000003</v>
      </c>
      <c r="E103" s="110"/>
      <c r="F103" s="107"/>
      <c r="G103" s="20">
        <v>264564.13</v>
      </c>
      <c r="H103" s="109">
        <v>250.96</v>
      </c>
      <c r="I103" s="109">
        <v>264815.09000000003</v>
      </c>
      <c r="J103" s="110"/>
    </row>
    <row r="104" spans="1:10" x14ac:dyDescent="0.25">
      <c r="A104" s="107" t="s">
        <v>288</v>
      </c>
      <c r="B104" s="110"/>
      <c r="C104" s="109">
        <v>796</v>
      </c>
      <c r="D104" s="109">
        <v>796</v>
      </c>
      <c r="E104" s="110"/>
      <c r="F104" s="107"/>
      <c r="G104" s="110"/>
      <c r="H104" s="109">
        <v>796</v>
      </c>
      <c r="I104" s="109">
        <v>796</v>
      </c>
      <c r="J104" s="110"/>
    </row>
    <row r="105" spans="1:10" x14ac:dyDescent="0.25">
      <c r="A105" s="107" t="s">
        <v>289</v>
      </c>
      <c r="B105" s="157">
        <v>69226.13</v>
      </c>
      <c r="C105" s="108"/>
      <c r="D105" s="108"/>
      <c r="E105" s="157">
        <v>69226.13</v>
      </c>
      <c r="F105" s="107"/>
      <c r="G105" s="20">
        <v>69226.13</v>
      </c>
      <c r="H105" s="108"/>
      <c r="I105" s="108"/>
      <c r="J105" s="20">
        <v>69226.13</v>
      </c>
    </row>
    <row r="106" spans="1:10" x14ac:dyDescent="0.25">
      <c r="A106" s="107" t="s">
        <v>1279</v>
      </c>
      <c r="B106" s="110"/>
      <c r="C106" s="109">
        <v>206725</v>
      </c>
      <c r="D106" s="108"/>
      <c r="E106" s="157">
        <v>206725</v>
      </c>
      <c r="F106" s="107"/>
      <c r="G106" s="110"/>
      <c r="H106" s="109">
        <v>206725</v>
      </c>
      <c r="I106" s="108"/>
      <c r="J106" s="20">
        <v>206725</v>
      </c>
    </row>
    <row r="107" spans="1:10" x14ac:dyDescent="0.25">
      <c r="A107" s="107" t="s">
        <v>294</v>
      </c>
      <c r="B107" s="110"/>
      <c r="C107" s="109">
        <v>673040.02</v>
      </c>
      <c r="D107" s="108"/>
      <c r="E107" s="157">
        <v>673040.02</v>
      </c>
      <c r="F107" s="107"/>
      <c r="G107" s="110"/>
      <c r="H107" s="109">
        <v>673040.02</v>
      </c>
      <c r="I107" s="108"/>
      <c r="J107" s="20">
        <v>673040.02</v>
      </c>
    </row>
    <row r="108" spans="1:10" x14ac:dyDescent="0.25">
      <c r="A108" s="107" t="s">
        <v>295</v>
      </c>
      <c r="B108" s="110"/>
      <c r="C108" s="109">
        <v>3304.5</v>
      </c>
      <c r="D108" s="109">
        <v>4580.3999999999996</v>
      </c>
      <c r="E108" s="158">
        <v>1275.9000000000001</v>
      </c>
      <c r="F108" s="107"/>
      <c r="G108" s="110"/>
      <c r="H108" s="109">
        <v>3304.5</v>
      </c>
      <c r="I108" s="109">
        <v>4580.3999999999996</v>
      </c>
      <c r="J108" s="20">
        <v>-1275.9000000000001</v>
      </c>
    </row>
    <row r="109" spans="1:10" x14ac:dyDescent="0.25">
      <c r="A109" s="107" t="s">
        <v>296</v>
      </c>
      <c r="B109" s="158">
        <v>291695</v>
      </c>
      <c r="C109" s="109">
        <v>1373346.85</v>
      </c>
      <c r="D109" s="109">
        <v>2162812.67</v>
      </c>
      <c r="E109" s="158">
        <v>1081160.82</v>
      </c>
      <c r="F109" s="107"/>
      <c r="G109" s="20">
        <v>-291695</v>
      </c>
      <c r="H109" s="109">
        <v>1373346.85</v>
      </c>
      <c r="I109" s="109">
        <v>2162812.67</v>
      </c>
      <c r="J109" s="20">
        <v>-1081160.82</v>
      </c>
    </row>
    <row r="110" spans="1:10" x14ac:dyDescent="0.25">
      <c r="A110" s="107" t="s">
        <v>297</v>
      </c>
      <c r="B110" s="158">
        <v>540</v>
      </c>
      <c r="C110" s="109">
        <v>3178</v>
      </c>
      <c r="D110" s="109">
        <v>1138</v>
      </c>
      <c r="E110" s="157">
        <v>1500</v>
      </c>
      <c r="F110" s="107"/>
      <c r="G110" s="20">
        <v>-540</v>
      </c>
      <c r="H110" s="109">
        <v>3178</v>
      </c>
      <c r="I110" s="109">
        <v>1138</v>
      </c>
      <c r="J110" s="20">
        <v>1500</v>
      </c>
    </row>
    <row r="111" spans="1:10" x14ac:dyDescent="0.25">
      <c r="A111" s="107" t="s">
        <v>307</v>
      </c>
      <c r="B111" s="158">
        <v>8528</v>
      </c>
      <c r="C111" s="109">
        <v>8528</v>
      </c>
      <c r="D111" s="108"/>
      <c r="E111" s="110"/>
      <c r="F111" s="107"/>
      <c r="G111" s="20">
        <v>-8528</v>
      </c>
      <c r="H111" s="109">
        <v>8528</v>
      </c>
      <c r="I111" s="108"/>
      <c r="J111" s="110"/>
    </row>
    <row r="112" spans="1:10" x14ac:dyDescent="0.25">
      <c r="A112" s="107" t="s">
        <v>309</v>
      </c>
      <c r="B112" s="110"/>
      <c r="C112" s="109">
        <v>6380</v>
      </c>
      <c r="D112" s="109">
        <v>17555124.239999998</v>
      </c>
      <c r="E112" s="158">
        <v>17548744.239999998</v>
      </c>
      <c r="F112" s="107"/>
      <c r="G112" s="110"/>
      <c r="H112" s="109">
        <v>6380</v>
      </c>
      <c r="I112" s="109">
        <v>17555124.239999998</v>
      </c>
      <c r="J112" s="20">
        <v>-17548744.239999998</v>
      </c>
    </row>
    <row r="113" spans="1:10" x14ac:dyDescent="0.25">
      <c r="A113" s="107" t="s">
        <v>311</v>
      </c>
      <c r="B113" s="157">
        <v>7666.78</v>
      </c>
      <c r="C113" s="108"/>
      <c r="D113" s="108"/>
      <c r="E113" s="157">
        <v>7666.78</v>
      </c>
      <c r="F113" s="107"/>
      <c r="G113" s="20">
        <v>7666.78</v>
      </c>
      <c r="H113" s="108"/>
      <c r="I113" s="108"/>
      <c r="J113" s="20">
        <v>7666.78</v>
      </c>
    </row>
    <row r="114" spans="1:10" x14ac:dyDescent="0.25">
      <c r="A114" s="107" t="s">
        <v>312</v>
      </c>
      <c r="B114" s="157">
        <v>26597</v>
      </c>
      <c r="C114" s="109">
        <v>26597</v>
      </c>
      <c r="D114" s="109">
        <v>26597</v>
      </c>
      <c r="E114" s="157">
        <v>26597</v>
      </c>
      <c r="F114" s="107"/>
      <c r="G114" s="20">
        <v>26597</v>
      </c>
      <c r="H114" s="109">
        <v>26597</v>
      </c>
      <c r="I114" s="109">
        <v>26597</v>
      </c>
      <c r="J114" s="20">
        <v>26597</v>
      </c>
    </row>
    <row r="115" spans="1:10" x14ac:dyDescent="0.25">
      <c r="A115" s="107" t="s">
        <v>313</v>
      </c>
      <c r="B115" s="157">
        <v>3646.87</v>
      </c>
      <c r="C115" s="109">
        <v>38899.15</v>
      </c>
      <c r="D115" s="108"/>
      <c r="E115" s="157">
        <v>42546.02</v>
      </c>
      <c r="F115" s="107"/>
      <c r="G115" s="20">
        <v>3646.87</v>
      </c>
      <c r="H115" s="109">
        <v>38899.15</v>
      </c>
      <c r="I115" s="108"/>
      <c r="J115" s="20">
        <v>42546.02</v>
      </c>
    </row>
    <row r="116" spans="1:10" x14ac:dyDescent="0.25">
      <c r="A116" s="107" t="s">
        <v>315</v>
      </c>
      <c r="B116" s="110"/>
      <c r="C116" s="109">
        <v>35385851.270000003</v>
      </c>
      <c r="D116" s="109">
        <v>35385851.270000003</v>
      </c>
      <c r="E116" s="110"/>
      <c r="F116" s="107"/>
      <c r="G116" s="110"/>
      <c r="H116" s="109">
        <v>35385851.270000003</v>
      </c>
      <c r="I116" s="109">
        <v>35385851.270000003</v>
      </c>
      <c r="J116" s="110"/>
    </row>
    <row r="117" spans="1:10" x14ac:dyDescent="0.25">
      <c r="A117" s="107" t="s">
        <v>318</v>
      </c>
      <c r="B117" s="110"/>
      <c r="C117" s="109">
        <v>12000</v>
      </c>
      <c r="D117" s="108"/>
      <c r="E117" s="157">
        <v>12000</v>
      </c>
      <c r="F117" s="107"/>
      <c r="G117" s="110"/>
      <c r="H117" s="109">
        <v>12000</v>
      </c>
      <c r="I117" s="108"/>
      <c r="J117" s="20">
        <v>12000</v>
      </c>
    </row>
    <row r="118" spans="1:10" x14ac:dyDescent="0.25">
      <c r="A118" s="107" t="s">
        <v>1299</v>
      </c>
      <c r="B118" s="110"/>
      <c r="C118" s="109">
        <v>29197</v>
      </c>
      <c r="D118" s="108"/>
      <c r="E118" s="157">
        <v>29197</v>
      </c>
      <c r="F118" s="107"/>
      <c r="G118" s="110"/>
      <c r="H118" s="109">
        <v>29197</v>
      </c>
      <c r="I118" s="108"/>
      <c r="J118" s="20">
        <v>29197</v>
      </c>
    </row>
    <row r="119" spans="1:10" x14ac:dyDescent="0.25">
      <c r="A119" s="107" t="s">
        <v>1351</v>
      </c>
      <c r="B119" s="110"/>
      <c r="C119" s="109">
        <v>3500000</v>
      </c>
      <c r="D119" s="109">
        <v>3500000</v>
      </c>
      <c r="E119" s="110"/>
      <c r="F119" s="107"/>
      <c r="G119" s="110"/>
      <c r="H119" s="109">
        <v>3500000</v>
      </c>
      <c r="I119" s="109">
        <v>3500000</v>
      </c>
      <c r="J119" s="110"/>
    </row>
    <row r="120" spans="1:10" x14ac:dyDescent="0.25">
      <c r="A120" s="107" t="s">
        <v>319</v>
      </c>
      <c r="B120" s="110"/>
      <c r="C120" s="109">
        <v>7038.02</v>
      </c>
      <c r="D120" s="109">
        <v>7038.02</v>
      </c>
      <c r="E120" s="110"/>
      <c r="F120" s="107"/>
      <c r="G120" s="110"/>
      <c r="H120" s="109">
        <v>7038.02</v>
      </c>
      <c r="I120" s="109">
        <v>7038.02</v>
      </c>
      <c r="J120" s="110"/>
    </row>
    <row r="121" spans="1:10" x14ac:dyDescent="0.25">
      <c r="A121" s="107" t="s">
        <v>1273</v>
      </c>
      <c r="B121" s="110"/>
      <c r="C121" s="109">
        <v>10297</v>
      </c>
      <c r="D121" s="108"/>
      <c r="E121" s="157">
        <v>10297</v>
      </c>
      <c r="F121" s="107"/>
      <c r="G121" s="110"/>
      <c r="H121" s="109">
        <v>10297</v>
      </c>
      <c r="I121" s="108"/>
      <c r="J121" s="20">
        <v>10297</v>
      </c>
    </row>
    <row r="122" spans="1:10" x14ac:dyDescent="0.25">
      <c r="A122" s="107" t="s">
        <v>320</v>
      </c>
      <c r="B122" s="157">
        <v>36972.86</v>
      </c>
      <c r="C122" s="108"/>
      <c r="D122" s="108"/>
      <c r="E122" s="157">
        <v>36972.86</v>
      </c>
      <c r="F122" s="107"/>
      <c r="G122" s="20">
        <v>36972.86</v>
      </c>
      <c r="H122" s="108"/>
      <c r="I122" s="108"/>
      <c r="J122" s="20">
        <v>36972.86</v>
      </c>
    </row>
    <row r="123" spans="1:10" x14ac:dyDescent="0.25">
      <c r="A123" s="107" t="s">
        <v>321</v>
      </c>
      <c r="B123" s="110"/>
      <c r="C123" s="109">
        <v>4724</v>
      </c>
      <c r="D123" s="108"/>
      <c r="E123" s="157">
        <v>4724</v>
      </c>
      <c r="F123" s="107"/>
      <c r="G123" s="110"/>
      <c r="H123" s="109">
        <v>4724</v>
      </c>
      <c r="I123" s="108"/>
      <c r="J123" s="20">
        <v>4724</v>
      </c>
    </row>
    <row r="124" spans="1:10" x14ac:dyDescent="0.25">
      <c r="A124" s="107" t="s">
        <v>323</v>
      </c>
      <c r="B124" s="110"/>
      <c r="C124" s="109">
        <v>292294</v>
      </c>
      <c r="D124" s="108"/>
      <c r="E124" s="157">
        <v>292294</v>
      </c>
      <c r="F124" s="107"/>
      <c r="G124" s="110"/>
      <c r="H124" s="109">
        <v>292294</v>
      </c>
      <c r="I124" s="108"/>
      <c r="J124" s="20">
        <v>292294</v>
      </c>
    </row>
    <row r="125" spans="1:10" x14ac:dyDescent="0.25">
      <c r="A125" s="107" t="s">
        <v>1035</v>
      </c>
      <c r="B125" s="110"/>
      <c r="C125" s="109">
        <v>44500.639999999999</v>
      </c>
      <c r="D125" s="108"/>
      <c r="E125" s="157">
        <v>44500.639999999999</v>
      </c>
      <c r="F125" s="107"/>
      <c r="G125" s="110"/>
      <c r="H125" s="109">
        <v>44500.639999999999</v>
      </c>
      <c r="I125" s="108"/>
      <c r="J125" s="20">
        <v>44500.639999999999</v>
      </c>
    </row>
    <row r="126" spans="1:10" x14ac:dyDescent="0.25">
      <c r="A126" s="107" t="s">
        <v>326</v>
      </c>
      <c r="B126" s="110"/>
      <c r="C126" s="109">
        <v>61098.26</v>
      </c>
      <c r="D126" s="108"/>
      <c r="E126" s="157">
        <v>61098.26</v>
      </c>
      <c r="F126" s="107"/>
      <c r="G126" s="110"/>
      <c r="H126" s="109">
        <v>61098.26</v>
      </c>
      <c r="I126" s="108"/>
      <c r="J126" s="20">
        <v>61098.26</v>
      </c>
    </row>
    <row r="127" spans="1:10" x14ac:dyDescent="0.25">
      <c r="A127" s="107" t="s">
        <v>324</v>
      </c>
      <c r="B127" s="110"/>
      <c r="C127" s="109">
        <v>4541</v>
      </c>
      <c r="D127" s="108"/>
      <c r="E127" s="157">
        <v>4541</v>
      </c>
      <c r="F127" s="107"/>
      <c r="G127" s="110"/>
      <c r="H127" s="109">
        <v>4541</v>
      </c>
      <c r="I127" s="108"/>
      <c r="J127" s="20">
        <v>4541</v>
      </c>
    </row>
    <row r="128" spans="1:10" x14ac:dyDescent="0.25">
      <c r="A128" s="107" t="s">
        <v>325</v>
      </c>
      <c r="B128" s="110"/>
      <c r="C128" s="109">
        <v>96815.56</v>
      </c>
      <c r="D128" s="108"/>
      <c r="E128" s="157">
        <v>96815.56</v>
      </c>
      <c r="F128" s="107"/>
      <c r="G128" s="110"/>
      <c r="H128" s="109">
        <v>96815.56</v>
      </c>
      <c r="I128" s="108"/>
      <c r="J128" s="20">
        <v>96815.56</v>
      </c>
    </row>
    <row r="129" spans="1:10" x14ac:dyDescent="0.25">
      <c r="A129" s="107" t="s">
        <v>1081</v>
      </c>
      <c r="B129" s="110"/>
      <c r="C129" s="109">
        <v>700</v>
      </c>
      <c r="D129" s="108"/>
      <c r="E129" s="157">
        <v>700</v>
      </c>
      <c r="F129" s="107"/>
      <c r="G129" s="110"/>
      <c r="H129" s="109">
        <v>700</v>
      </c>
      <c r="I129" s="108"/>
      <c r="J129" s="20">
        <v>700</v>
      </c>
    </row>
    <row r="130" spans="1:10" x14ac:dyDescent="0.25">
      <c r="A130" s="107" t="s">
        <v>327</v>
      </c>
      <c r="B130" s="157">
        <v>4652.6400000000003</v>
      </c>
      <c r="C130" s="108"/>
      <c r="D130" s="108"/>
      <c r="E130" s="157">
        <v>4652.6400000000003</v>
      </c>
      <c r="F130" s="107"/>
      <c r="G130" s="20">
        <v>4652.6400000000003</v>
      </c>
      <c r="H130" s="108"/>
      <c r="I130" s="108"/>
      <c r="J130" s="20">
        <v>4652.6400000000003</v>
      </c>
    </row>
    <row r="131" spans="1:10" x14ac:dyDescent="0.25">
      <c r="A131" s="107" t="s">
        <v>1216</v>
      </c>
      <c r="B131" s="110"/>
      <c r="C131" s="109">
        <v>418005</v>
      </c>
      <c r="D131" s="108"/>
      <c r="E131" s="157">
        <v>418005</v>
      </c>
      <c r="F131" s="107"/>
      <c r="G131" s="110"/>
      <c r="H131" s="109">
        <v>418005</v>
      </c>
      <c r="I131" s="108"/>
      <c r="J131" s="20">
        <v>418005</v>
      </c>
    </row>
    <row r="132" spans="1:10" x14ac:dyDescent="0.25">
      <c r="A132" s="107" t="s">
        <v>329</v>
      </c>
      <c r="B132" s="110"/>
      <c r="C132" s="109">
        <v>1091557.46</v>
      </c>
      <c r="D132" s="108"/>
      <c r="E132" s="157">
        <v>1091557.46</v>
      </c>
      <c r="F132" s="107"/>
      <c r="G132" s="110"/>
      <c r="H132" s="109">
        <v>1091557.46</v>
      </c>
      <c r="I132" s="108"/>
      <c r="J132" s="20">
        <v>1091557.46</v>
      </c>
    </row>
    <row r="133" spans="1:10" x14ac:dyDescent="0.25">
      <c r="A133" s="107" t="s">
        <v>331</v>
      </c>
      <c r="B133" s="110"/>
      <c r="C133" s="109">
        <v>37500</v>
      </c>
      <c r="D133" s="109">
        <v>35925</v>
      </c>
      <c r="E133" s="157">
        <v>1575</v>
      </c>
      <c r="F133" s="107"/>
      <c r="G133" s="110"/>
      <c r="H133" s="109">
        <v>37500</v>
      </c>
      <c r="I133" s="109">
        <v>35925</v>
      </c>
      <c r="J133" s="20">
        <v>1575</v>
      </c>
    </row>
    <row r="134" spans="1:10" x14ac:dyDescent="0.25">
      <c r="A134" s="107" t="s">
        <v>1352</v>
      </c>
      <c r="B134" s="110"/>
      <c r="C134" s="109">
        <v>3894</v>
      </c>
      <c r="D134" s="109">
        <v>3894</v>
      </c>
      <c r="E134" s="110"/>
      <c r="F134" s="107"/>
      <c r="G134" s="110"/>
      <c r="H134" s="109">
        <v>3894</v>
      </c>
      <c r="I134" s="109">
        <v>3894</v>
      </c>
      <c r="J134" s="110"/>
    </row>
    <row r="135" spans="1:10" x14ac:dyDescent="0.25">
      <c r="A135" s="107" t="s">
        <v>337</v>
      </c>
      <c r="B135" s="157">
        <v>29198</v>
      </c>
      <c r="C135" s="108"/>
      <c r="D135" s="109">
        <v>29198</v>
      </c>
      <c r="E135" s="110"/>
      <c r="F135" s="107"/>
      <c r="G135" s="20">
        <v>29198</v>
      </c>
      <c r="H135" s="108"/>
      <c r="I135" s="109">
        <v>29198</v>
      </c>
      <c r="J135" s="110"/>
    </row>
    <row r="136" spans="1:10" x14ac:dyDescent="0.25">
      <c r="A136" s="107" t="s">
        <v>341</v>
      </c>
      <c r="B136" s="110"/>
      <c r="C136" s="109">
        <v>78720</v>
      </c>
      <c r="D136" s="109">
        <v>78720</v>
      </c>
      <c r="E136" s="110"/>
      <c r="F136" s="107"/>
      <c r="G136" s="110"/>
      <c r="H136" s="109">
        <v>78720</v>
      </c>
      <c r="I136" s="109">
        <v>78720</v>
      </c>
      <c r="J136" s="110"/>
    </row>
    <row r="137" spans="1:10" x14ac:dyDescent="0.25">
      <c r="A137" s="107" t="s">
        <v>342</v>
      </c>
      <c r="B137" s="157">
        <v>13273.49</v>
      </c>
      <c r="C137" s="108"/>
      <c r="D137" s="108"/>
      <c r="E137" s="157">
        <v>13273.49</v>
      </c>
      <c r="F137" s="107"/>
      <c r="G137" s="20">
        <v>13273.49</v>
      </c>
      <c r="H137" s="108"/>
      <c r="I137" s="108"/>
      <c r="J137" s="20">
        <v>13273.49</v>
      </c>
    </row>
    <row r="138" spans="1:10" x14ac:dyDescent="0.25">
      <c r="A138" s="107" t="s">
        <v>343</v>
      </c>
      <c r="B138" s="110"/>
      <c r="C138" s="109">
        <v>8282.84</v>
      </c>
      <c r="D138" s="108"/>
      <c r="E138" s="157">
        <v>8282.84</v>
      </c>
      <c r="F138" s="107"/>
      <c r="G138" s="110"/>
      <c r="H138" s="109">
        <v>8282.84</v>
      </c>
      <c r="I138" s="108"/>
      <c r="J138" s="20">
        <v>8282.84</v>
      </c>
    </row>
    <row r="139" spans="1:10" x14ac:dyDescent="0.25">
      <c r="A139" s="107" t="s">
        <v>1353</v>
      </c>
      <c r="B139" s="110"/>
      <c r="C139" s="109">
        <v>14008.5</v>
      </c>
      <c r="D139" s="108"/>
      <c r="E139" s="157">
        <v>14008.5</v>
      </c>
      <c r="F139" s="107"/>
      <c r="G139" s="110"/>
      <c r="H139" s="109">
        <v>14008.5</v>
      </c>
      <c r="I139" s="108"/>
      <c r="J139" s="20">
        <v>14008.5</v>
      </c>
    </row>
    <row r="140" spans="1:10" x14ac:dyDescent="0.25">
      <c r="A140" s="107" t="s">
        <v>1354</v>
      </c>
      <c r="B140" s="110"/>
      <c r="C140" s="109">
        <v>108055</v>
      </c>
      <c r="D140" s="109">
        <v>108055</v>
      </c>
      <c r="E140" s="110"/>
      <c r="F140" s="107"/>
      <c r="G140" s="110"/>
      <c r="H140" s="109">
        <v>108055</v>
      </c>
      <c r="I140" s="109">
        <v>108055</v>
      </c>
      <c r="J140" s="110"/>
    </row>
    <row r="141" spans="1:10" x14ac:dyDescent="0.25">
      <c r="A141" s="107" t="s">
        <v>346</v>
      </c>
      <c r="B141" s="157">
        <v>261129.93</v>
      </c>
      <c r="C141" s="108"/>
      <c r="D141" s="108"/>
      <c r="E141" s="157">
        <v>261129.93</v>
      </c>
      <c r="F141" s="107"/>
      <c r="G141" s="20">
        <v>261129.93</v>
      </c>
      <c r="H141" s="108"/>
      <c r="I141" s="108"/>
      <c r="J141" s="20">
        <v>261129.93</v>
      </c>
    </row>
    <row r="142" spans="1:10" x14ac:dyDescent="0.25">
      <c r="A142" s="107" t="s">
        <v>1355</v>
      </c>
      <c r="B142" s="110"/>
      <c r="C142" s="109">
        <v>10460</v>
      </c>
      <c r="D142" s="109">
        <v>10460</v>
      </c>
      <c r="E142" s="110"/>
      <c r="F142" s="107"/>
      <c r="G142" s="110"/>
      <c r="H142" s="109">
        <v>10460</v>
      </c>
      <c r="I142" s="109">
        <v>10460</v>
      </c>
      <c r="J142" s="110"/>
    </row>
    <row r="143" spans="1:10" x14ac:dyDescent="0.25">
      <c r="A143" s="107" t="s">
        <v>1036</v>
      </c>
      <c r="B143" s="110"/>
      <c r="C143" s="109">
        <v>651000</v>
      </c>
      <c r="D143" s="109">
        <v>651000</v>
      </c>
      <c r="E143" s="110"/>
      <c r="F143" s="107"/>
      <c r="G143" s="110"/>
      <c r="H143" s="109">
        <v>651000</v>
      </c>
      <c r="I143" s="109">
        <v>651000</v>
      </c>
      <c r="J143" s="110"/>
    </row>
    <row r="144" spans="1:10" x14ac:dyDescent="0.25">
      <c r="A144" s="107" t="s">
        <v>348</v>
      </c>
      <c r="B144" s="157">
        <v>442000</v>
      </c>
      <c r="C144" s="108"/>
      <c r="D144" s="108"/>
      <c r="E144" s="157">
        <v>442000</v>
      </c>
      <c r="F144" s="107"/>
      <c r="G144" s="20">
        <v>442000</v>
      </c>
      <c r="H144" s="108"/>
      <c r="I144" s="108"/>
      <c r="J144" s="20">
        <v>442000</v>
      </c>
    </row>
    <row r="145" spans="1:10" x14ac:dyDescent="0.25">
      <c r="A145" s="107" t="s">
        <v>352</v>
      </c>
      <c r="B145" s="110"/>
      <c r="C145" s="109">
        <v>6232783</v>
      </c>
      <c r="D145" s="109">
        <v>6232501</v>
      </c>
      <c r="E145" s="157">
        <v>282</v>
      </c>
      <c r="F145" s="107"/>
      <c r="G145" s="110"/>
      <c r="H145" s="109">
        <v>6232783</v>
      </c>
      <c r="I145" s="109">
        <v>6232501</v>
      </c>
      <c r="J145" s="20">
        <v>282</v>
      </c>
    </row>
    <row r="146" spans="1:10" x14ac:dyDescent="0.25">
      <c r="A146" s="107" t="s">
        <v>354</v>
      </c>
      <c r="B146" s="110"/>
      <c r="C146" s="109">
        <v>109511</v>
      </c>
      <c r="D146" s="109">
        <v>109511</v>
      </c>
      <c r="E146" s="110"/>
      <c r="F146" s="107"/>
      <c r="G146" s="110"/>
      <c r="H146" s="109">
        <v>109511</v>
      </c>
      <c r="I146" s="109">
        <v>109511</v>
      </c>
      <c r="J146" s="110"/>
    </row>
    <row r="147" spans="1:10" x14ac:dyDescent="0.25">
      <c r="A147" s="107" t="s">
        <v>357</v>
      </c>
      <c r="B147" s="157">
        <v>45000</v>
      </c>
      <c r="C147" s="108"/>
      <c r="D147" s="109">
        <v>5000</v>
      </c>
      <c r="E147" s="157">
        <v>40000</v>
      </c>
      <c r="F147" s="107"/>
      <c r="G147" s="20">
        <v>45000</v>
      </c>
      <c r="H147" s="108"/>
      <c r="I147" s="109">
        <v>5000</v>
      </c>
      <c r="J147" s="20">
        <v>40000</v>
      </c>
    </row>
    <row r="148" spans="1:10" x14ac:dyDescent="0.25">
      <c r="A148" s="107" t="s">
        <v>359</v>
      </c>
      <c r="B148" s="110"/>
      <c r="C148" s="109">
        <v>12516</v>
      </c>
      <c r="D148" s="109">
        <v>12516</v>
      </c>
      <c r="E148" s="110"/>
      <c r="F148" s="107"/>
      <c r="G148" s="110"/>
      <c r="H148" s="109">
        <v>12516</v>
      </c>
      <c r="I148" s="109">
        <v>12516</v>
      </c>
      <c r="J148" s="110"/>
    </row>
    <row r="149" spans="1:10" x14ac:dyDescent="0.25">
      <c r="A149" s="107" t="s">
        <v>1398</v>
      </c>
      <c r="B149" s="110"/>
      <c r="C149" s="108"/>
      <c r="D149" s="109">
        <v>604</v>
      </c>
      <c r="E149" s="158">
        <v>604</v>
      </c>
      <c r="F149" s="107"/>
      <c r="G149" s="110"/>
      <c r="H149" s="108"/>
      <c r="I149" s="109">
        <v>604</v>
      </c>
      <c r="J149" s="20">
        <v>-604</v>
      </c>
    </row>
    <row r="150" spans="1:10" x14ac:dyDescent="0.25">
      <c r="A150" s="107" t="s">
        <v>1037</v>
      </c>
      <c r="B150" s="110"/>
      <c r="C150" s="108"/>
      <c r="D150" s="109">
        <v>676011</v>
      </c>
      <c r="E150" s="158">
        <v>676011</v>
      </c>
      <c r="F150" s="107"/>
      <c r="G150" s="110"/>
      <c r="H150" s="108"/>
      <c r="I150" s="109">
        <v>676011</v>
      </c>
      <c r="J150" s="20">
        <v>-676011</v>
      </c>
    </row>
    <row r="151" spans="1:10" x14ac:dyDescent="0.25">
      <c r="A151" s="107" t="s">
        <v>364</v>
      </c>
      <c r="B151" s="110"/>
      <c r="C151" s="109">
        <v>49606.03</v>
      </c>
      <c r="D151" s="108"/>
      <c r="E151" s="157">
        <v>49606.03</v>
      </c>
      <c r="F151" s="107"/>
      <c r="G151" s="110"/>
      <c r="H151" s="109">
        <v>49606.03</v>
      </c>
      <c r="I151" s="108"/>
      <c r="J151" s="20">
        <v>49606.03</v>
      </c>
    </row>
    <row r="152" spans="1:10" x14ac:dyDescent="0.25">
      <c r="A152" s="107" t="s">
        <v>368</v>
      </c>
      <c r="B152" s="110"/>
      <c r="C152" s="109">
        <v>176300</v>
      </c>
      <c r="D152" s="108"/>
      <c r="E152" s="157">
        <v>176300</v>
      </c>
      <c r="F152" s="107"/>
      <c r="G152" s="110"/>
      <c r="H152" s="109">
        <v>176300</v>
      </c>
      <c r="I152" s="108"/>
      <c r="J152" s="20">
        <v>176300</v>
      </c>
    </row>
    <row r="153" spans="1:10" x14ac:dyDescent="0.25">
      <c r="A153" s="107" t="s">
        <v>370</v>
      </c>
      <c r="B153" s="157">
        <v>32990</v>
      </c>
      <c r="C153" s="108"/>
      <c r="D153" s="108"/>
      <c r="E153" s="157">
        <v>32990</v>
      </c>
      <c r="F153" s="107"/>
      <c r="G153" s="20">
        <v>32990</v>
      </c>
      <c r="H153" s="108"/>
      <c r="I153" s="108"/>
      <c r="J153" s="20">
        <v>32990</v>
      </c>
    </row>
    <row r="154" spans="1:10" x14ac:dyDescent="0.25">
      <c r="A154" s="107" t="s">
        <v>371</v>
      </c>
      <c r="B154" s="110"/>
      <c r="C154" s="108"/>
      <c r="D154" s="109">
        <v>10487</v>
      </c>
      <c r="E154" s="158">
        <v>10487</v>
      </c>
      <c r="F154" s="107"/>
      <c r="G154" s="110"/>
      <c r="H154" s="108"/>
      <c r="I154" s="109">
        <v>10487</v>
      </c>
      <c r="J154" s="20">
        <v>-10487</v>
      </c>
    </row>
    <row r="155" spans="1:10" x14ac:dyDescent="0.25">
      <c r="A155" s="107" t="s">
        <v>373</v>
      </c>
      <c r="B155" s="157">
        <v>4500</v>
      </c>
      <c r="C155" s="108"/>
      <c r="D155" s="108"/>
      <c r="E155" s="157">
        <v>4500</v>
      </c>
      <c r="F155" s="107"/>
      <c r="G155" s="20">
        <v>4500</v>
      </c>
      <c r="H155" s="108"/>
      <c r="I155" s="108"/>
      <c r="J155" s="20">
        <v>4500</v>
      </c>
    </row>
    <row r="156" spans="1:10" x14ac:dyDescent="0.25">
      <c r="A156" s="107" t="s">
        <v>335</v>
      </c>
      <c r="B156" s="157">
        <v>4735.38</v>
      </c>
      <c r="C156" s="108"/>
      <c r="D156" s="108"/>
      <c r="E156" s="157">
        <v>4735.38</v>
      </c>
      <c r="F156" s="107"/>
      <c r="G156" s="20">
        <v>4735.38</v>
      </c>
      <c r="H156" s="108"/>
      <c r="I156" s="108"/>
      <c r="J156" s="20">
        <v>4735.38</v>
      </c>
    </row>
    <row r="157" spans="1:10" x14ac:dyDescent="0.25">
      <c r="A157" s="107" t="s">
        <v>375</v>
      </c>
      <c r="B157" s="110"/>
      <c r="C157" s="109">
        <v>35235543</v>
      </c>
      <c r="D157" s="109">
        <v>35235543</v>
      </c>
      <c r="E157" s="110"/>
      <c r="F157" s="107"/>
      <c r="G157" s="110"/>
      <c r="H157" s="109">
        <v>35235543</v>
      </c>
      <c r="I157" s="109">
        <v>35235543</v>
      </c>
      <c r="J157" s="110"/>
    </row>
    <row r="158" spans="1:10" x14ac:dyDescent="0.25">
      <c r="A158" s="107" t="s">
        <v>1301</v>
      </c>
      <c r="B158" s="110"/>
      <c r="C158" s="109">
        <v>436450</v>
      </c>
      <c r="D158" s="109">
        <v>436450</v>
      </c>
      <c r="E158" s="110"/>
      <c r="F158" s="107"/>
      <c r="G158" s="110"/>
      <c r="H158" s="109">
        <v>436450</v>
      </c>
      <c r="I158" s="109">
        <v>436450</v>
      </c>
      <c r="J158" s="110"/>
    </row>
    <row r="159" spans="1:10" x14ac:dyDescent="0.25">
      <c r="A159" s="107" t="s">
        <v>376</v>
      </c>
      <c r="B159" s="110"/>
      <c r="C159" s="109">
        <v>16500</v>
      </c>
      <c r="D159" s="108"/>
      <c r="E159" s="157">
        <v>16500</v>
      </c>
      <c r="F159" s="107"/>
      <c r="G159" s="110"/>
      <c r="H159" s="109">
        <v>16500</v>
      </c>
      <c r="I159" s="108"/>
      <c r="J159" s="20">
        <v>16500</v>
      </c>
    </row>
    <row r="160" spans="1:10" x14ac:dyDescent="0.25">
      <c r="A160" s="107" t="s">
        <v>1234</v>
      </c>
      <c r="B160" s="110"/>
      <c r="C160" s="109">
        <v>24650</v>
      </c>
      <c r="D160" s="108"/>
      <c r="E160" s="157">
        <v>24650</v>
      </c>
      <c r="F160" s="107"/>
      <c r="G160" s="110"/>
      <c r="H160" s="109">
        <v>24650</v>
      </c>
      <c r="I160" s="108"/>
      <c r="J160" s="20">
        <v>24650</v>
      </c>
    </row>
    <row r="161" spans="1:10" x14ac:dyDescent="0.25">
      <c r="A161" s="107" t="s">
        <v>1026</v>
      </c>
      <c r="B161" s="110"/>
      <c r="C161" s="109">
        <v>10711</v>
      </c>
      <c r="D161" s="108"/>
      <c r="E161" s="157">
        <v>10711</v>
      </c>
      <c r="F161" s="107"/>
      <c r="G161" s="110"/>
      <c r="H161" s="109">
        <v>10711</v>
      </c>
      <c r="I161" s="108"/>
      <c r="J161" s="20">
        <v>10711</v>
      </c>
    </row>
    <row r="162" spans="1:10" x14ac:dyDescent="0.25">
      <c r="A162" s="107" t="s">
        <v>46</v>
      </c>
      <c r="B162" s="110"/>
      <c r="C162" s="109">
        <v>700</v>
      </c>
      <c r="D162" s="108"/>
      <c r="E162" s="157">
        <v>700</v>
      </c>
      <c r="F162" s="107"/>
      <c r="G162" s="110"/>
      <c r="H162" s="109">
        <v>700</v>
      </c>
      <c r="I162" s="108"/>
      <c r="J162" s="20">
        <v>700</v>
      </c>
    </row>
    <row r="163" spans="1:10" x14ac:dyDescent="0.25">
      <c r="A163" s="107" t="s">
        <v>336</v>
      </c>
      <c r="B163" s="110"/>
      <c r="C163" s="109">
        <v>460.59</v>
      </c>
      <c r="D163" s="108"/>
      <c r="E163" s="157">
        <v>460.59</v>
      </c>
      <c r="F163" s="107"/>
      <c r="G163" s="110"/>
      <c r="H163" s="109">
        <v>460.59</v>
      </c>
      <c r="I163" s="108"/>
      <c r="J163" s="20">
        <v>460.59</v>
      </c>
    </row>
    <row r="164" spans="1:10" x14ac:dyDescent="0.25">
      <c r="A164" s="107" t="s">
        <v>333</v>
      </c>
      <c r="B164" s="157">
        <v>57909</v>
      </c>
      <c r="C164" s="108"/>
      <c r="D164" s="109">
        <v>57909</v>
      </c>
      <c r="E164" s="110"/>
      <c r="F164" s="107"/>
      <c r="G164" s="20">
        <v>57909</v>
      </c>
      <c r="H164" s="108"/>
      <c r="I164" s="109">
        <v>57909</v>
      </c>
      <c r="J164" s="110"/>
    </row>
    <row r="165" spans="1:10" x14ac:dyDescent="0.25">
      <c r="A165" s="107" t="s">
        <v>378</v>
      </c>
      <c r="B165" s="158">
        <v>80160</v>
      </c>
      <c r="C165" s="109">
        <v>99493.440000000002</v>
      </c>
      <c r="D165" s="109">
        <v>49316.06</v>
      </c>
      <c r="E165" s="158">
        <v>29982.62</v>
      </c>
      <c r="F165" s="107"/>
      <c r="G165" s="20">
        <v>-80160</v>
      </c>
      <c r="H165" s="109">
        <v>99493.440000000002</v>
      </c>
      <c r="I165" s="109">
        <v>49316.06</v>
      </c>
      <c r="J165" s="20">
        <v>-29982.62</v>
      </c>
    </row>
    <row r="166" spans="1:10" x14ac:dyDescent="0.25">
      <c r="A166" s="107" t="s">
        <v>379</v>
      </c>
      <c r="B166" s="110"/>
      <c r="C166" s="109">
        <v>29500</v>
      </c>
      <c r="D166" s="109">
        <v>29500</v>
      </c>
      <c r="E166" s="110"/>
      <c r="F166" s="107"/>
      <c r="G166" s="110"/>
      <c r="H166" s="109">
        <v>29500</v>
      </c>
      <c r="I166" s="109">
        <v>29500</v>
      </c>
      <c r="J166" s="110"/>
    </row>
    <row r="167" spans="1:10" x14ac:dyDescent="0.25">
      <c r="A167" s="107" t="s">
        <v>383</v>
      </c>
      <c r="B167" s="110"/>
      <c r="C167" s="109">
        <v>28720</v>
      </c>
      <c r="D167" s="108"/>
      <c r="E167" s="157">
        <v>28720</v>
      </c>
      <c r="F167" s="107"/>
      <c r="G167" s="110"/>
      <c r="H167" s="109">
        <v>28720</v>
      </c>
      <c r="I167" s="108"/>
      <c r="J167" s="20">
        <v>28720</v>
      </c>
    </row>
    <row r="168" spans="1:10" x14ac:dyDescent="0.25">
      <c r="A168" s="107" t="s">
        <v>384</v>
      </c>
      <c r="B168" s="110"/>
      <c r="C168" s="109">
        <v>1590</v>
      </c>
      <c r="D168" s="108"/>
      <c r="E168" s="157">
        <v>1590</v>
      </c>
      <c r="F168" s="107"/>
      <c r="G168" s="110"/>
      <c r="H168" s="109">
        <v>1590</v>
      </c>
      <c r="I168" s="108"/>
      <c r="J168" s="20">
        <v>1590</v>
      </c>
    </row>
    <row r="169" spans="1:10" x14ac:dyDescent="0.25">
      <c r="A169" s="107" t="s">
        <v>385</v>
      </c>
      <c r="B169" s="110"/>
      <c r="C169" s="109">
        <v>108230</v>
      </c>
      <c r="D169" s="108"/>
      <c r="E169" s="157">
        <v>108230</v>
      </c>
      <c r="F169" s="107"/>
      <c r="G169" s="110"/>
      <c r="H169" s="109">
        <v>108230</v>
      </c>
      <c r="I169" s="108"/>
      <c r="J169" s="20">
        <v>108230</v>
      </c>
    </row>
    <row r="170" spans="1:10" x14ac:dyDescent="0.25">
      <c r="A170" s="107" t="s">
        <v>1235</v>
      </c>
      <c r="B170" s="110"/>
      <c r="C170" s="109">
        <v>2210</v>
      </c>
      <c r="D170" s="108"/>
      <c r="E170" s="157">
        <v>2210</v>
      </c>
      <c r="F170" s="107"/>
      <c r="G170" s="110"/>
      <c r="H170" s="109">
        <v>2210</v>
      </c>
      <c r="I170" s="108"/>
      <c r="J170" s="20">
        <v>2210</v>
      </c>
    </row>
    <row r="171" spans="1:10" x14ac:dyDescent="0.25">
      <c r="A171" s="107" t="s">
        <v>386</v>
      </c>
      <c r="B171" s="157">
        <v>21820</v>
      </c>
      <c r="C171" s="108"/>
      <c r="D171" s="108"/>
      <c r="E171" s="157">
        <v>21820</v>
      </c>
      <c r="F171" s="107"/>
      <c r="G171" s="20">
        <v>21820</v>
      </c>
      <c r="H171" s="108"/>
      <c r="I171" s="108"/>
      <c r="J171" s="20">
        <v>21820</v>
      </c>
    </row>
    <row r="172" spans="1:10" x14ac:dyDescent="0.25">
      <c r="A172" s="107" t="s">
        <v>387</v>
      </c>
      <c r="B172" s="157">
        <v>4163.62</v>
      </c>
      <c r="C172" s="108"/>
      <c r="D172" s="108"/>
      <c r="E172" s="157">
        <v>4163.62</v>
      </c>
      <c r="F172" s="107"/>
      <c r="G172" s="20">
        <v>4163.62</v>
      </c>
      <c r="H172" s="108"/>
      <c r="I172" s="108"/>
      <c r="J172" s="20">
        <v>4163.62</v>
      </c>
    </row>
    <row r="173" spans="1:10" x14ac:dyDescent="0.25">
      <c r="A173" s="107" t="s">
        <v>381</v>
      </c>
      <c r="B173" s="110"/>
      <c r="C173" s="109">
        <v>15644</v>
      </c>
      <c r="D173" s="109">
        <v>15644</v>
      </c>
      <c r="E173" s="110"/>
      <c r="F173" s="107"/>
      <c r="G173" s="110"/>
      <c r="H173" s="109">
        <v>15644</v>
      </c>
      <c r="I173" s="109">
        <v>15644</v>
      </c>
      <c r="J173" s="110"/>
    </row>
    <row r="174" spans="1:10" x14ac:dyDescent="0.25">
      <c r="A174" s="107" t="s">
        <v>400</v>
      </c>
      <c r="B174" s="110"/>
      <c r="C174" s="109">
        <v>1032</v>
      </c>
      <c r="D174" s="109">
        <v>1032</v>
      </c>
      <c r="E174" s="110"/>
      <c r="F174" s="107"/>
      <c r="G174" s="110"/>
      <c r="H174" s="109">
        <v>1032</v>
      </c>
      <c r="I174" s="109">
        <v>1032</v>
      </c>
      <c r="J174" s="110"/>
    </row>
    <row r="175" spans="1:10" x14ac:dyDescent="0.25">
      <c r="A175" s="107" t="s">
        <v>389</v>
      </c>
      <c r="B175" s="110"/>
      <c r="C175" s="109">
        <v>2343</v>
      </c>
      <c r="D175" s="109">
        <v>2343</v>
      </c>
      <c r="E175" s="110"/>
      <c r="F175" s="107"/>
      <c r="G175" s="110"/>
      <c r="H175" s="109">
        <v>2343</v>
      </c>
      <c r="I175" s="109">
        <v>2343</v>
      </c>
      <c r="J175" s="110"/>
    </row>
    <row r="176" spans="1:10" x14ac:dyDescent="0.25">
      <c r="A176" s="107" t="s">
        <v>391</v>
      </c>
      <c r="B176" s="158">
        <v>1145</v>
      </c>
      <c r="C176" s="109">
        <v>9877</v>
      </c>
      <c r="D176" s="109">
        <v>7591</v>
      </c>
      <c r="E176" s="157">
        <v>1141</v>
      </c>
      <c r="F176" s="107"/>
      <c r="G176" s="20">
        <v>-1145</v>
      </c>
      <c r="H176" s="109">
        <v>9877</v>
      </c>
      <c r="I176" s="109">
        <v>7591</v>
      </c>
      <c r="J176" s="20">
        <v>1141</v>
      </c>
    </row>
    <row r="177" spans="1:10" x14ac:dyDescent="0.25">
      <c r="A177" s="107" t="s">
        <v>398</v>
      </c>
      <c r="B177" s="158">
        <v>955</v>
      </c>
      <c r="C177" s="109">
        <v>9745</v>
      </c>
      <c r="D177" s="109">
        <v>8224</v>
      </c>
      <c r="E177" s="157">
        <v>566</v>
      </c>
      <c r="F177" s="107"/>
      <c r="G177" s="20">
        <v>-955</v>
      </c>
      <c r="H177" s="109">
        <v>9745</v>
      </c>
      <c r="I177" s="109">
        <v>8224</v>
      </c>
      <c r="J177" s="20">
        <v>566</v>
      </c>
    </row>
    <row r="178" spans="1:10" x14ac:dyDescent="0.25">
      <c r="A178" s="107" t="s">
        <v>1356</v>
      </c>
      <c r="B178" s="110"/>
      <c r="C178" s="109">
        <v>3540</v>
      </c>
      <c r="D178" s="108"/>
      <c r="E178" s="157">
        <v>3540</v>
      </c>
      <c r="F178" s="107"/>
      <c r="G178" s="110"/>
      <c r="H178" s="109">
        <v>3540</v>
      </c>
      <c r="I178" s="108"/>
      <c r="J178" s="20">
        <v>3540</v>
      </c>
    </row>
    <row r="179" spans="1:10" x14ac:dyDescent="0.25">
      <c r="A179" s="107" t="s">
        <v>1236</v>
      </c>
      <c r="B179" s="110"/>
      <c r="C179" s="109">
        <v>20793538.84</v>
      </c>
      <c r="D179" s="109">
        <v>14631153.35</v>
      </c>
      <c r="E179" s="157">
        <v>6162385.4900000002</v>
      </c>
      <c r="F179" s="107"/>
      <c r="G179" s="110"/>
      <c r="H179" s="109">
        <v>20793538.84</v>
      </c>
      <c r="I179" s="109">
        <v>14631153.35</v>
      </c>
      <c r="J179" s="20">
        <v>6162385.4900000002</v>
      </c>
    </row>
    <row r="180" spans="1:10" x14ac:dyDescent="0.25">
      <c r="A180" s="107" t="s">
        <v>404</v>
      </c>
      <c r="B180" s="110"/>
      <c r="C180" s="109">
        <v>2000</v>
      </c>
      <c r="D180" s="109">
        <v>2000</v>
      </c>
      <c r="E180" s="110"/>
      <c r="F180" s="107"/>
      <c r="G180" s="110"/>
      <c r="H180" s="109">
        <v>2000</v>
      </c>
      <c r="I180" s="109">
        <v>2000</v>
      </c>
      <c r="J180" s="110"/>
    </row>
    <row r="181" spans="1:10" x14ac:dyDescent="0.25">
      <c r="A181" s="107" t="s">
        <v>405</v>
      </c>
      <c r="B181" s="158">
        <v>1125</v>
      </c>
      <c r="C181" s="109">
        <v>3938</v>
      </c>
      <c r="D181" s="109">
        <v>2813</v>
      </c>
      <c r="E181" s="110"/>
      <c r="F181" s="107"/>
      <c r="G181" s="20">
        <v>-1125</v>
      </c>
      <c r="H181" s="109">
        <v>3938</v>
      </c>
      <c r="I181" s="109">
        <v>2813</v>
      </c>
      <c r="J181" s="110"/>
    </row>
    <row r="182" spans="1:10" x14ac:dyDescent="0.25">
      <c r="A182" s="107" t="s">
        <v>407</v>
      </c>
      <c r="B182" s="110"/>
      <c r="C182" s="109">
        <v>164</v>
      </c>
      <c r="D182" s="109">
        <v>164</v>
      </c>
      <c r="E182" s="110"/>
      <c r="F182" s="107"/>
      <c r="G182" s="110"/>
      <c r="H182" s="109">
        <v>164</v>
      </c>
      <c r="I182" s="109">
        <v>164</v>
      </c>
      <c r="J182" s="110"/>
    </row>
    <row r="183" spans="1:10" x14ac:dyDescent="0.25">
      <c r="A183" s="107" t="s">
        <v>408</v>
      </c>
      <c r="B183" s="110"/>
      <c r="C183" s="109">
        <v>2164</v>
      </c>
      <c r="D183" s="108"/>
      <c r="E183" s="157">
        <v>2164</v>
      </c>
      <c r="F183" s="107"/>
      <c r="G183" s="110"/>
      <c r="H183" s="109">
        <v>2164</v>
      </c>
      <c r="I183" s="108"/>
      <c r="J183" s="20">
        <v>2164</v>
      </c>
    </row>
    <row r="184" spans="1:10" x14ac:dyDescent="0.25">
      <c r="A184" s="107" t="s">
        <v>1237</v>
      </c>
      <c r="B184" s="110"/>
      <c r="C184" s="109">
        <v>22400</v>
      </c>
      <c r="D184" s="108"/>
      <c r="E184" s="157">
        <v>22400</v>
      </c>
      <c r="F184" s="107"/>
      <c r="G184" s="110"/>
      <c r="H184" s="109">
        <v>22400</v>
      </c>
      <c r="I184" s="108"/>
      <c r="J184" s="20">
        <v>22400</v>
      </c>
    </row>
    <row r="185" spans="1:10" x14ac:dyDescent="0.25">
      <c r="A185" s="107" t="s">
        <v>409</v>
      </c>
      <c r="B185" s="158">
        <v>2490000</v>
      </c>
      <c r="C185" s="108"/>
      <c r="D185" s="108"/>
      <c r="E185" s="158">
        <v>2490000</v>
      </c>
      <c r="F185" s="107"/>
      <c r="G185" s="20">
        <v>-2490000</v>
      </c>
      <c r="H185" s="108"/>
      <c r="I185" s="108"/>
      <c r="J185" s="20">
        <v>-2490000</v>
      </c>
    </row>
    <row r="186" spans="1:10" x14ac:dyDescent="0.25">
      <c r="A186" s="107" t="s">
        <v>412</v>
      </c>
      <c r="B186" s="158">
        <v>79</v>
      </c>
      <c r="C186" s="109">
        <v>1343</v>
      </c>
      <c r="D186" s="109">
        <v>1397</v>
      </c>
      <c r="E186" s="158">
        <v>133</v>
      </c>
      <c r="F186" s="107"/>
      <c r="G186" s="20">
        <v>-79</v>
      </c>
      <c r="H186" s="109">
        <v>1343</v>
      </c>
      <c r="I186" s="109">
        <v>1397</v>
      </c>
      <c r="J186" s="20">
        <v>-133</v>
      </c>
    </row>
    <row r="187" spans="1:10" x14ac:dyDescent="0.25">
      <c r="A187" s="107" t="s">
        <v>413</v>
      </c>
      <c r="B187" s="158">
        <v>265</v>
      </c>
      <c r="C187" s="109">
        <v>2285</v>
      </c>
      <c r="D187" s="109">
        <v>2277</v>
      </c>
      <c r="E187" s="158">
        <v>257</v>
      </c>
      <c r="F187" s="107"/>
      <c r="G187" s="20">
        <v>-265</v>
      </c>
      <c r="H187" s="109">
        <v>2285</v>
      </c>
      <c r="I187" s="109">
        <v>2277</v>
      </c>
      <c r="J187" s="20">
        <v>-257</v>
      </c>
    </row>
    <row r="188" spans="1:10" x14ac:dyDescent="0.25">
      <c r="A188" s="107" t="s">
        <v>416</v>
      </c>
      <c r="B188" s="110"/>
      <c r="C188" s="109">
        <v>4729</v>
      </c>
      <c r="D188" s="109">
        <v>4729</v>
      </c>
      <c r="E188" s="110"/>
      <c r="F188" s="107"/>
      <c r="G188" s="110"/>
      <c r="H188" s="109">
        <v>4729</v>
      </c>
      <c r="I188" s="109">
        <v>4729</v>
      </c>
      <c r="J188" s="110"/>
    </row>
    <row r="189" spans="1:10" x14ac:dyDescent="0.25">
      <c r="A189" s="107" t="s">
        <v>417</v>
      </c>
      <c r="B189" s="158">
        <v>1163</v>
      </c>
      <c r="C189" s="109">
        <v>7591</v>
      </c>
      <c r="D189" s="109">
        <v>6428</v>
      </c>
      <c r="E189" s="110"/>
      <c r="F189" s="107"/>
      <c r="G189" s="20">
        <v>-1163</v>
      </c>
      <c r="H189" s="109">
        <v>7591</v>
      </c>
      <c r="I189" s="109">
        <v>6428</v>
      </c>
      <c r="J189" s="110"/>
    </row>
    <row r="190" spans="1:10" x14ac:dyDescent="0.25">
      <c r="A190" s="107" t="s">
        <v>420</v>
      </c>
      <c r="B190" s="110"/>
      <c r="C190" s="109">
        <v>8104</v>
      </c>
      <c r="D190" s="108"/>
      <c r="E190" s="157">
        <v>8104</v>
      </c>
      <c r="F190" s="107"/>
      <c r="G190" s="110"/>
      <c r="H190" s="109">
        <v>8104</v>
      </c>
      <c r="I190" s="108"/>
      <c r="J190" s="20">
        <v>8104</v>
      </c>
    </row>
    <row r="191" spans="1:10" x14ac:dyDescent="0.25">
      <c r="A191" s="107" t="s">
        <v>421</v>
      </c>
      <c r="B191" s="110"/>
      <c r="C191" s="109">
        <v>6428</v>
      </c>
      <c r="D191" s="108"/>
      <c r="E191" s="157">
        <v>6428</v>
      </c>
      <c r="F191" s="107"/>
      <c r="G191" s="110"/>
      <c r="H191" s="109">
        <v>6428</v>
      </c>
      <c r="I191" s="108"/>
      <c r="J191" s="20">
        <v>6428</v>
      </c>
    </row>
    <row r="192" spans="1:10" x14ac:dyDescent="0.25">
      <c r="A192" s="107" t="s">
        <v>422</v>
      </c>
      <c r="B192" s="158">
        <v>1086</v>
      </c>
      <c r="C192" s="109">
        <v>1086</v>
      </c>
      <c r="D192" s="108"/>
      <c r="E192" s="110"/>
      <c r="F192" s="107"/>
      <c r="G192" s="20">
        <v>-1086</v>
      </c>
      <c r="H192" s="109">
        <v>1086</v>
      </c>
      <c r="I192" s="108"/>
      <c r="J192" s="110"/>
    </row>
    <row r="193" spans="1:10" x14ac:dyDescent="0.25">
      <c r="A193" s="107" t="s">
        <v>1357</v>
      </c>
      <c r="B193" s="110"/>
      <c r="C193" s="109">
        <v>15961.22</v>
      </c>
      <c r="D193" s="108"/>
      <c r="E193" s="157">
        <v>15961.22</v>
      </c>
      <c r="F193" s="107"/>
      <c r="G193" s="110"/>
      <c r="H193" s="109">
        <v>15961.22</v>
      </c>
      <c r="I193" s="108"/>
      <c r="J193" s="20">
        <v>15961.22</v>
      </c>
    </row>
    <row r="194" spans="1:10" x14ac:dyDescent="0.25">
      <c r="A194" s="107" t="s">
        <v>423</v>
      </c>
      <c r="B194" s="110"/>
      <c r="C194" s="109">
        <v>26000</v>
      </c>
      <c r="D194" s="108"/>
      <c r="E194" s="157">
        <v>26000</v>
      </c>
      <c r="F194" s="107"/>
      <c r="G194" s="110"/>
      <c r="H194" s="109">
        <v>26000</v>
      </c>
      <c r="I194" s="108"/>
      <c r="J194" s="20">
        <v>26000</v>
      </c>
    </row>
    <row r="195" spans="1:10" x14ac:dyDescent="0.25">
      <c r="A195" s="107" t="s">
        <v>1238</v>
      </c>
      <c r="B195" s="110"/>
      <c r="C195" s="109">
        <v>130800</v>
      </c>
      <c r="D195" s="108"/>
      <c r="E195" s="157">
        <v>130800</v>
      </c>
      <c r="F195" s="107"/>
      <c r="G195" s="110"/>
      <c r="H195" s="109">
        <v>130800</v>
      </c>
      <c r="I195" s="108"/>
      <c r="J195" s="20">
        <v>130800</v>
      </c>
    </row>
    <row r="196" spans="1:10" x14ac:dyDescent="0.25">
      <c r="A196" s="107" t="s">
        <v>1358</v>
      </c>
      <c r="B196" s="110"/>
      <c r="C196" s="108"/>
      <c r="D196" s="109">
        <v>200000</v>
      </c>
      <c r="E196" s="158">
        <v>200000</v>
      </c>
      <c r="F196" s="107"/>
      <c r="G196" s="110"/>
      <c r="H196" s="108"/>
      <c r="I196" s="109">
        <v>200000</v>
      </c>
      <c r="J196" s="20">
        <v>-200000</v>
      </c>
    </row>
    <row r="197" spans="1:10" x14ac:dyDescent="0.25">
      <c r="A197" s="107" t="s">
        <v>424</v>
      </c>
      <c r="B197" s="157">
        <v>7775</v>
      </c>
      <c r="C197" s="109">
        <v>18000</v>
      </c>
      <c r="D197" s="108"/>
      <c r="E197" s="157">
        <v>25775</v>
      </c>
      <c r="F197" s="107"/>
      <c r="G197" s="20">
        <v>7775</v>
      </c>
      <c r="H197" s="109">
        <v>18000</v>
      </c>
      <c r="I197" s="108"/>
      <c r="J197" s="20">
        <v>25775</v>
      </c>
    </row>
    <row r="198" spans="1:10" x14ac:dyDescent="0.25">
      <c r="A198" s="107" t="s">
        <v>427</v>
      </c>
      <c r="B198" s="110"/>
      <c r="C198" s="109">
        <v>9375</v>
      </c>
      <c r="D198" s="108"/>
      <c r="E198" s="157">
        <v>9375</v>
      </c>
      <c r="F198" s="107"/>
      <c r="G198" s="110"/>
      <c r="H198" s="109">
        <v>9375</v>
      </c>
      <c r="I198" s="108"/>
      <c r="J198" s="20">
        <v>9375</v>
      </c>
    </row>
    <row r="199" spans="1:10" x14ac:dyDescent="0.25">
      <c r="A199" s="107" t="s">
        <v>428</v>
      </c>
      <c r="B199" s="110"/>
      <c r="C199" s="109">
        <v>14973</v>
      </c>
      <c r="D199" s="108"/>
      <c r="E199" s="157">
        <v>14973</v>
      </c>
      <c r="F199" s="107"/>
      <c r="G199" s="110"/>
      <c r="H199" s="109">
        <v>14973</v>
      </c>
      <c r="I199" s="108"/>
      <c r="J199" s="20">
        <v>14973</v>
      </c>
    </row>
    <row r="200" spans="1:10" x14ac:dyDescent="0.25">
      <c r="A200" s="107" t="s">
        <v>429</v>
      </c>
      <c r="B200" s="110"/>
      <c r="C200" s="109">
        <v>36091</v>
      </c>
      <c r="D200" s="108"/>
      <c r="E200" s="157">
        <v>36091</v>
      </c>
      <c r="F200" s="107"/>
      <c r="G200" s="110"/>
      <c r="H200" s="109">
        <v>36091</v>
      </c>
      <c r="I200" s="108"/>
      <c r="J200" s="20">
        <v>36091</v>
      </c>
    </row>
    <row r="201" spans="1:10" x14ac:dyDescent="0.25">
      <c r="A201" s="107" t="s">
        <v>430</v>
      </c>
      <c r="B201" s="110"/>
      <c r="C201" s="108"/>
      <c r="D201" s="109">
        <v>1060335</v>
      </c>
      <c r="E201" s="158">
        <v>1060335</v>
      </c>
      <c r="F201" s="107"/>
      <c r="G201" s="110"/>
      <c r="H201" s="108"/>
      <c r="I201" s="109">
        <v>1060335</v>
      </c>
      <c r="J201" s="20">
        <v>-1060335</v>
      </c>
    </row>
    <row r="202" spans="1:10" x14ac:dyDescent="0.25">
      <c r="A202" s="107" t="s">
        <v>1359</v>
      </c>
      <c r="B202" s="110"/>
      <c r="C202" s="109">
        <v>4784.1899999999996</v>
      </c>
      <c r="D202" s="108"/>
      <c r="E202" s="157">
        <v>4784.1899999999996</v>
      </c>
      <c r="F202" s="107"/>
      <c r="G202" s="110"/>
      <c r="H202" s="109">
        <v>4784.1899999999996</v>
      </c>
      <c r="I202" s="108"/>
      <c r="J202" s="20">
        <v>4784.1899999999996</v>
      </c>
    </row>
    <row r="203" spans="1:10" x14ac:dyDescent="0.25">
      <c r="A203" s="107" t="s">
        <v>431</v>
      </c>
      <c r="B203" s="157">
        <v>5383.47</v>
      </c>
      <c r="C203" s="108"/>
      <c r="D203" s="108"/>
      <c r="E203" s="157">
        <v>5383.47</v>
      </c>
      <c r="F203" s="107"/>
      <c r="G203" s="20">
        <v>5383.47</v>
      </c>
      <c r="H203" s="108"/>
      <c r="I203" s="108"/>
      <c r="J203" s="20">
        <v>5383.47</v>
      </c>
    </row>
    <row r="204" spans="1:10" x14ac:dyDescent="0.25">
      <c r="A204" s="107" t="s">
        <v>1302</v>
      </c>
      <c r="B204" s="110"/>
      <c r="C204" s="109">
        <v>200</v>
      </c>
      <c r="D204" s="108"/>
      <c r="E204" s="157">
        <v>200</v>
      </c>
      <c r="F204" s="107"/>
      <c r="G204" s="110"/>
      <c r="H204" s="109">
        <v>200</v>
      </c>
      <c r="I204" s="108"/>
      <c r="J204" s="20">
        <v>200</v>
      </c>
    </row>
    <row r="205" spans="1:10" x14ac:dyDescent="0.25">
      <c r="A205" s="107" t="s">
        <v>1087</v>
      </c>
      <c r="B205" s="110"/>
      <c r="C205" s="109">
        <v>75600</v>
      </c>
      <c r="D205" s="109">
        <v>100800</v>
      </c>
      <c r="E205" s="158">
        <v>25200</v>
      </c>
      <c r="F205" s="107"/>
      <c r="G205" s="110"/>
      <c r="H205" s="109">
        <v>75600</v>
      </c>
      <c r="I205" s="109">
        <v>100800</v>
      </c>
      <c r="J205" s="20">
        <v>-25200</v>
      </c>
    </row>
    <row r="206" spans="1:10" x14ac:dyDescent="0.25">
      <c r="A206" s="107" t="s">
        <v>432</v>
      </c>
      <c r="B206" s="158">
        <v>3366666.67</v>
      </c>
      <c r="C206" s="109">
        <v>2184388</v>
      </c>
      <c r="D206" s="109">
        <v>32184388</v>
      </c>
      <c r="E206" s="158">
        <v>33366666.670000002</v>
      </c>
      <c r="F206" s="107"/>
      <c r="G206" s="20">
        <v>-3366666.67</v>
      </c>
      <c r="H206" s="109">
        <v>2184388</v>
      </c>
      <c r="I206" s="109">
        <v>32184388</v>
      </c>
      <c r="J206" s="20">
        <v>-33366666.670000002</v>
      </c>
    </row>
    <row r="207" spans="1:10" x14ac:dyDescent="0.25">
      <c r="A207" s="107" t="s">
        <v>1360</v>
      </c>
      <c r="B207" s="110"/>
      <c r="C207" s="109">
        <v>100000</v>
      </c>
      <c r="D207" s="108"/>
      <c r="E207" s="157">
        <v>100000</v>
      </c>
      <c r="F207" s="107"/>
      <c r="G207" s="110"/>
      <c r="H207" s="109">
        <v>100000</v>
      </c>
      <c r="I207" s="108"/>
      <c r="J207" s="20">
        <v>100000</v>
      </c>
    </row>
    <row r="208" spans="1:10" x14ac:dyDescent="0.25">
      <c r="A208" s="107" t="s">
        <v>433</v>
      </c>
      <c r="B208" s="157">
        <v>5154.6400000000003</v>
      </c>
      <c r="C208" s="108"/>
      <c r="D208" s="108"/>
      <c r="E208" s="157">
        <v>5154.6400000000003</v>
      </c>
      <c r="F208" s="107"/>
      <c r="G208" s="20">
        <v>5154.6400000000003</v>
      </c>
      <c r="H208" s="108"/>
      <c r="I208" s="108"/>
      <c r="J208" s="20">
        <v>5154.6400000000003</v>
      </c>
    </row>
    <row r="209" spans="1:10" x14ac:dyDescent="0.25">
      <c r="A209" s="107" t="s">
        <v>434</v>
      </c>
      <c r="B209" s="157">
        <v>405.6</v>
      </c>
      <c r="C209" s="108"/>
      <c r="D209" s="108"/>
      <c r="E209" s="157">
        <v>405.6</v>
      </c>
      <c r="F209" s="107"/>
      <c r="G209" s="20">
        <v>405.6</v>
      </c>
      <c r="H209" s="108"/>
      <c r="I209" s="108"/>
      <c r="J209" s="20">
        <v>405.6</v>
      </c>
    </row>
    <row r="210" spans="1:10" x14ac:dyDescent="0.25">
      <c r="A210" s="107" t="s">
        <v>1361</v>
      </c>
      <c r="B210" s="110"/>
      <c r="C210" s="109">
        <v>343350</v>
      </c>
      <c r="D210" s="109">
        <v>1027950</v>
      </c>
      <c r="E210" s="158">
        <v>684600</v>
      </c>
      <c r="F210" s="107"/>
      <c r="G210" s="110"/>
      <c r="H210" s="109">
        <v>343350</v>
      </c>
      <c r="I210" s="109">
        <v>1027950</v>
      </c>
      <c r="J210" s="20">
        <v>-684600</v>
      </c>
    </row>
    <row r="211" spans="1:10" x14ac:dyDescent="0.25">
      <c r="A211" s="107" t="s">
        <v>457</v>
      </c>
      <c r="B211" s="157">
        <v>4557</v>
      </c>
      <c r="C211" s="108"/>
      <c r="D211" s="109">
        <v>4557</v>
      </c>
      <c r="E211" s="110"/>
      <c r="F211" s="107"/>
      <c r="G211" s="20">
        <v>4557</v>
      </c>
      <c r="H211" s="108"/>
      <c r="I211" s="109">
        <v>4557</v>
      </c>
      <c r="J211" s="110"/>
    </row>
    <row r="212" spans="1:10" x14ac:dyDescent="0.25">
      <c r="A212" s="107" t="s">
        <v>459</v>
      </c>
      <c r="B212" s="157">
        <v>55038</v>
      </c>
      <c r="C212" s="108"/>
      <c r="D212" s="109">
        <v>55038</v>
      </c>
      <c r="E212" s="110"/>
      <c r="F212" s="107"/>
      <c r="G212" s="20">
        <v>55038</v>
      </c>
      <c r="H212" s="108"/>
      <c r="I212" s="109">
        <v>55038</v>
      </c>
      <c r="J212" s="110"/>
    </row>
    <row r="213" spans="1:10" x14ac:dyDescent="0.25">
      <c r="A213" s="107" t="s">
        <v>464</v>
      </c>
      <c r="B213" s="110"/>
      <c r="C213" s="108"/>
      <c r="D213" s="109">
        <v>4294453.88</v>
      </c>
      <c r="E213" s="158">
        <v>4294453.88</v>
      </c>
      <c r="F213" s="107"/>
      <c r="G213" s="110"/>
      <c r="H213" s="108"/>
      <c r="I213" s="109">
        <v>4294453.88</v>
      </c>
      <c r="J213" s="20">
        <v>-4294453.88</v>
      </c>
    </row>
    <row r="214" spans="1:10" x14ac:dyDescent="0.25">
      <c r="A214" s="107" t="s">
        <v>436</v>
      </c>
      <c r="B214" s="157">
        <v>750921</v>
      </c>
      <c r="C214" s="108"/>
      <c r="D214" s="109">
        <v>768631</v>
      </c>
      <c r="E214" s="158">
        <v>17710</v>
      </c>
      <c r="F214" s="107"/>
      <c r="G214" s="20">
        <v>750921</v>
      </c>
      <c r="H214" s="108"/>
      <c r="I214" s="109">
        <v>768631</v>
      </c>
      <c r="J214" s="20">
        <v>-17710</v>
      </c>
    </row>
    <row r="215" spans="1:10" x14ac:dyDescent="0.25">
      <c r="A215" s="107" t="s">
        <v>438</v>
      </c>
      <c r="B215" s="157">
        <v>3753947</v>
      </c>
      <c r="C215" s="108"/>
      <c r="D215" s="109">
        <v>3842724</v>
      </c>
      <c r="E215" s="158">
        <v>88777</v>
      </c>
      <c r="F215" s="107"/>
      <c r="G215" s="20">
        <v>3753947</v>
      </c>
      <c r="H215" s="108"/>
      <c r="I215" s="109">
        <v>3842724</v>
      </c>
      <c r="J215" s="20">
        <v>-88777</v>
      </c>
    </row>
    <row r="216" spans="1:10" x14ac:dyDescent="0.25">
      <c r="A216" s="107" t="s">
        <v>439</v>
      </c>
      <c r="B216" s="157">
        <v>1001053</v>
      </c>
      <c r="C216" s="108"/>
      <c r="D216" s="109">
        <v>1020808</v>
      </c>
      <c r="E216" s="158">
        <v>19755</v>
      </c>
      <c r="F216" s="107"/>
      <c r="G216" s="20">
        <v>1001053</v>
      </c>
      <c r="H216" s="108"/>
      <c r="I216" s="109">
        <v>1020808</v>
      </c>
      <c r="J216" s="20">
        <v>-19755</v>
      </c>
    </row>
    <row r="217" spans="1:10" x14ac:dyDescent="0.25">
      <c r="A217" s="107" t="s">
        <v>441</v>
      </c>
      <c r="B217" s="157">
        <v>1000000</v>
      </c>
      <c r="C217" s="108"/>
      <c r="D217" s="109">
        <v>987478</v>
      </c>
      <c r="E217" s="157">
        <v>12522</v>
      </c>
      <c r="F217" s="107"/>
      <c r="G217" s="20">
        <v>1000000</v>
      </c>
      <c r="H217" s="108"/>
      <c r="I217" s="109">
        <v>987478</v>
      </c>
      <c r="J217" s="20">
        <v>12522</v>
      </c>
    </row>
    <row r="218" spans="1:10" x14ac:dyDescent="0.25">
      <c r="A218" s="107" t="s">
        <v>442</v>
      </c>
      <c r="B218" s="157">
        <v>281099.62</v>
      </c>
      <c r="C218" s="108"/>
      <c r="D218" s="109">
        <v>288539.62</v>
      </c>
      <c r="E218" s="158">
        <v>7440</v>
      </c>
      <c r="F218" s="107"/>
      <c r="G218" s="20">
        <v>281099.62</v>
      </c>
      <c r="H218" s="108"/>
      <c r="I218" s="109">
        <v>288539.62</v>
      </c>
      <c r="J218" s="20">
        <v>-7440</v>
      </c>
    </row>
    <row r="219" spans="1:10" x14ac:dyDescent="0.25">
      <c r="A219" s="107" t="s">
        <v>448</v>
      </c>
      <c r="B219" s="157">
        <v>1800667.22</v>
      </c>
      <c r="C219" s="108"/>
      <c r="D219" s="109">
        <v>1806579.22</v>
      </c>
      <c r="E219" s="158">
        <v>5912</v>
      </c>
      <c r="F219" s="107"/>
      <c r="G219" s="20">
        <v>1800667.22</v>
      </c>
      <c r="H219" s="108"/>
      <c r="I219" s="109">
        <v>1806579.22</v>
      </c>
      <c r="J219" s="20">
        <v>-5912</v>
      </c>
    </row>
    <row r="220" spans="1:10" x14ac:dyDescent="0.25">
      <c r="A220" s="107" t="s">
        <v>454</v>
      </c>
      <c r="B220" s="157">
        <v>756052</v>
      </c>
      <c r="C220" s="108"/>
      <c r="D220" s="109">
        <v>772511</v>
      </c>
      <c r="E220" s="158">
        <v>16459</v>
      </c>
      <c r="F220" s="107"/>
      <c r="G220" s="20">
        <v>756052</v>
      </c>
      <c r="H220" s="108"/>
      <c r="I220" s="109">
        <v>772511</v>
      </c>
      <c r="J220" s="20">
        <v>-16459</v>
      </c>
    </row>
    <row r="221" spans="1:10" x14ac:dyDescent="0.25">
      <c r="A221" s="107" t="s">
        <v>455</v>
      </c>
      <c r="B221" s="157">
        <v>500347.67</v>
      </c>
      <c r="C221" s="108"/>
      <c r="D221" s="109">
        <v>498137.67</v>
      </c>
      <c r="E221" s="157">
        <v>2210</v>
      </c>
      <c r="F221" s="107"/>
      <c r="G221" s="20">
        <v>500347.67</v>
      </c>
      <c r="H221" s="108"/>
      <c r="I221" s="109">
        <v>498137.67</v>
      </c>
      <c r="J221" s="20">
        <v>2210</v>
      </c>
    </row>
    <row r="222" spans="1:10" x14ac:dyDescent="0.25">
      <c r="A222" s="107" t="s">
        <v>440</v>
      </c>
      <c r="B222" s="157">
        <v>501665</v>
      </c>
      <c r="C222" s="108"/>
      <c r="D222" s="109">
        <v>500499</v>
      </c>
      <c r="E222" s="157">
        <v>1166</v>
      </c>
      <c r="F222" s="107"/>
      <c r="G222" s="20">
        <v>501665</v>
      </c>
      <c r="H222" s="108"/>
      <c r="I222" s="109">
        <v>500499</v>
      </c>
      <c r="J222" s="20">
        <v>1166</v>
      </c>
    </row>
    <row r="223" spans="1:10" x14ac:dyDescent="0.25">
      <c r="A223" s="107" t="s">
        <v>1038</v>
      </c>
      <c r="B223" s="110"/>
      <c r="C223" s="109">
        <v>5000000</v>
      </c>
      <c r="D223" s="109">
        <v>5003329</v>
      </c>
      <c r="E223" s="158">
        <v>3329</v>
      </c>
      <c r="F223" s="107"/>
      <c r="G223" s="110"/>
      <c r="H223" s="109">
        <v>5000000</v>
      </c>
      <c r="I223" s="109">
        <v>5003329</v>
      </c>
      <c r="J223" s="20">
        <v>-3329</v>
      </c>
    </row>
    <row r="224" spans="1:10" x14ac:dyDescent="0.25">
      <c r="A224" s="107" t="s">
        <v>1039</v>
      </c>
      <c r="B224" s="110"/>
      <c r="C224" s="109">
        <v>5000000</v>
      </c>
      <c r="D224" s="109">
        <v>5003329</v>
      </c>
      <c r="E224" s="158">
        <v>3329</v>
      </c>
      <c r="F224" s="107"/>
      <c r="G224" s="110"/>
      <c r="H224" s="109">
        <v>5000000</v>
      </c>
      <c r="I224" s="109">
        <v>5003329</v>
      </c>
      <c r="J224" s="20">
        <v>-3329</v>
      </c>
    </row>
    <row r="225" spans="1:10" x14ac:dyDescent="0.25">
      <c r="A225" s="107" t="s">
        <v>1040</v>
      </c>
      <c r="B225" s="110"/>
      <c r="C225" s="109">
        <v>4000000</v>
      </c>
      <c r="D225" s="109">
        <v>4002663</v>
      </c>
      <c r="E225" s="158">
        <v>2663</v>
      </c>
      <c r="F225" s="107"/>
      <c r="G225" s="110"/>
      <c r="H225" s="109">
        <v>4000000</v>
      </c>
      <c r="I225" s="109">
        <v>4002663</v>
      </c>
      <c r="J225" s="20">
        <v>-2663</v>
      </c>
    </row>
    <row r="226" spans="1:10" x14ac:dyDescent="0.25">
      <c r="A226" s="107" t="s">
        <v>1239</v>
      </c>
      <c r="B226" s="110"/>
      <c r="C226" s="109">
        <v>5000000</v>
      </c>
      <c r="D226" s="109">
        <v>710615.12</v>
      </c>
      <c r="E226" s="157">
        <v>4289384.88</v>
      </c>
      <c r="F226" s="107"/>
      <c r="G226" s="110"/>
      <c r="H226" s="109">
        <v>5000000</v>
      </c>
      <c r="I226" s="109">
        <v>710615.12</v>
      </c>
      <c r="J226" s="20">
        <v>4289384.88</v>
      </c>
    </row>
    <row r="227" spans="1:10" x14ac:dyDescent="0.25">
      <c r="A227" s="107" t="s">
        <v>1240</v>
      </c>
      <c r="B227" s="110"/>
      <c r="C227" s="109">
        <v>5000000</v>
      </c>
      <c r="D227" s="109">
        <v>5004716</v>
      </c>
      <c r="E227" s="158">
        <v>4716</v>
      </c>
      <c r="F227" s="107"/>
      <c r="G227" s="110"/>
      <c r="H227" s="109">
        <v>5000000</v>
      </c>
      <c r="I227" s="109">
        <v>5004716</v>
      </c>
      <c r="J227" s="20">
        <v>-4716</v>
      </c>
    </row>
    <row r="228" spans="1:10" x14ac:dyDescent="0.25">
      <c r="A228" s="107" t="s">
        <v>1241</v>
      </c>
      <c r="B228" s="110"/>
      <c r="C228" s="109">
        <v>5000000</v>
      </c>
      <c r="D228" s="109">
        <v>5004716</v>
      </c>
      <c r="E228" s="158">
        <v>4716</v>
      </c>
      <c r="F228" s="107"/>
      <c r="G228" s="110"/>
      <c r="H228" s="109">
        <v>5000000</v>
      </c>
      <c r="I228" s="109">
        <v>5004716</v>
      </c>
      <c r="J228" s="20">
        <v>-4716</v>
      </c>
    </row>
    <row r="229" spans="1:10" x14ac:dyDescent="0.25">
      <c r="A229" s="107" t="s">
        <v>1242</v>
      </c>
      <c r="B229" s="110"/>
      <c r="C229" s="109">
        <v>5000000</v>
      </c>
      <c r="D229" s="109">
        <v>5004298</v>
      </c>
      <c r="E229" s="158">
        <v>4298</v>
      </c>
      <c r="F229" s="107"/>
      <c r="G229" s="110"/>
      <c r="H229" s="109">
        <v>5000000</v>
      </c>
      <c r="I229" s="109">
        <v>5004298</v>
      </c>
      <c r="J229" s="20">
        <v>-4298</v>
      </c>
    </row>
    <row r="230" spans="1:10" x14ac:dyDescent="0.25">
      <c r="A230" s="107" t="s">
        <v>1243</v>
      </c>
      <c r="B230" s="110"/>
      <c r="C230" s="109">
        <v>5000000</v>
      </c>
      <c r="D230" s="109">
        <v>5003401</v>
      </c>
      <c r="E230" s="158">
        <v>3401</v>
      </c>
      <c r="F230" s="107"/>
      <c r="G230" s="110"/>
      <c r="H230" s="109">
        <v>5000000</v>
      </c>
      <c r="I230" s="109">
        <v>5003401</v>
      </c>
      <c r="J230" s="20">
        <v>-3401</v>
      </c>
    </row>
    <row r="231" spans="1:10" x14ac:dyDescent="0.25">
      <c r="A231" s="107" t="s">
        <v>1303</v>
      </c>
      <c r="B231" s="110"/>
      <c r="C231" s="109">
        <v>5000000</v>
      </c>
      <c r="D231" s="109">
        <v>2308770.66</v>
      </c>
      <c r="E231" s="157">
        <v>2691229.34</v>
      </c>
      <c r="F231" s="107"/>
      <c r="G231" s="110"/>
      <c r="H231" s="109">
        <v>5000000</v>
      </c>
      <c r="I231" s="109">
        <v>2308770.66</v>
      </c>
      <c r="J231" s="20">
        <v>2691229.34</v>
      </c>
    </row>
    <row r="232" spans="1:10" x14ac:dyDescent="0.25">
      <c r="A232" s="107" t="s">
        <v>1304</v>
      </c>
      <c r="B232" s="110"/>
      <c r="C232" s="109">
        <v>5000000</v>
      </c>
      <c r="D232" s="109">
        <v>7691229.3399999999</v>
      </c>
      <c r="E232" s="158">
        <v>2691229.34</v>
      </c>
      <c r="F232" s="107"/>
      <c r="G232" s="110"/>
      <c r="H232" s="109">
        <v>5000000</v>
      </c>
      <c r="I232" s="109">
        <v>7691229.3399999999</v>
      </c>
      <c r="J232" s="20">
        <v>-2691229.34</v>
      </c>
    </row>
    <row r="233" spans="1:10" x14ac:dyDescent="0.25">
      <c r="A233" s="107" t="s">
        <v>1362</v>
      </c>
      <c r="B233" s="110"/>
      <c r="C233" s="109">
        <v>5000000</v>
      </c>
      <c r="D233" s="108"/>
      <c r="E233" s="157">
        <v>5000000</v>
      </c>
      <c r="F233" s="107"/>
      <c r="G233" s="110"/>
      <c r="H233" s="109">
        <v>5000000</v>
      </c>
      <c r="I233" s="108"/>
      <c r="J233" s="20">
        <v>5000000</v>
      </c>
    </row>
    <row r="234" spans="1:10" x14ac:dyDescent="0.25">
      <c r="A234" s="107" t="s">
        <v>1363</v>
      </c>
      <c r="B234" s="110"/>
      <c r="C234" s="109">
        <v>5000000</v>
      </c>
      <c r="D234" s="108"/>
      <c r="E234" s="157">
        <v>5000000</v>
      </c>
      <c r="F234" s="107"/>
      <c r="G234" s="110"/>
      <c r="H234" s="109">
        <v>5000000</v>
      </c>
      <c r="I234" s="108"/>
      <c r="J234" s="20">
        <v>5000000</v>
      </c>
    </row>
    <row r="235" spans="1:10" x14ac:dyDescent="0.25">
      <c r="A235" s="107" t="s">
        <v>1364</v>
      </c>
      <c r="B235" s="110"/>
      <c r="C235" s="109">
        <v>5000000</v>
      </c>
      <c r="D235" s="108"/>
      <c r="E235" s="157">
        <v>5000000</v>
      </c>
      <c r="F235" s="107"/>
      <c r="G235" s="110"/>
      <c r="H235" s="109">
        <v>5000000</v>
      </c>
      <c r="I235" s="108"/>
      <c r="J235" s="20">
        <v>5000000</v>
      </c>
    </row>
    <row r="236" spans="1:10" x14ac:dyDescent="0.25">
      <c r="A236" s="107" t="s">
        <v>1365</v>
      </c>
      <c r="B236" s="110"/>
      <c r="C236" s="109">
        <v>5000000</v>
      </c>
      <c r="D236" s="109">
        <v>446098.28</v>
      </c>
      <c r="E236" s="157">
        <v>4553901.72</v>
      </c>
      <c r="F236" s="107"/>
      <c r="G236" s="110"/>
      <c r="H236" s="109">
        <v>5000000</v>
      </c>
      <c r="I236" s="109">
        <v>446098.28</v>
      </c>
      <c r="J236" s="20">
        <v>4553901.72</v>
      </c>
    </row>
    <row r="237" spans="1:10" x14ac:dyDescent="0.25">
      <c r="A237" s="107" t="s">
        <v>1366</v>
      </c>
      <c r="B237" s="110"/>
      <c r="C237" s="109">
        <v>5000000</v>
      </c>
      <c r="D237" s="109">
        <v>5000000</v>
      </c>
      <c r="E237" s="110"/>
      <c r="F237" s="107"/>
      <c r="G237" s="110"/>
      <c r="H237" s="109">
        <v>5000000</v>
      </c>
      <c r="I237" s="109">
        <v>5000000</v>
      </c>
      <c r="J237" s="110"/>
    </row>
    <row r="238" spans="1:10" x14ac:dyDescent="0.25">
      <c r="A238" s="107" t="s">
        <v>1114</v>
      </c>
      <c r="B238" s="110"/>
      <c r="C238" s="109">
        <v>1000000</v>
      </c>
      <c r="D238" s="109">
        <v>922688.04</v>
      </c>
      <c r="E238" s="157">
        <v>77311.960000000006</v>
      </c>
      <c r="F238" s="107"/>
      <c r="G238" s="110"/>
      <c r="H238" s="109">
        <v>1000000</v>
      </c>
      <c r="I238" s="109">
        <v>922688.04</v>
      </c>
      <c r="J238" s="20">
        <v>77311.960000000006</v>
      </c>
    </row>
    <row r="239" spans="1:10" x14ac:dyDescent="0.25">
      <c r="A239" s="107" t="s">
        <v>1115</v>
      </c>
      <c r="B239" s="110"/>
      <c r="C239" s="109">
        <v>1000000</v>
      </c>
      <c r="D239" s="109">
        <v>1005955</v>
      </c>
      <c r="E239" s="158">
        <v>5955</v>
      </c>
      <c r="F239" s="107"/>
      <c r="G239" s="110"/>
      <c r="H239" s="109">
        <v>1000000</v>
      </c>
      <c r="I239" s="109">
        <v>1005955</v>
      </c>
      <c r="J239" s="20">
        <v>-5955</v>
      </c>
    </row>
    <row r="240" spans="1:10" x14ac:dyDescent="0.25">
      <c r="A240" s="107" t="s">
        <v>1116</v>
      </c>
      <c r="B240" s="110"/>
      <c r="C240" s="109">
        <v>1000000</v>
      </c>
      <c r="D240" s="109">
        <v>1005954</v>
      </c>
      <c r="E240" s="158">
        <v>5954</v>
      </c>
      <c r="F240" s="107"/>
      <c r="G240" s="110"/>
      <c r="H240" s="109">
        <v>1000000</v>
      </c>
      <c r="I240" s="109">
        <v>1005954</v>
      </c>
      <c r="J240" s="20">
        <v>-5954</v>
      </c>
    </row>
    <row r="241" spans="1:10" x14ac:dyDescent="0.25">
      <c r="A241" s="107" t="s">
        <v>1117</v>
      </c>
      <c r="B241" s="110"/>
      <c r="C241" s="109">
        <v>1000000</v>
      </c>
      <c r="D241" s="109">
        <v>1005955</v>
      </c>
      <c r="E241" s="158">
        <v>5955</v>
      </c>
      <c r="F241" s="107"/>
      <c r="G241" s="110"/>
      <c r="H241" s="109">
        <v>1000000</v>
      </c>
      <c r="I241" s="109">
        <v>1005955</v>
      </c>
      <c r="J241" s="20">
        <v>-5955</v>
      </c>
    </row>
    <row r="242" spans="1:10" x14ac:dyDescent="0.25">
      <c r="A242" s="107" t="s">
        <v>1118</v>
      </c>
      <c r="B242" s="110"/>
      <c r="C242" s="109">
        <v>1000000</v>
      </c>
      <c r="D242" s="109">
        <v>1005899</v>
      </c>
      <c r="E242" s="158">
        <v>5899</v>
      </c>
      <c r="F242" s="107"/>
      <c r="G242" s="110"/>
      <c r="H242" s="109">
        <v>1000000</v>
      </c>
      <c r="I242" s="109">
        <v>1005899</v>
      </c>
      <c r="J242" s="20">
        <v>-5899</v>
      </c>
    </row>
    <row r="243" spans="1:10" x14ac:dyDescent="0.25">
      <c r="A243" s="107" t="s">
        <v>1119</v>
      </c>
      <c r="B243" s="110"/>
      <c r="C243" s="109">
        <v>1000000</v>
      </c>
      <c r="D243" s="109">
        <v>1003557</v>
      </c>
      <c r="E243" s="158">
        <v>3557</v>
      </c>
      <c r="F243" s="107"/>
      <c r="G243" s="110"/>
      <c r="H243" s="109">
        <v>1000000</v>
      </c>
      <c r="I243" s="109">
        <v>1003557</v>
      </c>
      <c r="J243" s="20">
        <v>-3557</v>
      </c>
    </row>
    <row r="244" spans="1:10" x14ac:dyDescent="0.25">
      <c r="A244" s="107" t="s">
        <v>1120</v>
      </c>
      <c r="B244" s="110"/>
      <c r="C244" s="109">
        <v>1000000</v>
      </c>
      <c r="D244" s="109">
        <v>1002226</v>
      </c>
      <c r="E244" s="158">
        <v>2226</v>
      </c>
      <c r="F244" s="107"/>
      <c r="G244" s="110"/>
      <c r="H244" s="109">
        <v>1000000</v>
      </c>
      <c r="I244" s="109">
        <v>1002226</v>
      </c>
      <c r="J244" s="20">
        <v>-2226</v>
      </c>
    </row>
    <row r="245" spans="1:10" x14ac:dyDescent="0.25">
      <c r="A245" s="107" t="s">
        <v>1121</v>
      </c>
      <c r="B245" s="110"/>
      <c r="C245" s="109">
        <v>1000000</v>
      </c>
      <c r="D245" s="109">
        <v>1002108</v>
      </c>
      <c r="E245" s="158">
        <v>2108</v>
      </c>
      <c r="F245" s="107"/>
      <c r="G245" s="110"/>
      <c r="H245" s="109">
        <v>1000000</v>
      </c>
      <c r="I245" s="109">
        <v>1002108</v>
      </c>
      <c r="J245" s="20">
        <v>-2108</v>
      </c>
    </row>
    <row r="246" spans="1:10" x14ac:dyDescent="0.25">
      <c r="A246" s="107" t="s">
        <v>1122</v>
      </c>
      <c r="B246" s="110"/>
      <c r="C246" s="109">
        <v>1000000</v>
      </c>
      <c r="D246" s="109">
        <v>1002113</v>
      </c>
      <c r="E246" s="158">
        <v>2113</v>
      </c>
      <c r="F246" s="107"/>
      <c r="G246" s="110"/>
      <c r="H246" s="109">
        <v>1000000</v>
      </c>
      <c r="I246" s="109">
        <v>1002113</v>
      </c>
      <c r="J246" s="20">
        <v>-2113</v>
      </c>
    </row>
    <row r="247" spans="1:10" x14ac:dyDescent="0.25">
      <c r="A247" s="107" t="s">
        <v>1123</v>
      </c>
      <c r="B247" s="110"/>
      <c r="C247" s="109">
        <v>1000000</v>
      </c>
      <c r="D247" s="109">
        <v>1002139</v>
      </c>
      <c r="E247" s="158">
        <v>2139</v>
      </c>
      <c r="F247" s="107"/>
      <c r="G247" s="110"/>
      <c r="H247" s="109">
        <v>1000000</v>
      </c>
      <c r="I247" s="109">
        <v>1002139</v>
      </c>
      <c r="J247" s="20">
        <v>-2139</v>
      </c>
    </row>
    <row r="248" spans="1:10" x14ac:dyDescent="0.25">
      <c r="A248" s="107" t="s">
        <v>1124</v>
      </c>
      <c r="B248" s="110"/>
      <c r="C248" s="109">
        <v>1000000</v>
      </c>
      <c r="D248" s="109">
        <v>1001814</v>
      </c>
      <c r="E248" s="158">
        <v>1814</v>
      </c>
      <c r="F248" s="107"/>
      <c r="G248" s="110"/>
      <c r="H248" s="109">
        <v>1000000</v>
      </c>
      <c r="I248" s="109">
        <v>1001814</v>
      </c>
      <c r="J248" s="20">
        <v>-1814</v>
      </c>
    </row>
    <row r="249" spans="1:10" x14ac:dyDescent="0.25">
      <c r="A249" s="107" t="s">
        <v>1125</v>
      </c>
      <c r="B249" s="110"/>
      <c r="C249" s="109">
        <v>1000000</v>
      </c>
      <c r="D249" s="109">
        <v>1001687</v>
      </c>
      <c r="E249" s="158">
        <v>1687</v>
      </c>
      <c r="F249" s="107"/>
      <c r="G249" s="110"/>
      <c r="H249" s="109">
        <v>1000000</v>
      </c>
      <c r="I249" s="109">
        <v>1001687</v>
      </c>
      <c r="J249" s="20">
        <v>-1687</v>
      </c>
    </row>
    <row r="250" spans="1:10" x14ac:dyDescent="0.25">
      <c r="A250" s="107" t="s">
        <v>1126</v>
      </c>
      <c r="B250" s="110"/>
      <c r="C250" s="109">
        <v>1000000</v>
      </c>
      <c r="D250" s="109">
        <v>1001388</v>
      </c>
      <c r="E250" s="158">
        <v>1388</v>
      </c>
      <c r="F250" s="107"/>
      <c r="G250" s="110"/>
      <c r="H250" s="109">
        <v>1000000</v>
      </c>
      <c r="I250" s="109">
        <v>1001388</v>
      </c>
      <c r="J250" s="20">
        <v>-1388</v>
      </c>
    </row>
    <row r="251" spans="1:10" x14ac:dyDescent="0.25">
      <c r="A251" s="107" t="s">
        <v>1127</v>
      </c>
      <c r="B251" s="110"/>
      <c r="C251" s="109">
        <v>1000000</v>
      </c>
      <c r="D251" s="109">
        <v>1001295</v>
      </c>
      <c r="E251" s="158">
        <v>1295</v>
      </c>
      <c r="F251" s="107"/>
      <c r="G251" s="110"/>
      <c r="H251" s="109">
        <v>1000000</v>
      </c>
      <c r="I251" s="109">
        <v>1001295</v>
      </c>
      <c r="J251" s="20">
        <v>-1295</v>
      </c>
    </row>
    <row r="252" spans="1:10" x14ac:dyDescent="0.25">
      <c r="A252" s="107" t="s">
        <v>1128</v>
      </c>
      <c r="B252" s="110"/>
      <c r="C252" s="109">
        <v>1000000</v>
      </c>
      <c r="D252" s="109">
        <v>1001197</v>
      </c>
      <c r="E252" s="158">
        <v>1197</v>
      </c>
      <c r="F252" s="107"/>
      <c r="G252" s="110"/>
      <c r="H252" s="109">
        <v>1000000</v>
      </c>
      <c r="I252" s="109">
        <v>1001197</v>
      </c>
      <c r="J252" s="20">
        <v>-1197</v>
      </c>
    </row>
    <row r="253" spans="1:10" x14ac:dyDescent="0.25">
      <c r="A253" s="107" t="s">
        <v>1041</v>
      </c>
      <c r="B253" s="110"/>
      <c r="C253" s="109">
        <v>1000000</v>
      </c>
      <c r="D253" s="109">
        <v>1000056</v>
      </c>
      <c r="E253" s="158">
        <v>56</v>
      </c>
      <c r="F253" s="107"/>
      <c r="G253" s="110"/>
      <c r="H253" s="109">
        <v>1000000</v>
      </c>
      <c r="I253" s="109">
        <v>1000056</v>
      </c>
      <c r="J253" s="20">
        <v>-56</v>
      </c>
    </row>
    <row r="254" spans="1:10" x14ac:dyDescent="0.25">
      <c r="A254" s="107" t="s">
        <v>1042</v>
      </c>
      <c r="B254" s="110"/>
      <c r="C254" s="109">
        <v>1000000</v>
      </c>
      <c r="D254" s="109">
        <v>1000000</v>
      </c>
      <c r="E254" s="110"/>
      <c r="F254" s="107"/>
      <c r="G254" s="110"/>
      <c r="H254" s="109">
        <v>1000000</v>
      </c>
      <c r="I254" s="109">
        <v>1000000</v>
      </c>
      <c r="J254" s="110"/>
    </row>
    <row r="255" spans="1:10" x14ac:dyDescent="0.25">
      <c r="A255" s="107" t="s">
        <v>1043</v>
      </c>
      <c r="B255" s="110"/>
      <c r="C255" s="109">
        <v>1000000</v>
      </c>
      <c r="D255" s="109">
        <v>1000000</v>
      </c>
      <c r="E255" s="110"/>
      <c r="F255" s="107"/>
      <c r="G255" s="110"/>
      <c r="H255" s="109">
        <v>1000000</v>
      </c>
      <c r="I255" s="109">
        <v>1000000</v>
      </c>
      <c r="J255" s="110"/>
    </row>
    <row r="256" spans="1:10" x14ac:dyDescent="0.25">
      <c r="A256" s="107" t="s">
        <v>1044</v>
      </c>
      <c r="B256" s="110"/>
      <c r="C256" s="109">
        <v>1000000</v>
      </c>
      <c r="D256" s="109">
        <v>1000000</v>
      </c>
      <c r="E256" s="110"/>
      <c r="F256" s="107"/>
      <c r="G256" s="110"/>
      <c r="H256" s="109">
        <v>1000000</v>
      </c>
      <c r="I256" s="109">
        <v>1000000</v>
      </c>
      <c r="J256" s="110"/>
    </row>
    <row r="257" spans="1:10" x14ac:dyDescent="0.25">
      <c r="A257" s="107" t="s">
        <v>1045</v>
      </c>
      <c r="B257" s="110"/>
      <c r="C257" s="109">
        <v>1000000</v>
      </c>
      <c r="D257" s="109">
        <v>1000000</v>
      </c>
      <c r="E257" s="110"/>
      <c r="F257" s="107"/>
      <c r="G257" s="110"/>
      <c r="H257" s="109">
        <v>1000000</v>
      </c>
      <c r="I257" s="109">
        <v>1000000</v>
      </c>
      <c r="J257" s="110"/>
    </row>
    <row r="258" spans="1:10" x14ac:dyDescent="0.25">
      <c r="A258" s="107" t="s">
        <v>1046</v>
      </c>
      <c r="B258" s="110"/>
      <c r="C258" s="109">
        <v>1000000</v>
      </c>
      <c r="D258" s="109">
        <v>1000000</v>
      </c>
      <c r="E258" s="110"/>
      <c r="F258" s="107"/>
      <c r="G258" s="110"/>
      <c r="H258" s="109">
        <v>1000000</v>
      </c>
      <c r="I258" s="109">
        <v>1000000</v>
      </c>
      <c r="J258" s="110"/>
    </row>
    <row r="259" spans="1:10" x14ac:dyDescent="0.25">
      <c r="A259" s="107" t="s">
        <v>1047</v>
      </c>
      <c r="B259" s="110"/>
      <c r="C259" s="109">
        <v>1000000</v>
      </c>
      <c r="D259" s="109">
        <v>1000000</v>
      </c>
      <c r="E259" s="110"/>
      <c r="F259" s="107"/>
      <c r="G259" s="110"/>
      <c r="H259" s="109">
        <v>1000000</v>
      </c>
      <c r="I259" s="109">
        <v>1000000</v>
      </c>
      <c r="J259" s="110"/>
    </row>
    <row r="260" spans="1:10" x14ac:dyDescent="0.25">
      <c r="A260" s="107" t="s">
        <v>1048</v>
      </c>
      <c r="B260" s="110"/>
      <c r="C260" s="109">
        <v>1000000</v>
      </c>
      <c r="D260" s="109">
        <v>1000000</v>
      </c>
      <c r="E260" s="110"/>
      <c r="F260" s="107"/>
      <c r="G260" s="110"/>
      <c r="H260" s="109">
        <v>1000000</v>
      </c>
      <c r="I260" s="109">
        <v>1000000</v>
      </c>
      <c r="J260" s="110"/>
    </row>
    <row r="261" spans="1:10" x14ac:dyDescent="0.25">
      <c r="A261" s="107" t="s">
        <v>1049</v>
      </c>
      <c r="B261" s="110"/>
      <c r="C261" s="109">
        <v>1000000</v>
      </c>
      <c r="D261" s="109">
        <v>1000000</v>
      </c>
      <c r="E261" s="110"/>
      <c r="F261" s="107"/>
      <c r="G261" s="110"/>
      <c r="H261" s="109">
        <v>1000000</v>
      </c>
      <c r="I261" s="109">
        <v>1000000</v>
      </c>
      <c r="J261" s="110"/>
    </row>
    <row r="262" spans="1:10" x14ac:dyDescent="0.25">
      <c r="A262" s="107" t="s">
        <v>469</v>
      </c>
      <c r="B262" s="110"/>
      <c r="C262" s="109">
        <v>17995</v>
      </c>
      <c r="D262" s="109">
        <v>17995</v>
      </c>
      <c r="E262" s="110"/>
      <c r="F262" s="107"/>
      <c r="G262" s="110"/>
      <c r="H262" s="109">
        <v>17995</v>
      </c>
      <c r="I262" s="109">
        <v>17995</v>
      </c>
      <c r="J262" s="110"/>
    </row>
    <row r="263" spans="1:10" x14ac:dyDescent="0.25">
      <c r="A263" s="107" t="s">
        <v>470</v>
      </c>
      <c r="B263" s="158">
        <v>3395</v>
      </c>
      <c r="C263" s="109">
        <v>3395</v>
      </c>
      <c r="D263" s="108"/>
      <c r="E263" s="110"/>
      <c r="F263" s="107"/>
      <c r="G263" s="20">
        <v>-3395</v>
      </c>
      <c r="H263" s="109">
        <v>3395</v>
      </c>
      <c r="I263" s="108"/>
      <c r="J263" s="110"/>
    </row>
    <row r="264" spans="1:10" x14ac:dyDescent="0.25">
      <c r="A264" s="107" t="s">
        <v>1217</v>
      </c>
      <c r="B264" s="110"/>
      <c r="C264" s="109">
        <v>8850</v>
      </c>
      <c r="D264" s="109">
        <v>8850</v>
      </c>
      <c r="E264" s="110"/>
      <c r="F264" s="107"/>
      <c r="G264" s="110"/>
      <c r="H264" s="109">
        <v>8850</v>
      </c>
      <c r="I264" s="109">
        <v>8850</v>
      </c>
      <c r="J264" s="110"/>
    </row>
    <row r="265" spans="1:10" x14ac:dyDescent="0.25">
      <c r="A265" s="107" t="s">
        <v>472</v>
      </c>
      <c r="B265" s="110"/>
      <c r="C265" s="108"/>
      <c r="D265" s="109">
        <v>566542.43999999994</v>
      </c>
      <c r="E265" s="158">
        <v>566542.43999999994</v>
      </c>
      <c r="F265" s="107"/>
      <c r="G265" s="110"/>
      <c r="H265" s="108"/>
      <c r="I265" s="109">
        <v>566542.43999999994</v>
      </c>
      <c r="J265" s="20">
        <v>-566542.43999999994</v>
      </c>
    </row>
    <row r="266" spans="1:10" x14ac:dyDescent="0.25">
      <c r="A266" s="107" t="s">
        <v>473</v>
      </c>
      <c r="B266" s="110"/>
      <c r="C266" s="109">
        <v>299599.94</v>
      </c>
      <c r="D266" s="108"/>
      <c r="E266" s="157">
        <v>299599.94</v>
      </c>
      <c r="F266" s="107"/>
      <c r="G266" s="110"/>
      <c r="H266" s="109">
        <v>299599.94</v>
      </c>
      <c r="I266" s="108"/>
      <c r="J266" s="20">
        <v>299599.94</v>
      </c>
    </row>
    <row r="267" spans="1:10" x14ac:dyDescent="0.25">
      <c r="A267" s="107" t="s">
        <v>474</v>
      </c>
      <c r="B267" s="110"/>
      <c r="C267" s="109">
        <v>183869</v>
      </c>
      <c r="D267" s="108"/>
      <c r="E267" s="157">
        <v>183869</v>
      </c>
      <c r="F267" s="107"/>
      <c r="G267" s="110"/>
      <c r="H267" s="109">
        <v>183869</v>
      </c>
      <c r="I267" s="108"/>
      <c r="J267" s="20">
        <v>183869</v>
      </c>
    </row>
    <row r="268" spans="1:10" x14ac:dyDescent="0.25">
      <c r="A268" s="107" t="s">
        <v>476</v>
      </c>
      <c r="B268" s="158">
        <v>3366666.66</v>
      </c>
      <c r="C268" s="109">
        <v>1184951</v>
      </c>
      <c r="D268" s="109">
        <v>31184951</v>
      </c>
      <c r="E268" s="158">
        <v>33366666.66</v>
      </c>
      <c r="F268" s="107"/>
      <c r="G268" s="20">
        <v>-3366666.66</v>
      </c>
      <c r="H268" s="109">
        <v>1184951</v>
      </c>
      <c r="I268" s="109">
        <v>31184951</v>
      </c>
      <c r="J268" s="20">
        <v>-33366666.66</v>
      </c>
    </row>
    <row r="269" spans="1:10" x14ac:dyDescent="0.25">
      <c r="A269" s="107" t="s">
        <v>477</v>
      </c>
      <c r="B269" s="110"/>
      <c r="C269" s="109">
        <v>2507257</v>
      </c>
      <c r="D269" s="109">
        <v>2507257</v>
      </c>
      <c r="E269" s="110"/>
      <c r="F269" s="107"/>
      <c r="G269" s="110"/>
      <c r="H269" s="109">
        <v>2507257</v>
      </c>
      <c r="I269" s="109">
        <v>2507257</v>
      </c>
      <c r="J269" s="110"/>
    </row>
    <row r="270" spans="1:10" x14ac:dyDescent="0.25">
      <c r="A270" s="107" t="s">
        <v>478</v>
      </c>
      <c r="B270" s="157">
        <v>11500</v>
      </c>
      <c r="C270" s="108"/>
      <c r="D270" s="108"/>
      <c r="E270" s="157">
        <v>11500</v>
      </c>
      <c r="F270" s="107"/>
      <c r="G270" s="20">
        <v>11500</v>
      </c>
      <c r="H270" s="108"/>
      <c r="I270" s="108"/>
      <c r="J270" s="20">
        <v>11500</v>
      </c>
    </row>
    <row r="271" spans="1:10" x14ac:dyDescent="0.25">
      <c r="A271" s="107" t="s">
        <v>479</v>
      </c>
      <c r="B271" s="157">
        <v>13500</v>
      </c>
      <c r="C271" s="108"/>
      <c r="D271" s="108"/>
      <c r="E271" s="157">
        <v>13500</v>
      </c>
      <c r="F271" s="107"/>
      <c r="G271" s="20">
        <v>13500</v>
      </c>
      <c r="H271" s="108"/>
      <c r="I271" s="108"/>
      <c r="J271" s="20">
        <v>13500</v>
      </c>
    </row>
    <row r="272" spans="1:10" x14ac:dyDescent="0.25">
      <c r="A272" s="107" t="s">
        <v>1050</v>
      </c>
      <c r="B272" s="110"/>
      <c r="C272" s="109">
        <v>8364</v>
      </c>
      <c r="D272" s="109">
        <v>8364</v>
      </c>
      <c r="E272" s="110"/>
      <c r="F272" s="107"/>
      <c r="G272" s="110"/>
      <c r="H272" s="109">
        <v>8364</v>
      </c>
      <c r="I272" s="109">
        <v>8364</v>
      </c>
      <c r="J272" s="110"/>
    </row>
    <row r="273" spans="1:10" x14ac:dyDescent="0.25">
      <c r="A273" s="107" t="s">
        <v>483</v>
      </c>
      <c r="B273" s="110"/>
      <c r="C273" s="109">
        <v>35542</v>
      </c>
      <c r="D273" s="108"/>
      <c r="E273" s="157">
        <v>35542</v>
      </c>
      <c r="F273" s="107"/>
      <c r="G273" s="110"/>
      <c r="H273" s="109">
        <v>35542</v>
      </c>
      <c r="I273" s="108"/>
      <c r="J273" s="20">
        <v>35542</v>
      </c>
    </row>
    <row r="274" spans="1:10" x14ac:dyDescent="0.25">
      <c r="A274" s="107" t="s">
        <v>1281</v>
      </c>
      <c r="B274" s="110"/>
      <c r="C274" s="109">
        <v>22400</v>
      </c>
      <c r="D274" s="108"/>
      <c r="E274" s="157">
        <v>22400</v>
      </c>
      <c r="F274" s="107"/>
      <c r="G274" s="110"/>
      <c r="H274" s="109">
        <v>22400</v>
      </c>
      <c r="I274" s="108"/>
      <c r="J274" s="20">
        <v>22400</v>
      </c>
    </row>
    <row r="275" spans="1:10" x14ac:dyDescent="0.25">
      <c r="A275" s="107" t="s">
        <v>484</v>
      </c>
      <c r="B275" s="157">
        <v>25623.87</v>
      </c>
      <c r="C275" s="108"/>
      <c r="D275" s="108"/>
      <c r="E275" s="157">
        <v>25623.87</v>
      </c>
      <c r="F275" s="107"/>
      <c r="G275" s="20">
        <v>25623.87</v>
      </c>
      <c r="H275" s="108"/>
      <c r="I275" s="108"/>
      <c r="J275" s="20">
        <v>25623.87</v>
      </c>
    </row>
    <row r="276" spans="1:10" x14ac:dyDescent="0.25">
      <c r="A276" s="107" t="s">
        <v>1051</v>
      </c>
      <c r="B276" s="110"/>
      <c r="C276" s="109">
        <v>30071711</v>
      </c>
      <c r="D276" s="109">
        <v>30071711</v>
      </c>
      <c r="E276" s="110"/>
      <c r="F276" s="107"/>
      <c r="G276" s="110"/>
      <c r="H276" s="109">
        <v>30071711</v>
      </c>
      <c r="I276" s="109">
        <v>30071711</v>
      </c>
      <c r="J276" s="110"/>
    </row>
    <row r="277" spans="1:10" x14ac:dyDescent="0.25">
      <c r="A277" s="107" t="s">
        <v>489</v>
      </c>
      <c r="B277" s="158">
        <v>23345</v>
      </c>
      <c r="C277" s="108"/>
      <c r="D277" s="108"/>
      <c r="E277" s="158">
        <v>23345</v>
      </c>
      <c r="F277" s="107"/>
      <c r="G277" s="20">
        <v>-23345</v>
      </c>
      <c r="H277" s="108"/>
      <c r="I277" s="108"/>
      <c r="J277" s="20">
        <v>-23345</v>
      </c>
    </row>
    <row r="278" spans="1:10" x14ac:dyDescent="0.25">
      <c r="A278" s="107" t="s">
        <v>490</v>
      </c>
      <c r="B278" s="157">
        <v>220600</v>
      </c>
      <c r="C278" s="108"/>
      <c r="D278" s="108"/>
      <c r="E278" s="157">
        <v>220600</v>
      </c>
      <c r="F278" s="107"/>
      <c r="G278" s="20">
        <v>220600</v>
      </c>
      <c r="H278" s="108"/>
      <c r="I278" s="108"/>
      <c r="J278" s="20">
        <v>220600</v>
      </c>
    </row>
    <row r="279" spans="1:10" x14ac:dyDescent="0.25">
      <c r="A279" s="107" t="s">
        <v>491</v>
      </c>
      <c r="B279" s="110"/>
      <c r="C279" s="109">
        <v>28246533</v>
      </c>
      <c r="D279" s="109">
        <v>28254703</v>
      </c>
      <c r="E279" s="158">
        <v>8170</v>
      </c>
      <c r="F279" s="107"/>
      <c r="G279" s="110"/>
      <c r="H279" s="109">
        <v>28246533</v>
      </c>
      <c r="I279" s="109">
        <v>28254703</v>
      </c>
      <c r="J279" s="20">
        <v>-8170</v>
      </c>
    </row>
    <row r="280" spans="1:10" x14ac:dyDescent="0.25">
      <c r="A280" s="107" t="s">
        <v>1054</v>
      </c>
      <c r="B280" s="110"/>
      <c r="C280" s="109">
        <v>2416050</v>
      </c>
      <c r="D280" s="109">
        <v>2416050</v>
      </c>
      <c r="E280" s="110"/>
      <c r="F280" s="107"/>
      <c r="G280" s="110"/>
      <c r="H280" s="109">
        <v>2416050</v>
      </c>
      <c r="I280" s="109">
        <v>2416050</v>
      </c>
      <c r="J280" s="110"/>
    </row>
    <row r="281" spans="1:10" x14ac:dyDescent="0.25">
      <c r="A281" s="107" t="s">
        <v>493</v>
      </c>
      <c r="B281" s="110"/>
      <c r="C281" s="109">
        <v>80480</v>
      </c>
      <c r="D281" s="108"/>
      <c r="E281" s="157">
        <v>80480</v>
      </c>
      <c r="F281" s="107"/>
      <c r="G281" s="110"/>
      <c r="H281" s="109">
        <v>80480</v>
      </c>
      <c r="I281" s="108"/>
      <c r="J281" s="20">
        <v>80480</v>
      </c>
    </row>
    <row r="282" spans="1:10" x14ac:dyDescent="0.25">
      <c r="A282" s="107" t="s">
        <v>496</v>
      </c>
      <c r="B282" s="157">
        <v>237010</v>
      </c>
      <c r="C282" s="109">
        <v>655048</v>
      </c>
      <c r="D282" s="109">
        <v>892058</v>
      </c>
      <c r="E282" s="110"/>
      <c r="F282" s="107"/>
      <c r="G282" s="20">
        <v>237010</v>
      </c>
      <c r="H282" s="109">
        <v>655048</v>
      </c>
      <c r="I282" s="109">
        <v>892058</v>
      </c>
      <c r="J282" s="110"/>
    </row>
    <row r="283" spans="1:10" x14ac:dyDescent="0.25">
      <c r="A283" s="107" t="s">
        <v>498</v>
      </c>
      <c r="B283" s="158">
        <v>35868.97</v>
      </c>
      <c r="C283" s="109">
        <v>208010</v>
      </c>
      <c r="D283" s="109">
        <v>1554330.61</v>
      </c>
      <c r="E283" s="158">
        <v>1382189.58</v>
      </c>
      <c r="F283" s="107"/>
      <c r="G283" s="20">
        <v>-35868.97</v>
      </c>
      <c r="H283" s="109">
        <v>208010</v>
      </c>
      <c r="I283" s="109">
        <v>1554330.61</v>
      </c>
      <c r="J283" s="20">
        <v>-1382189.58</v>
      </c>
    </row>
    <row r="284" spans="1:10" x14ac:dyDescent="0.25">
      <c r="A284" s="107" t="s">
        <v>500</v>
      </c>
      <c r="B284" s="110"/>
      <c r="C284" s="109">
        <v>11624395.949999999</v>
      </c>
      <c r="D284" s="109">
        <v>9974477</v>
      </c>
      <c r="E284" s="157">
        <v>1649918.95</v>
      </c>
      <c r="F284" s="107"/>
      <c r="G284" s="110"/>
      <c r="H284" s="109">
        <v>11624395.949999999</v>
      </c>
      <c r="I284" s="109">
        <v>9974477</v>
      </c>
      <c r="J284" s="20">
        <v>1649918.95</v>
      </c>
    </row>
    <row r="285" spans="1:10" x14ac:dyDescent="0.25">
      <c r="A285" s="107" t="s">
        <v>505</v>
      </c>
      <c r="B285" s="157">
        <v>70583.740000000005</v>
      </c>
      <c r="C285" s="108"/>
      <c r="D285" s="108"/>
      <c r="E285" s="157">
        <v>70583.740000000005</v>
      </c>
      <c r="F285" s="107"/>
      <c r="G285" s="20">
        <v>70583.740000000005</v>
      </c>
      <c r="H285" s="108"/>
      <c r="I285" s="108"/>
      <c r="J285" s="20">
        <v>70583.740000000005</v>
      </c>
    </row>
    <row r="286" spans="1:10" x14ac:dyDescent="0.25">
      <c r="A286" s="107" t="s">
        <v>506</v>
      </c>
      <c r="B286" s="157">
        <v>11265.99</v>
      </c>
      <c r="C286" s="108"/>
      <c r="D286" s="108"/>
      <c r="E286" s="157">
        <v>11265.99</v>
      </c>
      <c r="F286" s="107"/>
      <c r="G286" s="20">
        <v>11265.99</v>
      </c>
      <c r="H286" s="108"/>
      <c r="I286" s="108"/>
      <c r="J286" s="20">
        <v>11265.99</v>
      </c>
    </row>
    <row r="287" spans="1:10" x14ac:dyDescent="0.25">
      <c r="A287" s="107" t="s">
        <v>504</v>
      </c>
      <c r="B287" s="157">
        <v>5241.51</v>
      </c>
      <c r="C287" s="108"/>
      <c r="D287" s="108"/>
      <c r="E287" s="157">
        <v>5241.51</v>
      </c>
      <c r="F287" s="107"/>
      <c r="G287" s="20">
        <v>5241.51</v>
      </c>
      <c r="H287" s="108"/>
      <c r="I287" s="108"/>
      <c r="J287" s="20">
        <v>5241.51</v>
      </c>
    </row>
    <row r="288" spans="1:10" x14ac:dyDescent="0.25">
      <c r="A288" s="107" t="s">
        <v>503</v>
      </c>
      <c r="B288" s="158">
        <v>52164</v>
      </c>
      <c r="C288" s="109">
        <v>632063</v>
      </c>
      <c r="D288" s="109">
        <v>629908</v>
      </c>
      <c r="E288" s="158">
        <v>50009</v>
      </c>
      <c r="F288" s="107"/>
      <c r="G288" s="20">
        <v>-52164</v>
      </c>
      <c r="H288" s="109">
        <v>632063</v>
      </c>
      <c r="I288" s="109">
        <v>629908</v>
      </c>
      <c r="J288" s="20">
        <v>-50009</v>
      </c>
    </row>
    <row r="289" spans="1:10" x14ac:dyDescent="0.25">
      <c r="A289" s="107" t="s">
        <v>501</v>
      </c>
      <c r="B289" s="157">
        <v>120000</v>
      </c>
      <c r="C289" s="108"/>
      <c r="D289" s="108"/>
      <c r="E289" s="157">
        <v>120000</v>
      </c>
      <c r="F289" s="107"/>
      <c r="G289" s="20">
        <v>120000</v>
      </c>
      <c r="H289" s="108"/>
      <c r="I289" s="108"/>
      <c r="J289" s="20">
        <v>120000</v>
      </c>
    </row>
    <row r="290" spans="1:10" x14ac:dyDescent="0.25">
      <c r="A290" s="107" t="s">
        <v>507</v>
      </c>
      <c r="B290" s="110"/>
      <c r="C290" s="109">
        <v>300000</v>
      </c>
      <c r="D290" s="109">
        <v>200100</v>
      </c>
      <c r="E290" s="157">
        <v>99900</v>
      </c>
      <c r="F290" s="107"/>
      <c r="G290" s="110"/>
      <c r="H290" s="109">
        <v>300000</v>
      </c>
      <c r="I290" s="109">
        <v>200100</v>
      </c>
      <c r="J290" s="20">
        <v>99900</v>
      </c>
    </row>
    <row r="291" spans="1:10" x14ac:dyDescent="0.25">
      <c r="A291" s="107" t="s">
        <v>1305</v>
      </c>
      <c r="B291" s="110"/>
      <c r="C291" s="109">
        <v>2552000</v>
      </c>
      <c r="D291" s="109">
        <v>2652000</v>
      </c>
      <c r="E291" s="158">
        <v>100000</v>
      </c>
      <c r="F291" s="107"/>
      <c r="G291" s="110"/>
      <c r="H291" s="109">
        <v>2552000</v>
      </c>
      <c r="I291" s="109">
        <v>2652000</v>
      </c>
      <c r="J291" s="20">
        <v>-100000</v>
      </c>
    </row>
    <row r="292" spans="1:10" x14ac:dyDescent="0.25">
      <c r="A292" s="107" t="s">
        <v>508</v>
      </c>
      <c r="B292" s="110"/>
      <c r="C292" s="109">
        <v>144073</v>
      </c>
      <c r="D292" s="109">
        <v>130897</v>
      </c>
      <c r="E292" s="157">
        <v>13176</v>
      </c>
      <c r="F292" s="107"/>
      <c r="G292" s="110"/>
      <c r="H292" s="109">
        <v>144073</v>
      </c>
      <c r="I292" s="109">
        <v>130897</v>
      </c>
      <c r="J292" s="20">
        <v>13176</v>
      </c>
    </row>
    <row r="293" spans="1:10" x14ac:dyDescent="0.25">
      <c r="A293" s="107" t="s">
        <v>509</v>
      </c>
      <c r="B293" s="157">
        <v>13200</v>
      </c>
      <c r="C293" s="108"/>
      <c r="D293" s="109">
        <v>13200</v>
      </c>
      <c r="E293" s="110"/>
      <c r="F293" s="107"/>
      <c r="G293" s="20">
        <v>13200</v>
      </c>
      <c r="H293" s="108"/>
      <c r="I293" s="109">
        <v>13200</v>
      </c>
      <c r="J293" s="110"/>
    </row>
    <row r="294" spans="1:10" x14ac:dyDescent="0.25">
      <c r="A294" s="107" t="s">
        <v>511</v>
      </c>
      <c r="B294" s="110"/>
      <c r="C294" s="109">
        <v>7796</v>
      </c>
      <c r="D294" s="108"/>
      <c r="E294" s="157">
        <v>7796</v>
      </c>
      <c r="F294" s="107"/>
      <c r="G294" s="110"/>
      <c r="H294" s="109">
        <v>7796</v>
      </c>
      <c r="I294" s="108"/>
      <c r="J294" s="20">
        <v>7796</v>
      </c>
    </row>
    <row r="295" spans="1:10" x14ac:dyDescent="0.25">
      <c r="A295" s="107" t="s">
        <v>512</v>
      </c>
      <c r="B295" s="157">
        <v>16750</v>
      </c>
      <c r="C295" s="109">
        <v>248193</v>
      </c>
      <c r="D295" s="109">
        <v>264943</v>
      </c>
      <c r="E295" s="110"/>
      <c r="F295" s="107"/>
      <c r="G295" s="20">
        <v>16750</v>
      </c>
      <c r="H295" s="109">
        <v>248193</v>
      </c>
      <c r="I295" s="109">
        <v>264943</v>
      </c>
      <c r="J295" s="110"/>
    </row>
    <row r="296" spans="1:10" x14ac:dyDescent="0.25">
      <c r="A296" s="107" t="s">
        <v>514</v>
      </c>
      <c r="B296" s="157">
        <v>18</v>
      </c>
      <c r="C296" s="108"/>
      <c r="D296" s="109">
        <v>18</v>
      </c>
      <c r="E296" s="110"/>
      <c r="F296" s="107"/>
      <c r="G296" s="20">
        <v>18</v>
      </c>
      <c r="H296" s="108"/>
      <c r="I296" s="109">
        <v>18</v>
      </c>
      <c r="J296" s="110"/>
    </row>
    <row r="297" spans="1:10" x14ac:dyDescent="0.25">
      <c r="A297" s="107" t="s">
        <v>516</v>
      </c>
      <c r="B297" s="110"/>
      <c r="C297" s="109">
        <v>147415</v>
      </c>
      <c r="D297" s="109">
        <v>147415</v>
      </c>
      <c r="E297" s="110"/>
      <c r="F297" s="107"/>
      <c r="G297" s="110"/>
      <c r="H297" s="109">
        <v>147415</v>
      </c>
      <c r="I297" s="109">
        <v>147415</v>
      </c>
      <c r="J297" s="110"/>
    </row>
    <row r="298" spans="1:10" x14ac:dyDescent="0.25">
      <c r="A298" s="107" t="s">
        <v>518</v>
      </c>
      <c r="B298" s="110"/>
      <c r="C298" s="109">
        <v>4594</v>
      </c>
      <c r="D298" s="109">
        <v>4594</v>
      </c>
      <c r="E298" s="110"/>
      <c r="F298" s="107"/>
      <c r="G298" s="110"/>
      <c r="H298" s="109">
        <v>4594</v>
      </c>
      <c r="I298" s="109">
        <v>4594</v>
      </c>
      <c r="J298" s="110"/>
    </row>
    <row r="299" spans="1:10" x14ac:dyDescent="0.25">
      <c r="A299" s="107" t="s">
        <v>1367</v>
      </c>
      <c r="B299" s="110"/>
      <c r="C299" s="109">
        <v>4130000</v>
      </c>
      <c r="D299" s="109">
        <v>4130000</v>
      </c>
      <c r="E299" s="110"/>
      <c r="F299" s="107"/>
      <c r="G299" s="110"/>
      <c r="H299" s="109">
        <v>4130000</v>
      </c>
      <c r="I299" s="109">
        <v>4130000</v>
      </c>
      <c r="J299" s="110"/>
    </row>
    <row r="300" spans="1:10" x14ac:dyDescent="0.25">
      <c r="A300" s="107" t="s">
        <v>519</v>
      </c>
      <c r="B300" s="110"/>
      <c r="C300" s="109">
        <v>1215</v>
      </c>
      <c r="D300" s="109">
        <v>1215</v>
      </c>
      <c r="E300" s="110"/>
      <c r="F300" s="107"/>
      <c r="G300" s="110"/>
      <c r="H300" s="109">
        <v>1215</v>
      </c>
      <c r="I300" s="109">
        <v>1215</v>
      </c>
      <c r="J300" s="110"/>
    </row>
    <row r="301" spans="1:10" x14ac:dyDescent="0.25">
      <c r="A301" s="107" t="s">
        <v>520</v>
      </c>
      <c r="B301" s="110"/>
      <c r="C301" s="109">
        <v>40120</v>
      </c>
      <c r="D301" s="109">
        <v>40120</v>
      </c>
      <c r="E301" s="110"/>
      <c r="F301" s="107"/>
      <c r="G301" s="110"/>
      <c r="H301" s="109">
        <v>40120</v>
      </c>
      <c r="I301" s="109">
        <v>40120</v>
      </c>
      <c r="J301" s="110"/>
    </row>
    <row r="302" spans="1:10" x14ac:dyDescent="0.25">
      <c r="A302" s="107" t="s">
        <v>523</v>
      </c>
      <c r="B302" s="110"/>
      <c r="C302" s="109">
        <v>13950</v>
      </c>
      <c r="D302" s="108"/>
      <c r="E302" s="157">
        <v>13950</v>
      </c>
      <c r="F302" s="107"/>
      <c r="G302" s="110"/>
      <c r="H302" s="109">
        <v>13950</v>
      </c>
      <c r="I302" s="108"/>
      <c r="J302" s="20">
        <v>13950</v>
      </c>
    </row>
    <row r="303" spans="1:10" x14ac:dyDescent="0.25">
      <c r="A303" s="107" t="s">
        <v>521</v>
      </c>
      <c r="B303" s="110"/>
      <c r="C303" s="109">
        <v>29190</v>
      </c>
      <c r="D303" s="108"/>
      <c r="E303" s="157">
        <v>29190</v>
      </c>
      <c r="F303" s="107"/>
      <c r="G303" s="110"/>
      <c r="H303" s="109">
        <v>29190</v>
      </c>
      <c r="I303" s="108"/>
      <c r="J303" s="20">
        <v>29190</v>
      </c>
    </row>
    <row r="304" spans="1:10" x14ac:dyDescent="0.25">
      <c r="A304" s="107" t="s">
        <v>524</v>
      </c>
      <c r="B304" s="110"/>
      <c r="C304" s="109">
        <v>331246</v>
      </c>
      <c r="D304" s="108"/>
      <c r="E304" s="157">
        <v>331246</v>
      </c>
      <c r="F304" s="107"/>
      <c r="G304" s="110"/>
      <c r="H304" s="109">
        <v>331246</v>
      </c>
      <c r="I304" s="108"/>
      <c r="J304" s="20">
        <v>331246</v>
      </c>
    </row>
    <row r="305" spans="1:10" x14ac:dyDescent="0.25">
      <c r="A305" s="107" t="s">
        <v>1055</v>
      </c>
      <c r="B305" s="110"/>
      <c r="C305" s="109">
        <v>318967</v>
      </c>
      <c r="D305" s="108"/>
      <c r="E305" s="157">
        <v>318967</v>
      </c>
      <c r="F305" s="107"/>
      <c r="G305" s="110"/>
      <c r="H305" s="109">
        <v>318967</v>
      </c>
      <c r="I305" s="108"/>
      <c r="J305" s="20">
        <v>318967</v>
      </c>
    </row>
    <row r="306" spans="1:10" x14ac:dyDescent="0.25">
      <c r="A306" s="107" t="s">
        <v>525</v>
      </c>
      <c r="B306" s="157">
        <v>532692.65</v>
      </c>
      <c r="C306" s="108"/>
      <c r="D306" s="108"/>
      <c r="E306" s="157">
        <v>532692.65</v>
      </c>
      <c r="F306" s="107"/>
      <c r="G306" s="20">
        <v>532692.65</v>
      </c>
      <c r="H306" s="108"/>
      <c r="I306" s="108"/>
      <c r="J306" s="20">
        <v>532692.65</v>
      </c>
    </row>
    <row r="307" spans="1:10" x14ac:dyDescent="0.25">
      <c r="A307" s="107" t="s">
        <v>526</v>
      </c>
      <c r="B307" s="157">
        <v>443911.44</v>
      </c>
      <c r="C307" s="108"/>
      <c r="D307" s="108"/>
      <c r="E307" s="157">
        <v>443911.44</v>
      </c>
      <c r="F307" s="107"/>
      <c r="G307" s="20">
        <v>443911.44</v>
      </c>
      <c r="H307" s="108"/>
      <c r="I307" s="108"/>
      <c r="J307" s="20">
        <v>443911.44</v>
      </c>
    </row>
    <row r="308" spans="1:10" x14ac:dyDescent="0.25">
      <c r="A308" s="107" t="s">
        <v>1368</v>
      </c>
      <c r="B308" s="110"/>
      <c r="C308" s="109">
        <v>461145</v>
      </c>
      <c r="D308" s="109">
        <v>86308.03</v>
      </c>
      <c r="E308" s="157">
        <v>374836.97</v>
      </c>
      <c r="F308" s="107"/>
      <c r="G308" s="110"/>
      <c r="H308" s="109">
        <v>461145</v>
      </c>
      <c r="I308" s="109">
        <v>86308.03</v>
      </c>
      <c r="J308" s="20">
        <v>374836.97</v>
      </c>
    </row>
    <row r="309" spans="1:10" x14ac:dyDescent="0.25">
      <c r="A309" s="107" t="s">
        <v>528</v>
      </c>
      <c r="B309" s="157">
        <v>383377.59</v>
      </c>
      <c r="C309" s="109">
        <v>366759978.43000001</v>
      </c>
      <c r="D309" s="109">
        <v>364330843.41000003</v>
      </c>
      <c r="E309" s="157">
        <v>2812512.61</v>
      </c>
      <c r="F309" s="107"/>
      <c r="G309" s="20">
        <v>383377.59</v>
      </c>
      <c r="H309" s="109">
        <v>366759978.43000001</v>
      </c>
      <c r="I309" s="109">
        <v>364330843.41000003</v>
      </c>
      <c r="J309" s="20">
        <v>2812512.61</v>
      </c>
    </row>
    <row r="310" spans="1:10" x14ac:dyDescent="0.25">
      <c r="A310" s="107" t="s">
        <v>532</v>
      </c>
      <c r="B310" s="110"/>
      <c r="C310" s="109">
        <v>18956</v>
      </c>
      <c r="D310" s="109">
        <v>18956</v>
      </c>
      <c r="E310" s="110"/>
      <c r="F310" s="107"/>
      <c r="G310" s="110"/>
      <c r="H310" s="109">
        <v>18956</v>
      </c>
      <c r="I310" s="109">
        <v>18956</v>
      </c>
      <c r="J310" s="110"/>
    </row>
    <row r="311" spans="1:10" x14ac:dyDescent="0.25">
      <c r="A311" s="107" t="s">
        <v>533</v>
      </c>
      <c r="B311" s="110"/>
      <c r="C311" s="109">
        <v>363197</v>
      </c>
      <c r="D311" s="109">
        <v>363197</v>
      </c>
      <c r="E311" s="110"/>
      <c r="F311" s="107"/>
      <c r="G311" s="110"/>
      <c r="H311" s="109">
        <v>363197</v>
      </c>
      <c r="I311" s="109">
        <v>363197</v>
      </c>
      <c r="J311" s="110"/>
    </row>
    <row r="312" spans="1:10" x14ac:dyDescent="0.25">
      <c r="A312" s="107" t="s">
        <v>535</v>
      </c>
      <c r="B312" s="110"/>
      <c r="C312" s="109">
        <v>15505</v>
      </c>
      <c r="D312" s="109">
        <v>15505</v>
      </c>
      <c r="E312" s="110"/>
      <c r="F312" s="107"/>
      <c r="G312" s="110"/>
      <c r="H312" s="109">
        <v>15505</v>
      </c>
      <c r="I312" s="109">
        <v>15505</v>
      </c>
      <c r="J312" s="110"/>
    </row>
    <row r="313" spans="1:10" x14ac:dyDescent="0.25">
      <c r="A313" s="107" t="s">
        <v>536</v>
      </c>
      <c r="B313" s="157">
        <v>149992.5</v>
      </c>
      <c r="C313" s="108"/>
      <c r="D313" s="109">
        <v>149992.5</v>
      </c>
      <c r="E313" s="110"/>
      <c r="F313" s="107"/>
      <c r="G313" s="20">
        <v>149992.5</v>
      </c>
      <c r="H313" s="108"/>
      <c r="I313" s="109">
        <v>149992.5</v>
      </c>
      <c r="J313" s="110"/>
    </row>
    <row r="314" spans="1:10" x14ac:dyDescent="0.25">
      <c r="A314" s="107" t="s">
        <v>541</v>
      </c>
      <c r="B314" s="157">
        <v>153632.85</v>
      </c>
      <c r="C314" s="109">
        <v>166.44</v>
      </c>
      <c r="D314" s="109">
        <v>153799.29</v>
      </c>
      <c r="E314" s="110"/>
      <c r="F314" s="107"/>
      <c r="G314" s="20">
        <v>153632.85</v>
      </c>
      <c r="H314" s="109">
        <v>166.44</v>
      </c>
      <c r="I314" s="109">
        <v>153799.29</v>
      </c>
      <c r="J314" s="110"/>
    </row>
    <row r="315" spans="1:10" x14ac:dyDescent="0.25">
      <c r="A315" s="107" t="s">
        <v>542</v>
      </c>
      <c r="B315" s="110"/>
      <c r="C315" s="109">
        <v>12224.35</v>
      </c>
      <c r="D315" s="109">
        <v>8434.27</v>
      </c>
      <c r="E315" s="157">
        <v>3790.08</v>
      </c>
      <c r="F315" s="107"/>
      <c r="G315" s="110"/>
      <c r="H315" s="109">
        <v>12224.35</v>
      </c>
      <c r="I315" s="109">
        <v>8434.27</v>
      </c>
      <c r="J315" s="20">
        <v>3790.08</v>
      </c>
    </row>
    <row r="316" spans="1:10" x14ac:dyDescent="0.25">
      <c r="A316" s="107" t="s">
        <v>543</v>
      </c>
      <c r="B316" s="158">
        <v>518342</v>
      </c>
      <c r="C316" s="109">
        <v>21702186.170000002</v>
      </c>
      <c r="D316" s="109">
        <v>20384738.260000002</v>
      </c>
      <c r="E316" s="157">
        <v>799105.91</v>
      </c>
      <c r="F316" s="107"/>
      <c r="G316" s="20">
        <v>-518342</v>
      </c>
      <c r="H316" s="109">
        <v>21702186.170000002</v>
      </c>
      <c r="I316" s="109">
        <v>20384738.260000002</v>
      </c>
      <c r="J316" s="20">
        <v>799105.91</v>
      </c>
    </row>
    <row r="317" spans="1:10" x14ac:dyDescent="0.25">
      <c r="A317" s="107" t="s">
        <v>544</v>
      </c>
      <c r="B317" s="110"/>
      <c r="C317" s="109">
        <v>4302890.2</v>
      </c>
      <c r="D317" s="109">
        <v>5604097.3300000001</v>
      </c>
      <c r="E317" s="158">
        <v>1301207.1299999999</v>
      </c>
      <c r="F317" s="107"/>
      <c r="G317" s="110"/>
      <c r="H317" s="109">
        <v>4302890.2</v>
      </c>
      <c r="I317" s="109">
        <v>5604097.3300000001</v>
      </c>
      <c r="J317" s="20">
        <v>-1301207.1299999999</v>
      </c>
    </row>
    <row r="318" spans="1:10" x14ac:dyDescent="0.25">
      <c r="A318" s="107" t="s">
        <v>547</v>
      </c>
      <c r="B318" s="157">
        <v>1067760</v>
      </c>
      <c r="C318" s="108"/>
      <c r="D318" s="108"/>
      <c r="E318" s="157">
        <v>1067760</v>
      </c>
      <c r="F318" s="107"/>
      <c r="G318" s="20">
        <v>1067760</v>
      </c>
      <c r="H318" s="108"/>
      <c r="I318" s="108"/>
      <c r="J318" s="20">
        <v>1067760</v>
      </c>
    </row>
    <row r="319" spans="1:10" x14ac:dyDescent="0.25">
      <c r="A319" s="107" t="s">
        <v>548</v>
      </c>
      <c r="B319" s="158">
        <v>44770</v>
      </c>
      <c r="C319" s="108"/>
      <c r="D319" s="108"/>
      <c r="E319" s="158">
        <v>44770</v>
      </c>
      <c r="F319" s="107"/>
      <c r="G319" s="20">
        <v>-44770</v>
      </c>
      <c r="H319" s="108"/>
      <c r="I319" s="108"/>
      <c r="J319" s="20">
        <v>-44770</v>
      </c>
    </row>
    <row r="320" spans="1:10" x14ac:dyDescent="0.25">
      <c r="A320" s="107" t="s">
        <v>549</v>
      </c>
      <c r="B320" s="110"/>
      <c r="C320" s="109">
        <v>14637.12</v>
      </c>
      <c r="D320" s="109">
        <v>14637.12</v>
      </c>
      <c r="E320" s="110"/>
      <c r="F320" s="107"/>
      <c r="G320" s="110"/>
      <c r="H320" s="109">
        <v>14637.12</v>
      </c>
      <c r="I320" s="109">
        <v>14637.12</v>
      </c>
      <c r="J320" s="110"/>
    </row>
    <row r="321" spans="1:10" x14ac:dyDescent="0.25">
      <c r="A321" s="107" t="s">
        <v>1399</v>
      </c>
      <c r="B321" s="110"/>
      <c r="C321" s="109">
        <v>32450</v>
      </c>
      <c r="D321" s="109">
        <v>32450</v>
      </c>
      <c r="E321" s="110"/>
      <c r="F321" s="107"/>
      <c r="G321" s="110"/>
      <c r="H321" s="109">
        <v>32450</v>
      </c>
      <c r="I321" s="109">
        <v>32450</v>
      </c>
      <c r="J321" s="110"/>
    </row>
    <row r="322" spans="1:10" x14ac:dyDescent="0.25">
      <c r="A322" s="107" t="s">
        <v>550</v>
      </c>
      <c r="B322" s="157">
        <v>90097</v>
      </c>
      <c r="C322" s="108"/>
      <c r="D322" s="108"/>
      <c r="E322" s="157">
        <v>90097</v>
      </c>
      <c r="F322" s="107"/>
      <c r="G322" s="20">
        <v>90097</v>
      </c>
      <c r="H322" s="108"/>
      <c r="I322" s="108"/>
      <c r="J322" s="20">
        <v>90097</v>
      </c>
    </row>
    <row r="323" spans="1:10" x14ac:dyDescent="0.25">
      <c r="A323" s="107" t="s">
        <v>552</v>
      </c>
      <c r="B323" s="110"/>
      <c r="C323" s="109">
        <v>31186.03</v>
      </c>
      <c r="D323" s="109">
        <v>31186.03</v>
      </c>
      <c r="E323" s="110"/>
      <c r="F323" s="107"/>
      <c r="G323" s="110"/>
      <c r="H323" s="109">
        <v>31186.03</v>
      </c>
      <c r="I323" s="109">
        <v>31186.03</v>
      </c>
      <c r="J323" s="110"/>
    </row>
    <row r="324" spans="1:10" x14ac:dyDescent="0.25">
      <c r="A324" s="107" t="s">
        <v>553</v>
      </c>
      <c r="B324" s="110"/>
      <c r="C324" s="109">
        <v>62386</v>
      </c>
      <c r="D324" s="109">
        <v>62386</v>
      </c>
      <c r="E324" s="110"/>
      <c r="F324" s="107"/>
      <c r="G324" s="110"/>
      <c r="H324" s="109">
        <v>62386</v>
      </c>
      <c r="I324" s="109">
        <v>62386</v>
      </c>
      <c r="J324" s="110"/>
    </row>
    <row r="325" spans="1:10" x14ac:dyDescent="0.25">
      <c r="A325" s="107" t="s">
        <v>554</v>
      </c>
      <c r="B325" s="110"/>
      <c r="C325" s="109">
        <v>89147</v>
      </c>
      <c r="D325" s="109">
        <v>89147</v>
      </c>
      <c r="E325" s="110"/>
      <c r="F325" s="107"/>
      <c r="G325" s="110"/>
      <c r="H325" s="109">
        <v>89147</v>
      </c>
      <c r="I325" s="109">
        <v>89147</v>
      </c>
      <c r="J325" s="110"/>
    </row>
    <row r="326" spans="1:10" x14ac:dyDescent="0.25">
      <c r="A326" s="107" t="s">
        <v>556</v>
      </c>
      <c r="B326" s="110"/>
      <c r="C326" s="109">
        <v>318600</v>
      </c>
      <c r="D326" s="109">
        <v>318600</v>
      </c>
      <c r="E326" s="110"/>
      <c r="F326" s="107"/>
      <c r="G326" s="110"/>
      <c r="H326" s="109">
        <v>318600</v>
      </c>
      <c r="I326" s="109">
        <v>318600</v>
      </c>
      <c r="J326" s="110"/>
    </row>
    <row r="327" spans="1:10" x14ac:dyDescent="0.25">
      <c r="A327" s="107" t="s">
        <v>555</v>
      </c>
      <c r="B327" s="158">
        <v>22420</v>
      </c>
      <c r="C327" s="109">
        <v>22420</v>
      </c>
      <c r="D327" s="108"/>
      <c r="E327" s="110"/>
      <c r="F327" s="107"/>
      <c r="G327" s="20">
        <v>-22420</v>
      </c>
      <c r="H327" s="109">
        <v>22420</v>
      </c>
      <c r="I327" s="108"/>
      <c r="J327" s="110"/>
    </row>
    <row r="328" spans="1:10" x14ac:dyDescent="0.25">
      <c r="A328" s="107" t="s">
        <v>557</v>
      </c>
      <c r="B328" s="158">
        <v>12803</v>
      </c>
      <c r="C328" s="108"/>
      <c r="D328" s="108"/>
      <c r="E328" s="158">
        <v>12803</v>
      </c>
      <c r="F328" s="107"/>
      <c r="G328" s="20">
        <v>-12803</v>
      </c>
      <c r="H328" s="108"/>
      <c r="I328" s="108"/>
      <c r="J328" s="20">
        <v>-12803</v>
      </c>
    </row>
    <row r="329" spans="1:10" x14ac:dyDescent="0.25">
      <c r="A329" s="107" t="s">
        <v>559</v>
      </c>
      <c r="B329" s="110"/>
      <c r="C329" s="109">
        <v>42903</v>
      </c>
      <c r="D329" s="109">
        <v>42903</v>
      </c>
      <c r="E329" s="110"/>
      <c r="F329" s="107"/>
      <c r="G329" s="110"/>
      <c r="H329" s="109">
        <v>42903</v>
      </c>
      <c r="I329" s="109">
        <v>42903</v>
      </c>
      <c r="J329" s="110"/>
    </row>
    <row r="330" spans="1:10" x14ac:dyDescent="0.25">
      <c r="A330" s="107" t="s">
        <v>560</v>
      </c>
      <c r="B330" s="110"/>
      <c r="C330" s="109">
        <v>7800</v>
      </c>
      <c r="D330" s="109">
        <v>7800</v>
      </c>
      <c r="E330" s="110"/>
      <c r="F330" s="107"/>
      <c r="G330" s="110"/>
      <c r="H330" s="109">
        <v>7800</v>
      </c>
      <c r="I330" s="109">
        <v>7800</v>
      </c>
      <c r="J330" s="110"/>
    </row>
    <row r="331" spans="1:10" x14ac:dyDescent="0.25">
      <c r="A331" s="107" t="s">
        <v>561</v>
      </c>
      <c r="B331" s="110"/>
      <c r="C331" s="109">
        <v>177005</v>
      </c>
      <c r="D331" s="108"/>
      <c r="E331" s="157">
        <v>177005</v>
      </c>
      <c r="F331" s="107"/>
      <c r="G331" s="110"/>
      <c r="H331" s="109">
        <v>177005</v>
      </c>
      <c r="I331" s="108"/>
      <c r="J331" s="20">
        <v>177005</v>
      </c>
    </row>
    <row r="332" spans="1:10" x14ac:dyDescent="0.25">
      <c r="A332" s="107" t="s">
        <v>562</v>
      </c>
      <c r="B332" s="110"/>
      <c r="C332" s="109">
        <v>13139.84</v>
      </c>
      <c r="D332" s="108"/>
      <c r="E332" s="157">
        <v>13139.84</v>
      </c>
      <c r="F332" s="107"/>
      <c r="G332" s="110"/>
      <c r="H332" s="109">
        <v>13139.84</v>
      </c>
      <c r="I332" s="108"/>
      <c r="J332" s="20">
        <v>13139.84</v>
      </c>
    </row>
    <row r="333" spans="1:10" x14ac:dyDescent="0.25">
      <c r="A333" s="107" t="s">
        <v>563</v>
      </c>
      <c r="B333" s="110"/>
      <c r="C333" s="109">
        <v>142654</v>
      </c>
      <c r="D333" s="109">
        <v>3966</v>
      </c>
      <c r="E333" s="157">
        <v>138688</v>
      </c>
      <c r="F333" s="107"/>
      <c r="G333" s="110"/>
      <c r="H333" s="109">
        <v>142654</v>
      </c>
      <c r="I333" s="109">
        <v>3966</v>
      </c>
      <c r="J333" s="20">
        <v>138688</v>
      </c>
    </row>
    <row r="334" spans="1:10" x14ac:dyDescent="0.25">
      <c r="A334" s="107" t="s">
        <v>1369</v>
      </c>
      <c r="B334" s="110"/>
      <c r="C334" s="109">
        <v>2360000</v>
      </c>
      <c r="D334" s="109">
        <v>2360000</v>
      </c>
      <c r="E334" s="110"/>
      <c r="F334" s="107"/>
      <c r="G334" s="110"/>
      <c r="H334" s="109">
        <v>2360000</v>
      </c>
      <c r="I334" s="109">
        <v>2360000</v>
      </c>
      <c r="J334" s="110"/>
    </row>
    <row r="335" spans="1:10" x14ac:dyDescent="0.25">
      <c r="A335" s="107" t="s">
        <v>564</v>
      </c>
      <c r="B335" s="157">
        <v>6955</v>
      </c>
      <c r="C335" s="108"/>
      <c r="D335" s="109">
        <v>360</v>
      </c>
      <c r="E335" s="157">
        <v>6595</v>
      </c>
      <c r="F335" s="107"/>
      <c r="G335" s="20">
        <v>6955</v>
      </c>
      <c r="H335" s="108"/>
      <c r="I335" s="109">
        <v>360</v>
      </c>
      <c r="J335" s="20">
        <v>6595</v>
      </c>
    </row>
    <row r="336" spans="1:10" x14ac:dyDescent="0.25">
      <c r="A336" s="107" t="s">
        <v>567</v>
      </c>
      <c r="B336" s="110"/>
      <c r="C336" s="108"/>
      <c r="D336" s="109">
        <v>50789</v>
      </c>
      <c r="E336" s="158">
        <v>50789</v>
      </c>
      <c r="F336" s="107"/>
      <c r="G336" s="110"/>
      <c r="H336" s="108"/>
      <c r="I336" s="109">
        <v>50789</v>
      </c>
      <c r="J336" s="20">
        <v>-50789</v>
      </c>
    </row>
    <row r="337" spans="1:10" x14ac:dyDescent="0.25">
      <c r="A337" s="107" t="s">
        <v>568</v>
      </c>
      <c r="B337" s="110"/>
      <c r="C337" s="108"/>
      <c r="D337" s="109">
        <v>59362</v>
      </c>
      <c r="E337" s="158">
        <v>59362</v>
      </c>
      <c r="F337" s="107"/>
      <c r="G337" s="110"/>
      <c r="H337" s="108"/>
      <c r="I337" s="109">
        <v>59362</v>
      </c>
      <c r="J337" s="20">
        <v>-59362</v>
      </c>
    </row>
    <row r="338" spans="1:10" x14ac:dyDescent="0.25">
      <c r="A338" s="107" t="s">
        <v>569</v>
      </c>
      <c r="B338" s="110"/>
      <c r="C338" s="109">
        <v>3751</v>
      </c>
      <c r="D338" s="108"/>
      <c r="E338" s="157">
        <v>3751</v>
      </c>
      <c r="F338" s="107"/>
      <c r="G338" s="110"/>
      <c r="H338" s="109">
        <v>3751</v>
      </c>
      <c r="I338" s="108"/>
      <c r="J338" s="20">
        <v>3751</v>
      </c>
    </row>
    <row r="339" spans="1:10" x14ac:dyDescent="0.25">
      <c r="A339" s="107" t="s">
        <v>1370</v>
      </c>
      <c r="B339" s="110"/>
      <c r="C339" s="109">
        <v>2632602</v>
      </c>
      <c r="D339" s="108"/>
      <c r="E339" s="157">
        <v>2632602</v>
      </c>
      <c r="F339" s="107"/>
      <c r="G339" s="110"/>
      <c r="H339" s="109">
        <v>2632602</v>
      </c>
      <c r="I339" s="108"/>
      <c r="J339" s="20">
        <v>2632602</v>
      </c>
    </row>
    <row r="340" spans="1:10" x14ac:dyDescent="0.25">
      <c r="A340" s="107" t="s">
        <v>1080</v>
      </c>
      <c r="B340" s="110"/>
      <c r="C340" s="108"/>
      <c r="D340" s="109">
        <v>14424</v>
      </c>
      <c r="E340" s="158">
        <v>14424</v>
      </c>
      <c r="F340" s="107"/>
      <c r="G340" s="110"/>
      <c r="H340" s="108"/>
      <c r="I340" s="109">
        <v>14424</v>
      </c>
      <c r="J340" s="20">
        <v>-14424</v>
      </c>
    </row>
    <row r="341" spans="1:10" x14ac:dyDescent="0.25">
      <c r="A341" s="107" t="s">
        <v>570</v>
      </c>
      <c r="B341" s="110"/>
      <c r="C341" s="109">
        <v>58203</v>
      </c>
      <c r="D341" s="109">
        <v>58203</v>
      </c>
      <c r="E341" s="110"/>
      <c r="F341" s="107"/>
      <c r="G341" s="110"/>
      <c r="H341" s="109">
        <v>58203</v>
      </c>
      <c r="I341" s="109">
        <v>58203</v>
      </c>
      <c r="J341" s="110"/>
    </row>
    <row r="342" spans="1:10" x14ac:dyDescent="0.25">
      <c r="A342" s="107" t="s">
        <v>571</v>
      </c>
      <c r="B342" s="110"/>
      <c r="C342" s="109">
        <v>24405.1</v>
      </c>
      <c r="D342" s="109">
        <v>24405.1</v>
      </c>
      <c r="E342" s="110"/>
      <c r="F342" s="107"/>
      <c r="G342" s="110"/>
      <c r="H342" s="109">
        <v>24405.1</v>
      </c>
      <c r="I342" s="109">
        <v>24405.1</v>
      </c>
      <c r="J342" s="110"/>
    </row>
    <row r="343" spans="1:10" x14ac:dyDescent="0.25">
      <c r="A343" s="107" t="s">
        <v>572</v>
      </c>
      <c r="B343" s="110"/>
      <c r="C343" s="109">
        <v>18885</v>
      </c>
      <c r="D343" s="109">
        <v>18885</v>
      </c>
      <c r="E343" s="110"/>
      <c r="F343" s="107"/>
      <c r="G343" s="110"/>
      <c r="H343" s="109">
        <v>18885</v>
      </c>
      <c r="I343" s="109">
        <v>18885</v>
      </c>
      <c r="J343" s="110"/>
    </row>
    <row r="344" spans="1:10" x14ac:dyDescent="0.25">
      <c r="A344" s="107" t="s">
        <v>573</v>
      </c>
      <c r="B344" s="110"/>
      <c r="C344" s="109">
        <v>9307.99</v>
      </c>
      <c r="D344" s="108"/>
      <c r="E344" s="157">
        <v>9307.99</v>
      </c>
      <c r="F344" s="107"/>
      <c r="G344" s="110"/>
      <c r="H344" s="109">
        <v>9307.99</v>
      </c>
      <c r="I344" s="108"/>
      <c r="J344" s="20">
        <v>9307.99</v>
      </c>
    </row>
    <row r="345" spans="1:10" x14ac:dyDescent="0.25">
      <c r="A345" s="107" t="s">
        <v>574</v>
      </c>
      <c r="B345" s="110"/>
      <c r="C345" s="109">
        <v>6612</v>
      </c>
      <c r="D345" s="108"/>
      <c r="E345" s="157">
        <v>6612</v>
      </c>
      <c r="F345" s="107"/>
      <c r="G345" s="110"/>
      <c r="H345" s="109">
        <v>6612</v>
      </c>
      <c r="I345" s="108"/>
      <c r="J345" s="20">
        <v>6612</v>
      </c>
    </row>
    <row r="346" spans="1:10" x14ac:dyDescent="0.25">
      <c r="A346" s="107" t="s">
        <v>577</v>
      </c>
      <c r="B346" s="110"/>
      <c r="C346" s="109">
        <v>28560</v>
      </c>
      <c r="D346" s="108"/>
      <c r="E346" s="157">
        <v>28560</v>
      </c>
      <c r="F346" s="107"/>
      <c r="G346" s="110"/>
      <c r="H346" s="109">
        <v>28560</v>
      </c>
      <c r="I346" s="108"/>
      <c r="J346" s="20">
        <v>28560</v>
      </c>
    </row>
    <row r="347" spans="1:10" x14ac:dyDescent="0.25">
      <c r="A347" s="107" t="s">
        <v>579</v>
      </c>
      <c r="B347" s="157">
        <v>59548.72</v>
      </c>
      <c r="C347" s="108"/>
      <c r="D347" s="108"/>
      <c r="E347" s="157">
        <v>59548.72</v>
      </c>
      <c r="F347" s="107"/>
      <c r="G347" s="20">
        <v>59548.72</v>
      </c>
      <c r="H347" s="108"/>
      <c r="I347" s="108"/>
      <c r="J347" s="20">
        <v>59548.72</v>
      </c>
    </row>
    <row r="348" spans="1:10" x14ac:dyDescent="0.25">
      <c r="A348" s="107" t="s">
        <v>580</v>
      </c>
      <c r="B348" s="157">
        <v>6440.68</v>
      </c>
      <c r="C348" s="108"/>
      <c r="D348" s="108"/>
      <c r="E348" s="157">
        <v>6440.68</v>
      </c>
      <c r="F348" s="107"/>
      <c r="G348" s="20">
        <v>6440.68</v>
      </c>
      <c r="H348" s="108"/>
      <c r="I348" s="108"/>
      <c r="J348" s="20">
        <v>6440.68</v>
      </c>
    </row>
    <row r="349" spans="1:10" x14ac:dyDescent="0.25">
      <c r="A349" s="107" t="s">
        <v>582</v>
      </c>
      <c r="B349" s="157">
        <v>56221.599999999999</v>
      </c>
      <c r="C349" s="109">
        <v>76877</v>
      </c>
      <c r="D349" s="109">
        <v>122897</v>
      </c>
      <c r="E349" s="157">
        <v>10201.6</v>
      </c>
      <c r="F349" s="107"/>
      <c r="G349" s="20">
        <v>56221.599999999999</v>
      </c>
      <c r="H349" s="109">
        <v>76877</v>
      </c>
      <c r="I349" s="109">
        <v>122897</v>
      </c>
      <c r="J349" s="20">
        <v>10201.6</v>
      </c>
    </row>
    <row r="350" spans="1:10" x14ac:dyDescent="0.25">
      <c r="A350" s="107" t="s">
        <v>1371</v>
      </c>
      <c r="B350" s="110"/>
      <c r="C350" s="109">
        <v>4609.25</v>
      </c>
      <c r="D350" s="108"/>
      <c r="E350" s="157">
        <v>4609.25</v>
      </c>
      <c r="F350" s="107"/>
      <c r="G350" s="110"/>
      <c r="H350" s="109">
        <v>4609.25</v>
      </c>
      <c r="I350" s="108"/>
      <c r="J350" s="20">
        <v>4609.25</v>
      </c>
    </row>
    <row r="351" spans="1:10" x14ac:dyDescent="0.25">
      <c r="A351" s="107" t="s">
        <v>586</v>
      </c>
      <c r="B351" s="158">
        <v>538</v>
      </c>
      <c r="C351" s="109">
        <v>1075.7</v>
      </c>
      <c r="D351" s="109">
        <v>537.70000000000005</v>
      </c>
      <c r="E351" s="110"/>
      <c r="F351" s="107"/>
      <c r="G351" s="20">
        <v>-538</v>
      </c>
      <c r="H351" s="109">
        <v>1075.7</v>
      </c>
      <c r="I351" s="109">
        <v>537.70000000000005</v>
      </c>
      <c r="J351" s="110"/>
    </row>
    <row r="352" spans="1:10" x14ac:dyDescent="0.25">
      <c r="A352" s="107" t="s">
        <v>1244</v>
      </c>
      <c r="B352" s="110"/>
      <c r="C352" s="109">
        <v>37388</v>
      </c>
      <c r="D352" s="109">
        <v>37388</v>
      </c>
      <c r="E352" s="110"/>
      <c r="F352" s="107"/>
      <c r="G352" s="110"/>
      <c r="H352" s="109">
        <v>37388</v>
      </c>
      <c r="I352" s="109">
        <v>37388</v>
      </c>
      <c r="J352" s="110"/>
    </row>
    <row r="353" spans="1:10" x14ac:dyDescent="0.25">
      <c r="A353" s="107" t="s">
        <v>584</v>
      </c>
      <c r="B353" s="157">
        <v>6254</v>
      </c>
      <c r="C353" s="108"/>
      <c r="D353" s="108"/>
      <c r="E353" s="157">
        <v>6254</v>
      </c>
      <c r="F353" s="107"/>
      <c r="G353" s="20">
        <v>6254</v>
      </c>
      <c r="H353" s="108"/>
      <c r="I353" s="108"/>
      <c r="J353" s="20">
        <v>6254</v>
      </c>
    </row>
    <row r="354" spans="1:10" x14ac:dyDescent="0.25">
      <c r="A354" s="107" t="s">
        <v>1372</v>
      </c>
      <c r="B354" s="110"/>
      <c r="C354" s="109">
        <v>14160000</v>
      </c>
      <c r="D354" s="109">
        <v>14160000</v>
      </c>
      <c r="E354" s="110"/>
      <c r="F354" s="107"/>
      <c r="G354" s="110"/>
      <c r="H354" s="109">
        <v>14160000</v>
      </c>
      <c r="I354" s="109">
        <v>14160000</v>
      </c>
      <c r="J354" s="110"/>
    </row>
    <row r="355" spans="1:10" x14ac:dyDescent="0.25">
      <c r="A355" s="107" t="s">
        <v>1088</v>
      </c>
      <c r="B355" s="110"/>
      <c r="C355" s="109">
        <v>17651800</v>
      </c>
      <c r="D355" s="109">
        <v>17640000</v>
      </c>
      <c r="E355" s="157">
        <v>11800</v>
      </c>
      <c r="F355" s="107"/>
      <c r="G355" s="110"/>
      <c r="H355" s="109">
        <v>17651800</v>
      </c>
      <c r="I355" s="109">
        <v>17640000</v>
      </c>
      <c r="J355" s="20">
        <v>11800</v>
      </c>
    </row>
    <row r="356" spans="1:10" x14ac:dyDescent="0.25">
      <c r="A356" s="107" t="s">
        <v>1373</v>
      </c>
      <c r="B356" s="110"/>
      <c r="C356" s="109">
        <v>11930100</v>
      </c>
      <c r="D356" s="109">
        <v>11930100</v>
      </c>
      <c r="E356" s="110"/>
      <c r="F356" s="107"/>
      <c r="G356" s="110"/>
      <c r="H356" s="109">
        <v>11930100</v>
      </c>
      <c r="I356" s="109">
        <v>11930100</v>
      </c>
      <c r="J356" s="110"/>
    </row>
    <row r="357" spans="1:10" x14ac:dyDescent="0.25">
      <c r="A357" s="107" t="s">
        <v>588</v>
      </c>
      <c r="B357" s="110"/>
      <c r="C357" s="109">
        <v>32487</v>
      </c>
      <c r="D357" s="109">
        <v>32487</v>
      </c>
      <c r="E357" s="110"/>
      <c r="F357" s="107"/>
      <c r="G357" s="110"/>
      <c r="H357" s="109">
        <v>32487</v>
      </c>
      <c r="I357" s="109">
        <v>32487</v>
      </c>
      <c r="J357" s="110"/>
    </row>
    <row r="358" spans="1:10" x14ac:dyDescent="0.25">
      <c r="A358" s="107" t="s">
        <v>589</v>
      </c>
      <c r="B358" s="110"/>
      <c r="C358" s="109">
        <v>96000</v>
      </c>
      <c r="D358" s="109">
        <v>96000</v>
      </c>
      <c r="E358" s="110"/>
      <c r="F358" s="107"/>
      <c r="G358" s="110"/>
      <c r="H358" s="109">
        <v>96000</v>
      </c>
      <c r="I358" s="109">
        <v>96000</v>
      </c>
      <c r="J358" s="110"/>
    </row>
    <row r="359" spans="1:10" x14ac:dyDescent="0.25">
      <c r="A359" s="107" t="s">
        <v>1089</v>
      </c>
      <c r="B359" s="110"/>
      <c r="C359" s="109">
        <v>100000</v>
      </c>
      <c r="D359" s="108"/>
      <c r="E359" s="157">
        <v>100000</v>
      </c>
      <c r="F359" s="107"/>
      <c r="G359" s="110"/>
      <c r="H359" s="109">
        <v>100000</v>
      </c>
      <c r="I359" s="108"/>
      <c r="J359" s="20">
        <v>100000</v>
      </c>
    </row>
    <row r="360" spans="1:10" x14ac:dyDescent="0.25">
      <c r="A360" s="107" t="s">
        <v>591</v>
      </c>
      <c r="B360" s="158">
        <v>36736</v>
      </c>
      <c r="C360" s="109">
        <v>77168</v>
      </c>
      <c r="D360" s="109">
        <v>40432</v>
      </c>
      <c r="E360" s="110"/>
      <c r="F360" s="107"/>
      <c r="G360" s="20">
        <v>-36736</v>
      </c>
      <c r="H360" s="109">
        <v>77168</v>
      </c>
      <c r="I360" s="109">
        <v>40432</v>
      </c>
      <c r="J360" s="110"/>
    </row>
    <row r="361" spans="1:10" x14ac:dyDescent="0.25">
      <c r="A361" s="107" t="s">
        <v>594</v>
      </c>
      <c r="B361" s="110"/>
      <c r="C361" s="109">
        <v>500</v>
      </c>
      <c r="D361" s="109">
        <v>500</v>
      </c>
      <c r="E361" s="110"/>
      <c r="F361" s="107"/>
      <c r="G361" s="110"/>
      <c r="H361" s="109">
        <v>500</v>
      </c>
      <c r="I361" s="109">
        <v>500</v>
      </c>
      <c r="J361" s="110"/>
    </row>
    <row r="362" spans="1:10" x14ac:dyDescent="0.25">
      <c r="A362" s="107" t="s">
        <v>597</v>
      </c>
      <c r="B362" s="157">
        <v>28000</v>
      </c>
      <c r="C362" s="108"/>
      <c r="D362" s="108"/>
      <c r="E362" s="157">
        <v>28000</v>
      </c>
      <c r="F362" s="107"/>
      <c r="G362" s="20">
        <v>28000</v>
      </c>
      <c r="H362" s="108"/>
      <c r="I362" s="108"/>
      <c r="J362" s="20">
        <v>28000</v>
      </c>
    </row>
    <row r="363" spans="1:10" x14ac:dyDescent="0.25">
      <c r="A363" s="107" t="s">
        <v>1306</v>
      </c>
      <c r="B363" s="110"/>
      <c r="C363" s="109">
        <v>3939936</v>
      </c>
      <c r="D363" s="109">
        <v>286263.23</v>
      </c>
      <c r="E363" s="157">
        <v>3653672.77</v>
      </c>
      <c r="F363" s="107"/>
      <c r="G363" s="110"/>
      <c r="H363" s="109">
        <v>3939936</v>
      </c>
      <c r="I363" s="109">
        <v>286263.23</v>
      </c>
      <c r="J363" s="20">
        <v>3653672.77</v>
      </c>
    </row>
    <row r="364" spans="1:10" x14ac:dyDescent="0.25">
      <c r="A364" s="107" t="s">
        <v>1307</v>
      </c>
      <c r="B364" s="110"/>
      <c r="C364" s="109">
        <v>3319</v>
      </c>
      <c r="D364" s="109">
        <v>3319</v>
      </c>
      <c r="E364" s="110"/>
      <c r="F364" s="107"/>
      <c r="G364" s="110"/>
      <c r="H364" s="109">
        <v>3319</v>
      </c>
      <c r="I364" s="109">
        <v>3319</v>
      </c>
      <c r="J364" s="110"/>
    </row>
    <row r="365" spans="1:10" x14ac:dyDescent="0.25">
      <c r="A365" s="107" t="s">
        <v>599</v>
      </c>
      <c r="B365" s="157">
        <v>18341.55</v>
      </c>
      <c r="C365" s="108"/>
      <c r="D365" s="108"/>
      <c r="E365" s="157">
        <v>18341.55</v>
      </c>
      <c r="F365" s="107"/>
      <c r="G365" s="20">
        <v>18341.55</v>
      </c>
      <c r="H365" s="108"/>
      <c r="I365" s="108"/>
      <c r="J365" s="20">
        <v>18341.55</v>
      </c>
    </row>
    <row r="366" spans="1:10" x14ac:dyDescent="0.25">
      <c r="A366" s="107" t="s">
        <v>600</v>
      </c>
      <c r="B366" s="110"/>
      <c r="C366" s="109">
        <v>861</v>
      </c>
      <c r="D366" s="109">
        <v>861</v>
      </c>
      <c r="E366" s="110"/>
      <c r="F366" s="107"/>
      <c r="G366" s="110"/>
      <c r="H366" s="109">
        <v>861</v>
      </c>
      <c r="I366" s="109">
        <v>861</v>
      </c>
      <c r="J366" s="110"/>
    </row>
    <row r="367" spans="1:10" x14ac:dyDescent="0.25">
      <c r="A367" s="107" t="s">
        <v>602</v>
      </c>
      <c r="B367" s="110"/>
      <c r="C367" s="109">
        <v>25960</v>
      </c>
      <c r="D367" s="109">
        <v>25960</v>
      </c>
      <c r="E367" s="110"/>
      <c r="F367" s="107"/>
      <c r="G367" s="110"/>
      <c r="H367" s="109">
        <v>25960</v>
      </c>
      <c r="I367" s="109">
        <v>25960</v>
      </c>
      <c r="J367" s="110"/>
    </row>
    <row r="368" spans="1:10" x14ac:dyDescent="0.25">
      <c r="A368" s="107" t="s">
        <v>603</v>
      </c>
      <c r="B368" s="157">
        <v>26231.75</v>
      </c>
      <c r="C368" s="108"/>
      <c r="D368" s="108"/>
      <c r="E368" s="157">
        <v>26231.75</v>
      </c>
      <c r="F368" s="107"/>
      <c r="G368" s="20">
        <v>26231.75</v>
      </c>
      <c r="H368" s="108"/>
      <c r="I368" s="108"/>
      <c r="J368" s="20">
        <v>26231.75</v>
      </c>
    </row>
    <row r="369" spans="1:10" x14ac:dyDescent="0.25">
      <c r="A369" s="107" t="s">
        <v>1245</v>
      </c>
      <c r="B369" s="110"/>
      <c r="C369" s="109">
        <v>1365004</v>
      </c>
      <c r="D369" s="109">
        <v>1365004</v>
      </c>
      <c r="E369" s="110"/>
      <c r="F369" s="107"/>
      <c r="G369" s="110"/>
      <c r="H369" s="109">
        <v>1365004</v>
      </c>
      <c r="I369" s="109">
        <v>1365004</v>
      </c>
      <c r="J369" s="110"/>
    </row>
    <row r="370" spans="1:10" x14ac:dyDescent="0.25">
      <c r="A370" s="107" t="s">
        <v>604</v>
      </c>
      <c r="B370" s="110"/>
      <c r="C370" s="109">
        <v>13260</v>
      </c>
      <c r="D370" s="108"/>
      <c r="E370" s="157">
        <v>13260</v>
      </c>
      <c r="F370" s="107"/>
      <c r="G370" s="110"/>
      <c r="H370" s="109">
        <v>13260</v>
      </c>
      <c r="I370" s="108"/>
      <c r="J370" s="20">
        <v>13260</v>
      </c>
    </row>
    <row r="371" spans="1:10" x14ac:dyDescent="0.25">
      <c r="A371" s="107" t="s">
        <v>1308</v>
      </c>
      <c r="B371" s="110"/>
      <c r="C371" s="109">
        <v>260500</v>
      </c>
      <c r="D371" s="108"/>
      <c r="E371" s="157">
        <v>260500</v>
      </c>
      <c r="F371" s="107"/>
      <c r="G371" s="110"/>
      <c r="H371" s="109">
        <v>260500</v>
      </c>
      <c r="I371" s="108"/>
      <c r="J371" s="20">
        <v>260500</v>
      </c>
    </row>
    <row r="372" spans="1:10" x14ac:dyDescent="0.25">
      <c r="A372" s="107" t="s">
        <v>607</v>
      </c>
      <c r="B372" s="110"/>
      <c r="C372" s="109">
        <v>40000</v>
      </c>
      <c r="D372" s="108"/>
      <c r="E372" s="157">
        <v>40000</v>
      </c>
      <c r="F372" s="107"/>
      <c r="G372" s="110"/>
      <c r="H372" s="109">
        <v>40000</v>
      </c>
      <c r="I372" s="108"/>
      <c r="J372" s="20">
        <v>40000</v>
      </c>
    </row>
    <row r="373" spans="1:10" x14ac:dyDescent="0.25">
      <c r="A373" s="107" t="s">
        <v>610</v>
      </c>
      <c r="B373" s="157">
        <v>39766</v>
      </c>
      <c r="C373" s="108"/>
      <c r="D373" s="108"/>
      <c r="E373" s="157">
        <v>39766</v>
      </c>
      <c r="F373" s="107"/>
      <c r="G373" s="20">
        <v>39766</v>
      </c>
      <c r="H373" s="108"/>
      <c r="I373" s="108"/>
      <c r="J373" s="20">
        <v>39766</v>
      </c>
    </row>
    <row r="374" spans="1:10" x14ac:dyDescent="0.25">
      <c r="A374" s="107" t="s">
        <v>611</v>
      </c>
      <c r="B374" s="110"/>
      <c r="C374" s="109">
        <v>533820</v>
      </c>
      <c r="D374" s="108"/>
      <c r="E374" s="157">
        <v>533820</v>
      </c>
      <c r="F374" s="107"/>
      <c r="G374" s="110"/>
      <c r="H374" s="109">
        <v>533820</v>
      </c>
      <c r="I374" s="108"/>
      <c r="J374" s="20">
        <v>533820</v>
      </c>
    </row>
    <row r="375" spans="1:10" x14ac:dyDescent="0.25">
      <c r="A375" s="107" t="s">
        <v>613</v>
      </c>
      <c r="B375" s="110"/>
      <c r="C375" s="109">
        <v>6200</v>
      </c>
      <c r="D375" s="108"/>
      <c r="E375" s="157">
        <v>6200</v>
      </c>
      <c r="F375" s="107"/>
      <c r="G375" s="110"/>
      <c r="H375" s="109">
        <v>6200</v>
      </c>
      <c r="I375" s="108"/>
      <c r="J375" s="20">
        <v>6200</v>
      </c>
    </row>
    <row r="376" spans="1:10" x14ac:dyDescent="0.25">
      <c r="A376" s="107" t="s">
        <v>614</v>
      </c>
      <c r="B376" s="110"/>
      <c r="C376" s="109">
        <v>5409</v>
      </c>
      <c r="D376" s="108"/>
      <c r="E376" s="157">
        <v>5409</v>
      </c>
      <c r="F376" s="107"/>
      <c r="G376" s="110"/>
      <c r="H376" s="109">
        <v>5409</v>
      </c>
      <c r="I376" s="108"/>
      <c r="J376" s="20">
        <v>5409</v>
      </c>
    </row>
    <row r="377" spans="1:10" x14ac:dyDescent="0.25">
      <c r="A377" s="107" t="s">
        <v>615</v>
      </c>
      <c r="B377" s="110"/>
      <c r="C377" s="109">
        <v>7480</v>
      </c>
      <c r="D377" s="108"/>
      <c r="E377" s="157">
        <v>7480</v>
      </c>
      <c r="F377" s="107"/>
      <c r="G377" s="110"/>
      <c r="H377" s="109">
        <v>7480</v>
      </c>
      <c r="I377" s="108"/>
      <c r="J377" s="20">
        <v>7480</v>
      </c>
    </row>
    <row r="378" spans="1:10" x14ac:dyDescent="0.25">
      <c r="A378" s="107" t="s">
        <v>1129</v>
      </c>
      <c r="B378" s="110"/>
      <c r="C378" s="109">
        <v>26694.92</v>
      </c>
      <c r="D378" s="108"/>
      <c r="E378" s="157">
        <v>26694.92</v>
      </c>
      <c r="F378" s="107"/>
      <c r="G378" s="110"/>
      <c r="H378" s="109">
        <v>26694.92</v>
      </c>
      <c r="I378" s="108"/>
      <c r="J378" s="20">
        <v>26694.92</v>
      </c>
    </row>
    <row r="379" spans="1:10" x14ac:dyDescent="0.25">
      <c r="A379" s="107" t="s">
        <v>1374</v>
      </c>
      <c r="B379" s="110"/>
      <c r="C379" s="109">
        <v>8851.94</v>
      </c>
      <c r="D379" s="108"/>
      <c r="E379" s="157">
        <v>8851.94</v>
      </c>
      <c r="F379" s="107"/>
      <c r="G379" s="110"/>
      <c r="H379" s="109">
        <v>8851.94</v>
      </c>
      <c r="I379" s="108"/>
      <c r="J379" s="20">
        <v>8851.94</v>
      </c>
    </row>
    <row r="380" spans="1:10" x14ac:dyDescent="0.25">
      <c r="A380" s="107" t="s">
        <v>1059</v>
      </c>
      <c r="B380" s="110"/>
      <c r="C380" s="109">
        <v>6799</v>
      </c>
      <c r="D380" s="109">
        <v>6799</v>
      </c>
      <c r="E380" s="110"/>
      <c r="F380" s="107"/>
      <c r="G380" s="110"/>
      <c r="H380" s="109">
        <v>6799</v>
      </c>
      <c r="I380" s="109">
        <v>6799</v>
      </c>
      <c r="J380" s="110"/>
    </row>
    <row r="381" spans="1:10" x14ac:dyDescent="0.25">
      <c r="A381" s="107" t="s">
        <v>617</v>
      </c>
      <c r="B381" s="110"/>
      <c r="C381" s="109">
        <v>93223</v>
      </c>
      <c r="D381" s="108"/>
      <c r="E381" s="157">
        <v>93223</v>
      </c>
      <c r="F381" s="107"/>
      <c r="G381" s="110"/>
      <c r="H381" s="109">
        <v>93223</v>
      </c>
      <c r="I381" s="108"/>
      <c r="J381" s="20">
        <v>93223</v>
      </c>
    </row>
    <row r="382" spans="1:10" x14ac:dyDescent="0.25">
      <c r="A382" s="107" t="s">
        <v>618</v>
      </c>
      <c r="B382" s="110"/>
      <c r="C382" s="109">
        <v>2850</v>
      </c>
      <c r="D382" s="108"/>
      <c r="E382" s="157">
        <v>2850</v>
      </c>
      <c r="F382" s="107"/>
      <c r="G382" s="110"/>
      <c r="H382" s="109">
        <v>2850</v>
      </c>
      <c r="I382" s="108"/>
      <c r="J382" s="20">
        <v>2850</v>
      </c>
    </row>
    <row r="383" spans="1:10" x14ac:dyDescent="0.25">
      <c r="A383" s="107" t="s">
        <v>1060</v>
      </c>
      <c r="B383" s="110"/>
      <c r="C383" s="109">
        <v>4749362</v>
      </c>
      <c r="D383" s="109">
        <v>4749362</v>
      </c>
      <c r="E383" s="110"/>
      <c r="F383" s="107"/>
      <c r="G383" s="110"/>
      <c r="H383" s="109">
        <v>4749362</v>
      </c>
      <c r="I383" s="109">
        <v>4749362</v>
      </c>
      <c r="J383" s="110"/>
    </row>
    <row r="384" spans="1:10" x14ac:dyDescent="0.25">
      <c r="A384" s="107" t="s">
        <v>621</v>
      </c>
      <c r="B384" s="110"/>
      <c r="C384" s="109">
        <v>18401.57</v>
      </c>
      <c r="D384" s="108"/>
      <c r="E384" s="157">
        <v>18401.57</v>
      </c>
      <c r="F384" s="107"/>
      <c r="G384" s="110"/>
      <c r="H384" s="109">
        <v>18401.57</v>
      </c>
      <c r="I384" s="108"/>
      <c r="J384" s="20">
        <v>18401.57</v>
      </c>
    </row>
    <row r="385" spans="1:10" x14ac:dyDescent="0.25">
      <c r="A385" s="107" t="s">
        <v>1309</v>
      </c>
      <c r="B385" s="110"/>
      <c r="C385" s="109">
        <v>32325</v>
      </c>
      <c r="D385" s="109">
        <v>39327</v>
      </c>
      <c r="E385" s="158">
        <v>7002</v>
      </c>
      <c r="F385" s="107"/>
      <c r="G385" s="110"/>
      <c r="H385" s="109">
        <v>32325</v>
      </c>
      <c r="I385" s="109">
        <v>39327</v>
      </c>
      <c r="J385" s="20">
        <v>-7002</v>
      </c>
    </row>
    <row r="386" spans="1:10" x14ac:dyDescent="0.25">
      <c r="A386" s="107" t="s">
        <v>622</v>
      </c>
      <c r="B386" s="110"/>
      <c r="C386" s="109">
        <v>320721</v>
      </c>
      <c r="D386" s="109">
        <v>320721</v>
      </c>
      <c r="E386" s="110"/>
      <c r="F386" s="107"/>
      <c r="G386" s="110"/>
      <c r="H386" s="109">
        <v>320721</v>
      </c>
      <c r="I386" s="109">
        <v>320721</v>
      </c>
      <c r="J386" s="110"/>
    </row>
    <row r="387" spans="1:10" x14ac:dyDescent="0.25">
      <c r="A387" s="107" t="s">
        <v>1220</v>
      </c>
      <c r="B387" s="110"/>
      <c r="C387" s="109">
        <v>2070</v>
      </c>
      <c r="D387" s="108"/>
      <c r="E387" s="157">
        <v>2070</v>
      </c>
      <c r="F387" s="107"/>
      <c r="G387" s="110"/>
      <c r="H387" s="109">
        <v>2070</v>
      </c>
      <c r="I387" s="108"/>
      <c r="J387" s="20">
        <v>2070</v>
      </c>
    </row>
    <row r="388" spans="1:10" x14ac:dyDescent="0.25">
      <c r="A388" s="107" t="s">
        <v>624</v>
      </c>
      <c r="B388" s="110"/>
      <c r="C388" s="109">
        <v>37648</v>
      </c>
      <c r="D388" s="108"/>
      <c r="E388" s="157">
        <v>37648</v>
      </c>
      <c r="F388" s="107"/>
      <c r="G388" s="110"/>
      <c r="H388" s="109">
        <v>37648</v>
      </c>
      <c r="I388" s="108"/>
      <c r="J388" s="20">
        <v>37648</v>
      </c>
    </row>
    <row r="389" spans="1:10" x14ac:dyDescent="0.25">
      <c r="A389" s="107" t="s">
        <v>1061</v>
      </c>
      <c r="B389" s="110"/>
      <c r="C389" s="109">
        <v>4180</v>
      </c>
      <c r="D389" s="108"/>
      <c r="E389" s="157">
        <v>4180</v>
      </c>
      <c r="F389" s="107"/>
      <c r="G389" s="110"/>
      <c r="H389" s="109">
        <v>4180</v>
      </c>
      <c r="I389" s="108"/>
      <c r="J389" s="20">
        <v>4180</v>
      </c>
    </row>
    <row r="390" spans="1:10" x14ac:dyDescent="0.25">
      <c r="A390" s="107" t="s">
        <v>1375</v>
      </c>
      <c r="B390" s="110"/>
      <c r="C390" s="109">
        <v>2565.1999999999998</v>
      </c>
      <c r="D390" s="108"/>
      <c r="E390" s="157">
        <v>2565.1999999999998</v>
      </c>
      <c r="F390" s="107"/>
      <c r="G390" s="110"/>
      <c r="H390" s="109">
        <v>2565.1999999999998</v>
      </c>
      <c r="I390" s="108"/>
      <c r="J390" s="20">
        <v>2565.1999999999998</v>
      </c>
    </row>
    <row r="391" spans="1:10" x14ac:dyDescent="0.25">
      <c r="A391" s="107" t="s">
        <v>631</v>
      </c>
      <c r="B391" s="157">
        <v>7500</v>
      </c>
      <c r="C391" s="108"/>
      <c r="D391" s="108"/>
      <c r="E391" s="157">
        <v>7500</v>
      </c>
      <c r="F391" s="107"/>
      <c r="G391" s="20">
        <v>7500</v>
      </c>
      <c r="H391" s="108"/>
      <c r="I391" s="108"/>
      <c r="J391" s="20">
        <v>7500</v>
      </c>
    </row>
    <row r="392" spans="1:10" x14ac:dyDescent="0.25">
      <c r="A392" s="107" t="s">
        <v>632</v>
      </c>
      <c r="B392" s="158">
        <v>23961</v>
      </c>
      <c r="C392" s="109">
        <v>3865</v>
      </c>
      <c r="D392" s="109">
        <v>3865</v>
      </c>
      <c r="E392" s="158">
        <v>23961</v>
      </c>
      <c r="F392" s="107"/>
      <c r="G392" s="20">
        <v>-23961</v>
      </c>
      <c r="H392" s="109">
        <v>3865</v>
      </c>
      <c r="I392" s="109">
        <v>3865</v>
      </c>
      <c r="J392" s="20">
        <v>-23961</v>
      </c>
    </row>
    <row r="393" spans="1:10" x14ac:dyDescent="0.25">
      <c r="A393" s="107" t="s">
        <v>634</v>
      </c>
      <c r="B393" s="110"/>
      <c r="C393" s="109">
        <v>30000</v>
      </c>
      <c r="D393" s="108"/>
      <c r="E393" s="157">
        <v>30000</v>
      </c>
      <c r="F393" s="107"/>
      <c r="G393" s="110"/>
      <c r="H393" s="109">
        <v>30000</v>
      </c>
      <c r="I393" s="108"/>
      <c r="J393" s="20">
        <v>30000</v>
      </c>
    </row>
    <row r="394" spans="1:10" x14ac:dyDescent="0.25">
      <c r="A394" s="107" t="s">
        <v>635</v>
      </c>
      <c r="B394" s="110"/>
      <c r="C394" s="109">
        <v>6835</v>
      </c>
      <c r="D394" s="109">
        <v>6835</v>
      </c>
      <c r="E394" s="110"/>
      <c r="F394" s="107"/>
      <c r="G394" s="110"/>
      <c r="H394" s="109">
        <v>6835</v>
      </c>
      <c r="I394" s="109">
        <v>6835</v>
      </c>
      <c r="J394" s="110"/>
    </row>
    <row r="395" spans="1:10" x14ac:dyDescent="0.25">
      <c r="A395" s="107" t="s">
        <v>636</v>
      </c>
      <c r="B395" s="158">
        <v>474</v>
      </c>
      <c r="C395" s="109">
        <v>26342</v>
      </c>
      <c r="D395" s="109">
        <v>26342</v>
      </c>
      <c r="E395" s="158">
        <v>474</v>
      </c>
      <c r="F395" s="107"/>
      <c r="G395" s="20">
        <v>-474</v>
      </c>
      <c r="H395" s="109">
        <v>26342</v>
      </c>
      <c r="I395" s="109">
        <v>26342</v>
      </c>
      <c r="J395" s="20">
        <v>-474</v>
      </c>
    </row>
    <row r="396" spans="1:10" x14ac:dyDescent="0.25">
      <c r="A396" s="107" t="s">
        <v>637</v>
      </c>
      <c r="B396" s="110"/>
      <c r="C396" s="109">
        <v>6220</v>
      </c>
      <c r="D396" s="108"/>
      <c r="E396" s="157">
        <v>6220</v>
      </c>
      <c r="F396" s="107"/>
      <c r="G396" s="110"/>
      <c r="H396" s="109">
        <v>6220</v>
      </c>
      <c r="I396" s="108"/>
      <c r="J396" s="20">
        <v>6220</v>
      </c>
    </row>
    <row r="397" spans="1:10" x14ac:dyDescent="0.25">
      <c r="A397" s="107" t="s">
        <v>1024</v>
      </c>
      <c r="B397" s="110"/>
      <c r="C397" s="109">
        <v>2043284.5</v>
      </c>
      <c r="D397" s="108"/>
      <c r="E397" s="157">
        <v>2043284.5</v>
      </c>
      <c r="F397" s="107"/>
      <c r="G397" s="110"/>
      <c r="H397" s="109">
        <v>2043284.5</v>
      </c>
      <c r="I397" s="108"/>
      <c r="J397" s="20">
        <v>2043284.5</v>
      </c>
    </row>
    <row r="398" spans="1:10" x14ac:dyDescent="0.25">
      <c r="A398" s="107" t="s">
        <v>1023</v>
      </c>
      <c r="B398" s="110"/>
      <c r="C398" s="109">
        <v>5014424</v>
      </c>
      <c r="D398" s="109">
        <v>5014424</v>
      </c>
      <c r="E398" s="110"/>
      <c r="F398" s="107"/>
      <c r="G398" s="110"/>
      <c r="H398" s="109">
        <v>5014424</v>
      </c>
      <c r="I398" s="109">
        <v>5014424</v>
      </c>
      <c r="J398" s="110"/>
    </row>
    <row r="399" spans="1:10" x14ac:dyDescent="0.25">
      <c r="A399" s="107" t="s">
        <v>639</v>
      </c>
      <c r="B399" s="110"/>
      <c r="C399" s="109">
        <v>2043500</v>
      </c>
      <c r="D399" s="109">
        <v>2043500</v>
      </c>
      <c r="E399" s="110"/>
      <c r="F399" s="107"/>
      <c r="G399" s="110"/>
      <c r="H399" s="109">
        <v>2043500</v>
      </c>
      <c r="I399" s="109">
        <v>2043500</v>
      </c>
      <c r="J399" s="110"/>
    </row>
    <row r="400" spans="1:10" x14ac:dyDescent="0.25">
      <c r="A400" s="107" t="s">
        <v>1376</v>
      </c>
      <c r="B400" s="110"/>
      <c r="C400" s="109">
        <v>20244</v>
      </c>
      <c r="D400" s="109">
        <v>20244</v>
      </c>
      <c r="E400" s="110"/>
      <c r="F400" s="107"/>
      <c r="G400" s="110"/>
      <c r="H400" s="109">
        <v>20244</v>
      </c>
      <c r="I400" s="109">
        <v>20244</v>
      </c>
      <c r="J400" s="110"/>
    </row>
    <row r="401" spans="1:10" x14ac:dyDescent="0.25">
      <c r="A401" s="107" t="s">
        <v>1282</v>
      </c>
      <c r="B401" s="110"/>
      <c r="C401" s="109">
        <v>12520</v>
      </c>
      <c r="D401" s="108"/>
      <c r="E401" s="157">
        <v>12520</v>
      </c>
      <c r="F401" s="107"/>
      <c r="G401" s="110"/>
      <c r="H401" s="109">
        <v>12520</v>
      </c>
      <c r="I401" s="108"/>
      <c r="J401" s="20">
        <v>12520</v>
      </c>
    </row>
    <row r="402" spans="1:10" x14ac:dyDescent="0.25">
      <c r="A402" s="107" t="s">
        <v>641</v>
      </c>
      <c r="B402" s="158">
        <v>21600</v>
      </c>
      <c r="C402" s="109">
        <v>712120</v>
      </c>
      <c r="D402" s="109">
        <v>712120</v>
      </c>
      <c r="E402" s="158">
        <v>21600</v>
      </c>
      <c r="F402" s="107"/>
      <c r="G402" s="20">
        <v>-21600</v>
      </c>
      <c r="H402" s="109">
        <v>712120</v>
      </c>
      <c r="I402" s="109">
        <v>712120</v>
      </c>
      <c r="J402" s="20">
        <v>-21600</v>
      </c>
    </row>
    <row r="403" spans="1:10" x14ac:dyDescent="0.25">
      <c r="A403" s="107" t="s">
        <v>642</v>
      </c>
      <c r="B403" s="110"/>
      <c r="C403" s="109">
        <v>9523</v>
      </c>
      <c r="D403" s="109">
        <v>9523</v>
      </c>
      <c r="E403" s="110"/>
      <c r="F403" s="107"/>
      <c r="G403" s="110"/>
      <c r="H403" s="109">
        <v>9523</v>
      </c>
      <c r="I403" s="109">
        <v>9523</v>
      </c>
      <c r="J403" s="110"/>
    </row>
    <row r="404" spans="1:10" x14ac:dyDescent="0.25">
      <c r="A404" s="107" t="s">
        <v>1377</v>
      </c>
      <c r="B404" s="110"/>
      <c r="C404" s="109">
        <v>9601691</v>
      </c>
      <c r="D404" s="108"/>
      <c r="E404" s="157">
        <v>9601691</v>
      </c>
      <c r="F404" s="107"/>
      <c r="G404" s="110"/>
      <c r="H404" s="109">
        <v>9601691</v>
      </c>
      <c r="I404" s="108"/>
      <c r="J404" s="20">
        <v>9601691</v>
      </c>
    </row>
    <row r="405" spans="1:10" x14ac:dyDescent="0.25">
      <c r="A405" s="107" t="s">
        <v>644</v>
      </c>
      <c r="B405" s="157">
        <v>287076.26</v>
      </c>
      <c r="C405" s="109">
        <v>169235.6</v>
      </c>
      <c r="D405" s="109">
        <v>10000</v>
      </c>
      <c r="E405" s="157">
        <v>446311.86</v>
      </c>
      <c r="F405" s="107"/>
      <c r="G405" s="20">
        <v>287076.26</v>
      </c>
      <c r="H405" s="109">
        <v>169235.6</v>
      </c>
      <c r="I405" s="109">
        <v>10000</v>
      </c>
      <c r="J405" s="20">
        <v>446311.86</v>
      </c>
    </row>
    <row r="406" spans="1:10" x14ac:dyDescent="0.25">
      <c r="A406" s="107" t="s">
        <v>643</v>
      </c>
      <c r="B406" s="110"/>
      <c r="C406" s="109">
        <v>91086.49</v>
      </c>
      <c r="D406" s="108"/>
      <c r="E406" s="157">
        <v>91086.49</v>
      </c>
      <c r="F406" s="107"/>
      <c r="G406" s="110"/>
      <c r="H406" s="109">
        <v>91086.49</v>
      </c>
      <c r="I406" s="108"/>
      <c r="J406" s="20">
        <v>91086.49</v>
      </c>
    </row>
    <row r="407" spans="1:10" x14ac:dyDescent="0.25">
      <c r="A407" s="107" t="s">
        <v>1378</v>
      </c>
      <c r="B407" s="110"/>
      <c r="C407" s="109">
        <v>1512000</v>
      </c>
      <c r="D407" s="109">
        <v>1512000</v>
      </c>
      <c r="E407" s="110"/>
      <c r="F407" s="107"/>
      <c r="G407" s="110"/>
      <c r="H407" s="109">
        <v>1512000</v>
      </c>
      <c r="I407" s="109">
        <v>1512000</v>
      </c>
      <c r="J407" s="110"/>
    </row>
    <row r="408" spans="1:10" x14ac:dyDescent="0.25">
      <c r="A408" s="107" t="s">
        <v>646</v>
      </c>
      <c r="B408" s="157">
        <v>118139.95</v>
      </c>
      <c r="C408" s="109">
        <v>104.09</v>
      </c>
      <c r="D408" s="109">
        <v>118244.04</v>
      </c>
      <c r="E408" s="110"/>
      <c r="F408" s="107"/>
      <c r="G408" s="20">
        <v>118139.95</v>
      </c>
      <c r="H408" s="109">
        <v>104.09</v>
      </c>
      <c r="I408" s="109">
        <v>118244.04</v>
      </c>
      <c r="J408" s="110"/>
    </row>
    <row r="409" spans="1:10" x14ac:dyDescent="0.25">
      <c r="A409" s="107" t="s">
        <v>647</v>
      </c>
      <c r="B409" s="157">
        <v>3132.28</v>
      </c>
      <c r="C409" s="108"/>
      <c r="D409" s="108"/>
      <c r="E409" s="157">
        <v>3132.28</v>
      </c>
      <c r="F409" s="107"/>
      <c r="G409" s="20">
        <v>3132.28</v>
      </c>
      <c r="H409" s="108"/>
      <c r="I409" s="108"/>
      <c r="J409" s="20">
        <v>3132.28</v>
      </c>
    </row>
    <row r="410" spans="1:10" x14ac:dyDescent="0.25">
      <c r="A410" s="107" t="s">
        <v>648</v>
      </c>
      <c r="B410" s="158">
        <v>1947</v>
      </c>
      <c r="C410" s="109">
        <v>1947</v>
      </c>
      <c r="D410" s="108"/>
      <c r="E410" s="110"/>
      <c r="F410" s="107"/>
      <c r="G410" s="20">
        <v>-1947</v>
      </c>
      <c r="H410" s="109">
        <v>1947</v>
      </c>
      <c r="I410" s="108"/>
      <c r="J410" s="110"/>
    </row>
    <row r="411" spans="1:10" x14ac:dyDescent="0.25">
      <c r="A411" s="107" t="s">
        <v>620</v>
      </c>
      <c r="B411" s="158">
        <v>1250000</v>
      </c>
      <c r="C411" s="108"/>
      <c r="D411" s="108"/>
      <c r="E411" s="158">
        <v>1250000</v>
      </c>
      <c r="F411" s="107"/>
      <c r="G411" s="20">
        <v>-1250000</v>
      </c>
      <c r="H411" s="108"/>
      <c r="I411" s="108"/>
      <c r="J411" s="20">
        <v>-1250000</v>
      </c>
    </row>
    <row r="412" spans="1:10" x14ac:dyDescent="0.25">
      <c r="A412" s="107" t="s">
        <v>649</v>
      </c>
      <c r="B412" s="110"/>
      <c r="C412" s="109">
        <v>850</v>
      </c>
      <c r="D412" s="108"/>
      <c r="E412" s="157">
        <v>850</v>
      </c>
      <c r="F412" s="107"/>
      <c r="G412" s="110"/>
      <c r="H412" s="109">
        <v>850</v>
      </c>
      <c r="I412" s="108"/>
      <c r="J412" s="20">
        <v>850</v>
      </c>
    </row>
    <row r="413" spans="1:10" x14ac:dyDescent="0.25">
      <c r="A413" s="107" t="s">
        <v>1246</v>
      </c>
      <c r="B413" s="110"/>
      <c r="C413" s="109">
        <v>1025</v>
      </c>
      <c r="D413" s="108"/>
      <c r="E413" s="157">
        <v>1025</v>
      </c>
      <c r="F413" s="107"/>
      <c r="G413" s="110"/>
      <c r="H413" s="109">
        <v>1025</v>
      </c>
      <c r="I413" s="108"/>
      <c r="J413" s="20">
        <v>1025</v>
      </c>
    </row>
    <row r="414" spans="1:10" x14ac:dyDescent="0.25">
      <c r="A414" s="107" t="s">
        <v>650</v>
      </c>
      <c r="B414" s="110"/>
      <c r="C414" s="109">
        <v>60190</v>
      </c>
      <c r="D414" s="109">
        <v>60190</v>
      </c>
      <c r="E414" s="110"/>
      <c r="F414" s="107"/>
      <c r="G414" s="110"/>
      <c r="H414" s="109">
        <v>60190</v>
      </c>
      <c r="I414" s="109">
        <v>60190</v>
      </c>
      <c r="J414" s="110"/>
    </row>
    <row r="415" spans="1:10" x14ac:dyDescent="0.25">
      <c r="A415" s="107" t="s">
        <v>1379</v>
      </c>
      <c r="B415" s="110"/>
      <c r="C415" s="109">
        <v>3250967</v>
      </c>
      <c r="D415" s="108"/>
      <c r="E415" s="157">
        <v>3250967</v>
      </c>
      <c r="F415" s="107"/>
      <c r="G415" s="110"/>
      <c r="H415" s="109">
        <v>3250967</v>
      </c>
      <c r="I415" s="108"/>
      <c r="J415" s="20">
        <v>3250967</v>
      </c>
    </row>
    <row r="416" spans="1:10" x14ac:dyDescent="0.25">
      <c r="A416" s="107" t="s">
        <v>1380</v>
      </c>
      <c r="B416" s="110"/>
      <c r="C416" s="109">
        <v>4565399</v>
      </c>
      <c r="D416" s="108"/>
      <c r="E416" s="157">
        <v>4565399</v>
      </c>
      <c r="F416" s="107"/>
      <c r="G416" s="110"/>
      <c r="H416" s="109">
        <v>4565399</v>
      </c>
      <c r="I416" s="108"/>
      <c r="J416" s="20">
        <v>4565399</v>
      </c>
    </row>
    <row r="417" spans="1:10" x14ac:dyDescent="0.25">
      <c r="A417" s="107" t="s">
        <v>652</v>
      </c>
      <c r="B417" s="157">
        <v>145129.1</v>
      </c>
      <c r="C417" s="108"/>
      <c r="D417" s="108"/>
      <c r="E417" s="157">
        <v>145129.1</v>
      </c>
      <c r="F417" s="107"/>
      <c r="G417" s="20">
        <v>145129.1</v>
      </c>
      <c r="H417" s="108"/>
      <c r="I417" s="108"/>
      <c r="J417" s="20">
        <v>145129.1</v>
      </c>
    </row>
    <row r="418" spans="1:10" x14ac:dyDescent="0.25">
      <c r="A418" s="107" t="s">
        <v>653</v>
      </c>
      <c r="B418" s="157">
        <v>241882.11</v>
      </c>
      <c r="C418" s="108"/>
      <c r="D418" s="108"/>
      <c r="E418" s="157">
        <v>241882.11</v>
      </c>
      <c r="F418" s="107"/>
      <c r="G418" s="20">
        <v>241882.11</v>
      </c>
      <c r="H418" s="108"/>
      <c r="I418" s="108"/>
      <c r="J418" s="20">
        <v>241882.11</v>
      </c>
    </row>
    <row r="419" spans="1:10" x14ac:dyDescent="0.25">
      <c r="A419" s="107" t="s">
        <v>654</v>
      </c>
      <c r="B419" s="157">
        <v>338635.12</v>
      </c>
      <c r="C419" s="108"/>
      <c r="D419" s="108"/>
      <c r="E419" s="157">
        <v>338635.12</v>
      </c>
      <c r="F419" s="107"/>
      <c r="G419" s="20">
        <v>338635.12</v>
      </c>
      <c r="H419" s="108"/>
      <c r="I419" s="108"/>
      <c r="J419" s="20">
        <v>338635.12</v>
      </c>
    </row>
    <row r="420" spans="1:10" x14ac:dyDescent="0.25">
      <c r="A420" s="107" t="s">
        <v>655</v>
      </c>
      <c r="B420" s="157">
        <v>300</v>
      </c>
      <c r="C420" s="109">
        <v>71966</v>
      </c>
      <c r="D420" s="109">
        <v>71966</v>
      </c>
      <c r="E420" s="157">
        <v>300</v>
      </c>
      <c r="F420" s="107"/>
      <c r="G420" s="20">
        <v>300</v>
      </c>
      <c r="H420" s="109">
        <v>71966</v>
      </c>
      <c r="I420" s="109">
        <v>71966</v>
      </c>
      <c r="J420" s="20">
        <v>300</v>
      </c>
    </row>
    <row r="421" spans="1:10" x14ac:dyDescent="0.25">
      <c r="A421" s="107" t="s">
        <v>656</v>
      </c>
      <c r="B421" s="110"/>
      <c r="C421" s="109">
        <v>13293</v>
      </c>
      <c r="D421" s="109">
        <v>13293</v>
      </c>
      <c r="E421" s="110"/>
      <c r="F421" s="107"/>
      <c r="G421" s="110"/>
      <c r="H421" s="109">
        <v>13293</v>
      </c>
      <c r="I421" s="109">
        <v>13293</v>
      </c>
      <c r="J421" s="110"/>
    </row>
    <row r="422" spans="1:10" x14ac:dyDescent="0.25">
      <c r="A422" s="107" t="s">
        <v>1310</v>
      </c>
      <c r="B422" s="110"/>
      <c r="C422" s="109">
        <v>306800</v>
      </c>
      <c r="D422" s="109">
        <v>306800</v>
      </c>
      <c r="E422" s="110"/>
      <c r="F422" s="107"/>
      <c r="G422" s="110"/>
      <c r="H422" s="109">
        <v>306800</v>
      </c>
      <c r="I422" s="109">
        <v>306800</v>
      </c>
      <c r="J422" s="110"/>
    </row>
    <row r="423" spans="1:10" x14ac:dyDescent="0.25">
      <c r="A423" s="107" t="s">
        <v>1247</v>
      </c>
      <c r="B423" s="110"/>
      <c r="C423" s="109">
        <v>1635653</v>
      </c>
      <c r="D423" s="109">
        <v>1635653</v>
      </c>
      <c r="E423" s="110"/>
      <c r="F423" s="107"/>
      <c r="G423" s="110"/>
      <c r="H423" s="109">
        <v>1635653</v>
      </c>
      <c r="I423" s="109">
        <v>1635653</v>
      </c>
      <c r="J423" s="110"/>
    </row>
    <row r="424" spans="1:10" x14ac:dyDescent="0.25">
      <c r="A424" s="107" t="s">
        <v>661</v>
      </c>
      <c r="B424" s="110"/>
      <c r="C424" s="109">
        <v>4092498</v>
      </c>
      <c r="D424" s="109">
        <v>4652564</v>
      </c>
      <c r="E424" s="158">
        <v>560066</v>
      </c>
      <c r="F424" s="107"/>
      <c r="G424" s="110"/>
      <c r="H424" s="109">
        <v>4092498</v>
      </c>
      <c r="I424" s="109">
        <v>4652564</v>
      </c>
      <c r="J424" s="20">
        <v>-560066</v>
      </c>
    </row>
    <row r="425" spans="1:10" x14ac:dyDescent="0.25">
      <c r="A425" s="107" t="s">
        <v>662</v>
      </c>
      <c r="B425" s="158">
        <v>0.08</v>
      </c>
      <c r="C425" s="109">
        <v>0.08</v>
      </c>
      <c r="D425" s="108"/>
      <c r="E425" s="110"/>
      <c r="F425" s="107"/>
      <c r="G425" s="20">
        <v>-0.08</v>
      </c>
      <c r="H425" s="109">
        <v>0.08</v>
      </c>
      <c r="I425" s="108"/>
      <c r="J425" s="110"/>
    </row>
    <row r="426" spans="1:10" x14ac:dyDescent="0.25">
      <c r="A426" s="107" t="s">
        <v>1248</v>
      </c>
      <c r="B426" s="110"/>
      <c r="C426" s="109">
        <v>2287554.4</v>
      </c>
      <c r="D426" s="108"/>
      <c r="E426" s="157">
        <v>2287554.4</v>
      </c>
      <c r="F426" s="107"/>
      <c r="G426" s="110"/>
      <c r="H426" s="109">
        <v>2287554.4</v>
      </c>
      <c r="I426" s="108"/>
      <c r="J426" s="20">
        <v>2287554.4</v>
      </c>
    </row>
    <row r="427" spans="1:10" s="193" customFormat="1" x14ac:dyDescent="0.25">
      <c r="A427" s="107" t="s">
        <v>160</v>
      </c>
      <c r="B427" s="158">
        <v>370252.83</v>
      </c>
      <c r="C427" s="109">
        <v>38343.5</v>
      </c>
      <c r="D427" s="108"/>
      <c r="E427" s="158">
        <v>331909.33</v>
      </c>
      <c r="F427" s="107"/>
      <c r="G427" s="20">
        <v>-370252.83</v>
      </c>
      <c r="H427" s="109">
        <v>38343.5</v>
      </c>
      <c r="I427" s="108"/>
      <c r="J427" s="20">
        <v>-331909.33</v>
      </c>
    </row>
    <row r="428" spans="1:10" x14ac:dyDescent="0.25">
      <c r="A428" s="107" t="s">
        <v>666</v>
      </c>
      <c r="B428" s="157">
        <v>7623</v>
      </c>
      <c r="C428" s="108"/>
      <c r="D428" s="108"/>
      <c r="E428" s="157">
        <v>7623</v>
      </c>
      <c r="F428" s="107"/>
      <c r="G428" s="20">
        <v>7623</v>
      </c>
      <c r="H428" s="108"/>
      <c r="I428" s="108"/>
      <c r="J428" s="20">
        <v>7623</v>
      </c>
    </row>
    <row r="429" spans="1:10" x14ac:dyDescent="0.25">
      <c r="A429" s="107" t="s">
        <v>1249</v>
      </c>
      <c r="B429" s="110"/>
      <c r="C429" s="109">
        <v>4000</v>
      </c>
      <c r="D429" s="109">
        <v>4000</v>
      </c>
      <c r="E429" s="110"/>
      <c r="F429" s="107"/>
      <c r="G429" s="110"/>
      <c r="H429" s="109">
        <v>4000</v>
      </c>
      <c r="I429" s="109">
        <v>4000</v>
      </c>
      <c r="J429" s="110"/>
    </row>
    <row r="430" spans="1:10" x14ac:dyDescent="0.25">
      <c r="A430" s="107" t="s">
        <v>668</v>
      </c>
      <c r="B430" s="110"/>
      <c r="C430" s="109">
        <v>74300</v>
      </c>
      <c r="D430" s="108"/>
      <c r="E430" s="157">
        <v>74300</v>
      </c>
      <c r="F430" s="107"/>
      <c r="G430" s="110"/>
      <c r="H430" s="109">
        <v>74300</v>
      </c>
      <c r="I430" s="108"/>
      <c r="J430" s="20">
        <v>74300</v>
      </c>
    </row>
    <row r="431" spans="1:10" x14ac:dyDescent="0.25">
      <c r="A431" s="107" t="s">
        <v>1283</v>
      </c>
      <c r="B431" s="110"/>
      <c r="C431" s="109">
        <v>60000</v>
      </c>
      <c r="D431" s="108"/>
      <c r="E431" s="157">
        <v>60000</v>
      </c>
      <c r="F431" s="107"/>
      <c r="G431" s="110"/>
      <c r="H431" s="109">
        <v>60000</v>
      </c>
      <c r="I431" s="108"/>
      <c r="J431" s="20">
        <v>60000</v>
      </c>
    </row>
    <row r="432" spans="1:10" x14ac:dyDescent="0.25">
      <c r="A432" s="107" t="s">
        <v>670</v>
      </c>
      <c r="B432" s="110"/>
      <c r="C432" s="109">
        <v>31860</v>
      </c>
      <c r="D432" s="109">
        <v>31860</v>
      </c>
      <c r="E432" s="110"/>
      <c r="F432" s="107"/>
      <c r="G432" s="110"/>
      <c r="H432" s="109">
        <v>31860</v>
      </c>
      <c r="I432" s="109">
        <v>31860</v>
      </c>
      <c r="J432" s="110"/>
    </row>
    <row r="433" spans="1:10" x14ac:dyDescent="0.25">
      <c r="A433" s="107" t="s">
        <v>1250</v>
      </c>
      <c r="B433" s="110"/>
      <c r="C433" s="109">
        <v>30700</v>
      </c>
      <c r="D433" s="108"/>
      <c r="E433" s="157">
        <v>30700</v>
      </c>
      <c r="F433" s="107"/>
      <c r="G433" s="110"/>
      <c r="H433" s="109">
        <v>30700</v>
      </c>
      <c r="I433" s="108"/>
      <c r="J433" s="20">
        <v>30700</v>
      </c>
    </row>
    <row r="434" spans="1:10" x14ac:dyDescent="0.25">
      <c r="A434" s="107" t="s">
        <v>671</v>
      </c>
      <c r="B434" s="110"/>
      <c r="C434" s="109">
        <v>6660</v>
      </c>
      <c r="D434" s="108"/>
      <c r="E434" s="157">
        <v>6660</v>
      </c>
      <c r="F434" s="107"/>
      <c r="G434" s="110"/>
      <c r="H434" s="109">
        <v>6660</v>
      </c>
      <c r="I434" s="108"/>
      <c r="J434" s="20">
        <v>6660</v>
      </c>
    </row>
    <row r="435" spans="1:10" x14ac:dyDescent="0.25">
      <c r="A435" s="107" t="s">
        <v>672</v>
      </c>
      <c r="B435" s="110"/>
      <c r="C435" s="109">
        <v>12000</v>
      </c>
      <c r="D435" s="108"/>
      <c r="E435" s="157">
        <v>12000</v>
      </c>
      <c r="F435" s="107"/>
      <c r="G435" s="110"/>
      <c r="H435" s="109">
        <v>12000</v>
      </c>
      <c r="I435" s="108"/>
      <c r="J435" s="20">
        <v>12000</v>
      </c>
    </row>
    <row r="436" spans="1:10" x14ac:dyDescent="0.25">
      <c r="A436" s="107" t="s">
        <v>673</v>
      </c>
      <c r="B436" s="157">
        <v>1821</v>
      </c>
      <c r="C436" s="108"/>
      <c r="D436" s="108"/>
      <c r="E436" s="157">
        <v>1821</v>
      </c>
      <c r="F436" s="107"/>
      <c r="G436" s="20">
        <v>1821</v>
      </c>
      <c r="H436" s="108"/>
      <c r="I436" s="108"/>
      <c r="J436" s="20">
        <v>1821</v>
      </c>
    </row>
    <row r="437" spans="1:10" x14ac:dyDescent="0.25">
      <c r="A437" s="107" t="s">
        <v>676</v>
      </c>
      <c r="B437" s="157">
        <v>53157.96</v>
      </c>
      <c r="C437" s="108"/>
      <c r="D437" s="108"/>
      <c r="E437" s="157">
        <v>53157.96</v>
      </c>
      <c r="F437" s="107"/>
      <c r="G437" s="20">
        <v>53157.96</v>
      </c>
      <c r="H437" s="108"/>
      <c r="I437" s="108"/>
      <c r="J437" s="20">
        <v>53157.96</v>
      </c>
    </row>
    <row r="438" spans="1:10" x14ac:dyDescent="0.25">
      <c r="A438" s="107" t="s">
        <v>1311</v>
      </c>
      <c r="B438" s="110"/>
      <c r="C438" s="109">
        <v>5457.5</v>
      </c>
      <c r="D438" s="109">
        <v>5457.5</v>
      </c>
      <c r="E438" s="110"/>
      <c r="F438" s="107"/>
      <c r="G438" s="110"/>
      <c r="H438" s="109">
        <v>5457.5</v>
      </c>
      <c r="I438" s="109">
        <v>5457.5</v>
      </c>
      <c r="J438" s="110"/>
    </row>
    <row r="439" spans="1:10" x14ac:dyDescent="0.25">
      <c r="A439" s="107" t="s">
        <v>1251</v>
      </c>
      <c r="B439" s="110"/>
      <c r="C439" s="109">
        <v>1513808</v>
      </c>
      <c r="D439" s="109">
        <v>3448005.73</v>
      </c>
      <c r="E439" s="158">
        <v>1934197.73</v>
      </c>
      <c r="F439" s="107"/>
      <c r="G439" s="110"/>
      <c r="H439" s="109">
        <v>1513808</v>
      </c>
      <c r="I439" s="109">
        <v>3448005.73</v>
      </c>
      <c r="J439" s="20">
        <v>-1934197.73</v>
      </c>
    </row>
    <row r="440" spans="1:10" x14ac:dyDescent="0.25">
      <c r="A440" s="107" t="s">
        <v>679</v>
      </c>
      <c r="B440" s="157">
        <v>2503883</v>
      </c>
      <c r="C440" s="108"/>
      <c r="D440" s="109">
        <v>2503883</v>
      </c>
      <c r="E440" s="110"/>
      <c r="F440" s="107"/>
      <c r="G440" s="20">
        <v>2503883</v>
      </c>
      <c r="H440" s="108"/>
      <c r="I440" s="109">
        <v>2503883</v>
      </c>
      <c r="J440" s="110"/>
    </row>
    <row r="441" spans="1:10" x14ac:dyDescent="0.25">
      <c r="A441" s="107" t="s">
        <v>1381</v>
      </c>
      <c r="B441" s="110"/>
      <c r="C441" s="109">
        <v>1242</v>
      </c>
      <c r="D441" s="108"/>
      <c r="E441" s="157">
        <v>1242</v>
      </c>
      <c r="F441" s="107"/>
      <c r="G441" s="110"/>
      <c r="H441" s="109">
        <v>1242</v>
      </c>
      <c r="I441" s="108"/>
      <c r="J441" s="20">
        <v>1242</v>
      </c>
    </row>
    <row r="442" spans="1:10" x14ac:dyDescent="0.25">
      <c r="A442" s="107" t="s">
        <v>680</v>
      </c>
      <c r="B442" s="157">
        <v>110000</v>
      </c>
      <c r="C442" s="108"/>
      <c r="D442" s="108"/>
      <c r="E442" s="157">
        <v>110000</v>
      </c>
      <c r="F442" s="107"/>
      <c r="G442" s="20">
        <v>110000</v>
      </c>
      <c r="H442" s="108"/>
      <c r="I442" s="108"/>
      <c r="J442" s="20">
        <v>110000</v>
      </c>
    </row>
    <row r="443" spans="1:10" x14ac:dyDescent="0.25">
      <c r="A443" s="107" t="s">
        <v>1312</v>
      </c>
      <c r="B443" s="110"/>
      <c r="C443" s="109">
        <v>4757040</v>
      </c>
      <c r="D443" s="109">
        <v>4807040</v>
      </c>
      <c r="E443" s="158">
        <v>50000</v>
      </c>
      <c r="F443" s="107"/>
      <c r="G443" s="110"/>
      <c r="H443" s="109">
        <v>4757040</v>
      </c>
      <c r="I443" s="109">
        <v>4807040</v>
      </c>
      <c r="J443" s="20">
        <v>-50000</v>
      </c>
    </row>
    <row r="444" spans="1:10" x14ac:dyDescent="0.25">
      <c r="A444" s="107" t="s">
        <v>682</v>
      </c>
      <c r="B444" s="157">
        <v>50264.1</v>
      </c>
      <c r="C444" s="108"/>
      <c r="D444" s="108"/>
      <c r="E444" s="157">
        <v>50264.1</v>
      </c>
      <c r="F444" s="107"/>
      <c r="G444" s="20">
        <v>50264.1</v>
      </c>
      <c r="H444" s="108"/>
      <c r="I444" s="108"/>
      <c r="J444" s="20">
        <v>50264.1</v>
      </c>
    </row>
    <row r="445" spans="1:10" x14ac:dyDescent="0.25">
      <c r="A445" s="107" t="s">
        <v>683</v>
      </c>
      <c r="B445" s="157">
        <v>4503</v>
      </c>
      <c r="C445" s="109">
        <v>43945</v>
      </c>
      <c r="D445" s="109">
        <v>46247</v>
      </c>
      <c r="E445" s="157">
        <v>2201</v>
      </c>
      <c r="F445" s="107"/>
      <c r="G445" s="20">
        <v>4503</v>
      </c>
      <c r="H445" s="109">
        <v>43945</v>
      </c>
      <c r="I445" s="109">
        <v>46247</v>
      </c>
      <c r="J445" s="20">
        <v>2201</v>
      </c>
    </row>
    <row r="446" spans="1:10" x14ac:dyDescent="0.25">
      <c r="A446" s="107" t="s">
        <v>684</v>
      </c>
      <c r="B446" s="157">
        <v>57221</v>
      </c>
      <c r="C446" s="109">
        <v>615000</v>
      </c>
      <c r="D446" s="109">
        <v>622929</v>
      </c>
      <c r="E446" s="157">
        <v>49292</v>
      </c>
      <c r="F446" s="107"/>
      <c r="G446" s="20">
        <v>57221</v>
      </c>
      <c r="H446" s="109">
        <v>615000</v>
      </c>
      <c r="I446" s="109">
        <v>622929</v>
      </c>
      <c r="J446" s="20">
        <v>49292</v>
      </c>
    </row>
    <row r="447" spans="1:10" x14ac:dyDescent="0.25">
      <c r="A447" s="107" t="s">
        <v>1062</v>
      </c>
      <c r="B447" s="110"/>
      <c r="C447" s="109">
        <v>83399.55</v>
      </c>
      <c r="D447" s="109">
        <v>75619.55</v>
      </c>
      <c r="E447" s="157">
        <v>7780</v>
      </c>
      <c r="F447" s="107"/>
      <c r="G447" s="110"/>
      <c r="H447" s="109">
        <v>83399.55</v>
      </c>
      <c r="I447" s="109">
        <v>75619.55</v>
      </c>
      <c r="J447" s="20">
        <v>7780</v>
      </c>
    </row>
    <row r="448" spans="1:10" x14ac:dyDescent="0.25">
      <c r="A448" s="107" t="s">
        <v>1219</v>
      </c>
      <c r="B448" s="110"/>
      <c r="C448" s="109">
        <v>1375</v>
      </c>
      <c r="D448" s="108"/>
      <c r="E448" s="157">
        <v>1375</v>
      </c>
      <c r="F448" s="107"/>
      <c r="G448" s="110"/>
      <c r="H448" s="109">
        <v>1375</v>
      </c>
      <c r="I448" s="108"/>
      <c r="J448" s="20">
        <v>1375</v>
      </c>
    </row>
    <row r="449" spans="1:10" x14ac:dyDescent="0.25">
      <c r="A449" s="107" t="s">
        <v>685</v>
      </c>
      <c r="B449" s="110"/>
      <c r="C449" s="109">
        <v>1450</v>
      </c>
      <c r="D449" s="109">
        <v>1375</v>
      </c>
      <c r="E449" s="157">
        <v>75</v>
      </c>
      <c r="F449" s="107"/>
      <c r="G449" s="110"/>
      <c r="H449" s="109">
        <v>1450</v>
      </c>
      <c r="I449" s="109">
        <v>1375</v>
      </c>
      <c r="J449" s="20">
        <v>75</v>
      </c>
    </row>
    <row r="450" spans="1:10" x14ac:dyDescent="0.25">
      <c r="A450" s="107" t="s">
        <v>1284</v>
      </c>
      <c r="B450" s="110"/>
      <c r="C450" s="109">
        <v>29700</v>
      </c>
      <c r="D450" s="108"/>
      <c r="E450" s="157">
        <v>29700</v>
      </c>
      <c r="F450" s="107"/>
      <c r="G450" s="110"/>
      <c r="H450" s="109">
        <v>29700</v>
      </c>
      <c r="I450" s="108"/>
      <c r="J450" s="20">
        <v>29700</v>
      </c>
    </row>
    <row r="451" spans="1:10" x14ac:dyDescent="0.25">
      <c r="A451" s="107" t="s">
        <v>688</v>
      </c>
      <c r="B451" s="158">
        <v>3597664.52</v>
      </c>
      <c r="C451" s="108"/>
      <c r="D451" s="108"/>
      <c r="E451" s="158">
        <v>3597664.52</v>
      </c>
      <c r="F451" s="107"/>
      <c r="G451" s="20">
        <v>-3597664.52</v>
      </c>
      <c r="H451" s="108"/>
      <c r="I451" s="108"/>
      <c r="J451" s="20">
        <v>-3597664.52</v>
      </c>
    </row>
    <row r="452" spans="1:10" x14ac:dyDescent="0.25">
      <c r="A452" s="107" t="s">
        <v>689</v>
      </c>
      <c r="B452" s="158">
        <v>10000000</v>
      </c>
      <c r="C452" s="108"/>
      <c r="D452" s="108"/>
      <c r="E452" s="158">
        <v>10000000</v>
      </c>
      <c r="F452" s="107"/>
      <c r="G452" s="20">
        <v>-10000000</v>
      </c>
      <c r="H452" s="108"/>
      <c r="I452" s="108"/>
      <c r="J452" s="20">
        <v>-10000000</v>
      </c>
    </row>
    <row r="453" spans="1:10" x14ac:dyDescent="0.25">
      <c r="A453" s="107" t="s">
        <v>691</v>
      </c>
      <c r="B453" s="157">
        <v>83193.78</v>
      </c>
      <c r="C453" s="108"/>
      <c r="D453" s="108"/>
      <c r="E453" s="157">
        <v>83193.78</v>
      </c>
      <c r="F453" s="107"/>
      <c r="G453" s="20">
        <v>83193.78</v>
      </c>
      <c r="H453" s="108"/>
      <c r="I453" s="108"/>
      <c r="J453" s="20">
        <v>83193.78</v>
      </c>
    </row>
    <row r="454" spans="1:10" x14ac:dyDescent="0.25">
      <c r="A454" s="107" t="s">
        <v>692</v>
      </c>
      <c r="B454" s="110"/>
      <c r="C454" s="109">
        <v>47200</v>
      </c>
      <c r="D454" s="109">
        <v>49560</v>
      </c>
      <c r="E454" s="158">
        <v>2360</v>
      </c>
      <c r="F454" s="107"/>
      <c r="G454" s="110"/>
      <c r="H454" s="109">
        <v>47200</v>
      </c>
      <c r="I454" s="109">
        <v>49560</v>
      </c>
      <c r="J454" s="20">
        <v>-2360</v>
      </c>
    </row>
    <row r="455" spans="1:10" x14ac:dyDescent="0.25">
      <c r="A455" s="107" t="s">
        <v>693</v>
      </c>
      <c r="B455" s="157">
        <v>2421.91</v>
      </c>
      <c r="C455" s="108"/>
      <c r="D455" s="108"/>
      <c r="E455" s="157">
        <v>2421.91</v>
      </c>
      <c r="F455" s="107"/>
      <c r="G455" s="20">
        <v>2421.91</v>
      </c>
      <c r="H455" s="108"/>
      <c r="I455" s="108"/>
      <c r="J455" s="20">
        <v>2421.91</v>
      </c>
    </row>
    <row r="456" spans="1:10" x14ac:dyDescent="0.25">
      <c r="A456" s="107" t="s">
        <v>694</v>
      </c>
      <c r="B456" s="158">
        <v>164407</v>
      </c>
      <c r="C456" s="109">
        <v>551166</v>
      </c>
      <c r="D456" s="109">
        <v>386759</v>
      </c>
      <c r="E456" s="110"/>
      <c r="F456" s="107"/>
      <c r="G456" s="20">
        <v>-164407</v>
      </c>
      <c r="H456" s="109">
        <v>551166</v>
      </c>
      <c r="I456" s="109">
        <v>386759</v>
      </c>
      <c r="J456" s="110"/>
    </row>
    <row r="457" spans="1:10" x14ac:dyDescent="0.25">
      <c r="A457" s="107" t="s">
        <v>696</v>
      </c>
      <c r="B457" s="110"/>
      <c r="C457" s="109">
        <v>944</v>
      </c>
      <c r="D457" s="109">
        <v>944</v>
      </c>
      <c r="E457" s="110"/>
      <c r="F457" s="107"/>
      <c r="G457" s="110"/>
      <c r="H457" s="109">
        <v>944</v>
      </c>
      <c r="I457" s="109">
        <v>944</v>
      </c>
      <c r="J457" s="110"/>
    </row>
    <row r="458" spans="1:10" x14ac:dyDescent="0.25">
      <c r="A458" s="107" t="s">
        <v>697</v>
      </c>
      <c r="B458" s="110"/>
      <c r="C458" s="109">
        <v>41570</v>
      </c>
      <c r="D458" s="109">
        <v>41570</v>
      </c>
      <c r="E458" s="110"/>
      <c r="F458" s="107"/>
      <c r="G458" s="110"/>
      <c r="H458" s="109">
        <v>41570</v>
      </c>
      <c r="I458" s="109">
        <v>41570</v>
      </c>
      <c r="J458" s="110"/>
    </row>
    <row r="459" spans="1:10" x14ac:dyDescent="0.25">
      <c r="A459" s="107" t="s">
        <v>699</v>
      </c>
      <c r="B459" s="157">
        <v>24097.17</v>
      </c>
      <c r="C459" s="108"/>
      <c r="D459" s="108"/>
      <c r="E459" s="157">
        <v>24097.17</v>
      </c>
      <c r="F459" s="107"/>
      <c r="G459" s="20">
        <v>24097.17</v>
      </c>
      <c r="H459" s="108"/>
      <c r="I459" s="108"/>
      <c r="J459" s="20">
        <v>24097.17</v>
      </c>
    </row>
    <row r="460" spans="1:10" x14ac:dyDescent="0.25">
      <c r="A460" s="107" t="s">
        <v>700</v>
      </c>
      <c r="B460" s="158">
        <v>115487.2</v>
      </c>
      <c r="C460" s="109">
        <v>115487.2</v>
      </c>
      <c r="D460" s="108"/>
      <c r="E460" s="110"/>
      <c r="F460" s="107"/>
      <c r="G460" s="20">
        <v>-115487.2</v>
      </c>
      <c r="H460" s="109">
        <v>115487.2</v>
      </c>
      <c r="I460" s="108"/>
      <c r="J460" s="110"/>
    </row>
    <row r="461" spans="1:10" x14ac:dyDescent="0.25">
      <c r="A461" s="107" t="s">
        <v>701</v>
      </c>
      <c r="B461" s="157">
        <v>17420</v>
      </c>
      <c r="C461" s="108"/>
      <c r="D461" s="108"/>
      <c r="E461" s="157">
        <v>17420</v>
      </c>
      <c r="F461" s="107"/>
      <c r="G461" s="20">
        <v>17420</v>
      </c>
      <c r="H461" s="108"/>
      <c r="I461" s="108"/>
      <c r="J461" s="20">
        <v>17420</v>
      </c>
    </row>
    <row r="462" spans="1:10" x14ac:dyDescent="0.25">
      <c r="A462" s="107" t="s">
        <v>702</v>
      </c>
      <c r="B462" s="158">
        <v>2124</v>
      </c>
      <c r="C462" s="109">
        <v>2124</v>
      </c>
      <c r="D462" s="108"/>
      <c r="E462" s="110"/>
      <c r="F462" s="107"/>
      <c r="G462" s="20">
        <v>-2124</v>
      </c>
      <c r="H462" s="109">
        <v>2124</v>
      </c>
      <c r="I462" s="108"/>
      <c r="J462" s="110"/>
    </row>
    <row r="463" spans="1:10" x14ac:dyDescent="0.25">
      <c r="A463" s="107" t="s">
        <v>704</v>
      </c>
      <c r="B463" s="110"/>
      <c r="C463" s="109">
        <v>36100</v>
      </c>
      <c r="D463" s="109">
        <v>800</v>
      </c>
      <c r="E463" s="157">
        <v>35300</v>
      </c>
      <c r="F463" s="107"/>
      <c r="G463" s="110"/>
      <c r="H463" s="109">
        <v>36100</v>
      </c>
      <c r="I463" s="109">
        <v>800</v>
      </c>
      <c r="J463" s="20">
        <v>35300</v>
      </c>
    </row>
    <row r="464" spans="1:10" x14ac:dyDescent="0.25">
      <c r="A464" s="107" t="s">
        <v>706</v>
      </c>
      <c r="B464" s="110"/>
      <c r="C464" s="109">
        <v>56917</v>
      </c>
      <c r="D464" s="108"/>
      <c r="E464" s="157">
        <v>56917</v>
      </c>
      <c r="F464" s="107"/>
      <c r="G464" s="110"/>
      <c r="H464" s="109">
        <v>56917</v>
      </c>
      <c r="I464" s="108"/>
      <c r="J464" s="20">
        <v>56917</v>
      </c>
    </row>
    <row r="465" spans="1:10" x14ac:dyDescent="0.25">
      <c r="A465" s="107" t="s">
        <v>1382</v>
      </c>
      <c r="B465" s="110"/>
      <c r="C465" s="109">
        <v>39472</v>
      </c>
      <c r="D465" s="108"/>
      <c r="E465" s="157">
        <v>39472</v>
      </c>
      <c r="F465" s="107"/>
      <c r="G465" s="110"/>
      <c r="H465" s="109">
        <v>39472</v>
      </c>
      <c r="I465" s="108"/>
      <c r="J465" s="20">
        <v>39472</v>
      </c>
    </row>
    <row r="466" spans="1:10" x14ac:dyDescent="0.25">
      <c r="A466" s="107" t="s">
        <v>1221</v>
      </c>
      <c r="B466" s="110"/>
      <c r="C466" s="109">
        <v>1400</v>
      </c>
      <c r="D466" s="108"/>
      <c r="E466" s="157">
        <v>1400</v>
      </c>
      <c r="F466" s="107"/>
      <c r="G466" s="110"/>
      <c r="H466" s="109">
        <v>1400</v>
      </c>
      <c r="I466" s="108"/>
      <c r="J466" s="20">
        <v>1400</v>
      </c>
    </row>
    <row r="467" spans="1:10" x14ac:dyDescent="0.25">
      <c r="A467" s="107" t="s">
        <v>1086</v>
      </c>
      <c r="B467" s="110"/>
      <c r="C467" s="109">
        <v>23852</v>
      </c>
      <c r="D467" s="108"/>
      <c r="E467" s="157">
        <v>23852</v>
      </c>
      <c r="F467" s="107"/>
      <c r="G467" s="110"/>
      <c r="H467" s="109">
        <v>23852</v>
      </c>
      <c r="I467" s="108"/>
      <c r="J467" s="20">
        <v>23852</v>
      </c>
    </row>
    <row r="468" spans="1:10" x14ac:dyDescent="0.25">
      <c r="A468" s="107" t="s">
        <v>703</v>
      </c>
      <c r="B468" s="157">
        <v>2063019</v>
      </c>
      <c r="C468" s="109">
        <v>1172948</v>
      </c>
      <c r="D468" s="109">
        <v>3235967</v>
      </c>
      <c r="E468" s="110"/>
      <c r="F468" s="107"/>
      <c r="G468" s="20">
        <v>2063019</v>
      </c>
      <c r="H468" s="109">
        <v>1172948</v>
      </c>
      <c r="I468" s="109">
        <v>3235967</v>
      </c>
      <c r="J468" s="110"/>
    </row>
    <row r="469" spans="1:10" x14ac:dyDescent="0.25">
      <c r="A469" s="107" t="s">
        <v>1313</v>
      </c>
      <c r="B469" s="110"/>
      <c r="C469" s="109">
        <v>3168</v>
      </c>
      <c r="D469" s="108"/>
      <c r="E469" s="157">
        <v>3168</v>
      </c>
      <c r="F469" s="107"/>
      <c r="G469" s="110"/>
      <c r="H469" s="109">
        <v>3168</v>
      </c>
      <c r="I469" s="108"/>
      <c r="J469" s="20">
        <v>3168</v>
      </c>
    </row>
    <row r="470" spans="1:10" x14ac:dyDescent="0.25">
      <c r="A470" s="107" t="s">
        <v>716</v>
      </c>
      <c r="B470" s="110"/>
      <c r="C470" s="109">
        <v>244000</v>
      </c>
      <c r="D470" s="108"/>
      <c r="E470" s="157">
        <v>244000</v>
      </c>
      <c r="F470" s="107"/>
      <c r="G470" s="110"/>
      <c r="H470" s="109">
        <v>244000</v>
      </c>
      <c r="I470" s="108"/>
      <c r="J470" s="20">
        <v>244000</v>
      </c>
    </row>
    <row r="471" spans="1:10" x14ac:dyDescent="0.25">
      <c r="A471" s="107" t="s">
        <v>1314</v>
      </c>
      <c r="B471" s="110"/>
      <c r="C471" s="109">
        <v>16000</v>
      </c>
      <c r="D471" s="108"/>
      <c r="E471" s="157">
        <v>16000</v>
      </c>
      <c r="F471" s="107"/>
      <c r="G471" s="110"/>
      <c r="H471" s="109">
        <v>16000</v>
      </c>
      <c r="I471" s="108"/>
      <c r="J471" s="20">
        <v>16000</v>
      </c>
    </row>
    <row r="472" spans="1:10" x14ac:dyDescent="0.25">
      <c r="A472" s="107" t="s">
        <v>712</v>
      </c>
      <c r="B472" s="158">
        <v>200</v>
      </c>
      <c r="C472" s="109">
        <v>800</v>
      </c>
      <c r="D472" s="109">
        <v>600</v>
      </c>
      <c r="E472" s="110"/>
      <c r="F472" s="107"/>
      <c r="G472" s="20">
        <v>-200</v>
      </c>
      <c r="H472" s="109">
        <v>800</v>
      </c>
      <c r="I472" s="109">
        <v>600</v>
      </c>
      <c r="J472" s="110"/>
    </row>
    <row r="473" spans="1:10" x14ac:dyDescent="0.25">
      <c r="A473" s="107" t="s">
        <v>710</v>
      </c>
      <c r="B473" s="158">
        <v>200</v>
      </c>
      <c r="C473" s="109">
        <v>1700</v>
      </c>
      <c r="D473" s="109">
        <v>2500</v>
      </c>
      <c r="E473" s="158">
        <v>1000</v>
      </c>
      <c r="F473" s="107"/>
      <c r="G473" s="20">
        <v>-200</v>
      </c>
      <c r="H473" s="109">
        <v>1700</v>
      </c>
      <c r="I473" s="109">
        <v>2500</v>
      </c>
      <c r="J473" s="20">
        <v>-1000</v>
      </c>
    </row>
    <row r="474" spans="1:10" x14ac:dyDescent="0.25">
      <c r="A474" s="107" t="s">
        <v>713</v>
      </c>
      <c r="B474" s="157">
        <v>3000</v>
      </c>
      <c r="C474" s="109">
        <v>4400</v>
      </c>
      <c r="D474" s="109">
        <v>5800</v>
      </c>
      <c r="E474" s="157">
        <v>1600</v>
      </c>
      <c r="F474" s="107"/>
      <c r="G474" s="20">
        <v>3000</v>
      </c>
      <c r="H474" s="109">
        <v>4400</v>
      </c>
      <c r="I474" s="109">
        <v>5800</v>
      </c>
      <c r="J474" s="20">
        <v>1600</v>
      </c>
    </row>
    <row r="475" spans="1:10" x14ac:dyDescent="0.25">
      <c r="A475" s="107" t="s">
        <v>1064</v>
      </c>
      <c r="B475" s="110"/>
      <c r="C475" s="109">
        <v>2300</v>
      </c>
      <c r="D475" s="109">
        <v>3100</v>
      </c>
      <c r="E475" s="158">
        <v>800</v>
      </c>
      <c r="F475" s="107"/>
      <c r="G475" s="110"/>
      <c r="H475" s="109">
        <v>2300</v>
      </c>
      <c r="I475" s="109">
        <v>3100</v>
      </c>
      <c r="J475" s="20">
        <v>-800</v>
      </c>
    </row>
    <row r="476" spans="1:10" x14ac:dyDescent="0.25">
      <c r="A476" s="107" t="s">
        <v>714</v>
      </c>
      <c r="B476" s="157">
        <v>1225</v>
      </c>
      <c r="C476" s="108"/>
      <c r="D476" s="108"/>
      <c r="E476" s="157">
        <v>1225</v>
      </c>
      <c r="F476" s="107"/>
      <c r="G476" s="20">
        <v>1225</v>
      </c>
      <c r="H476" s="108"/>
      <c r="I476" s="108"/>
      <c r="J476" s="20">
        <v>1225</v>
      </c>
    </row>
    <row r="477" spans="1:10" x14ac:dyDescent="0.25">
      <c r="A477" s="107" t="s">
        <v>717</v>
      </c>
      <c r="B477" s="157">
        <v>76979905.640000001</v>
      </c>
      <c r="C477" s="108"/>
      <c r="D477" s="108"/>
      <c r="E477" s="157">
        <v>76979905.640000001</v>
      </c>
      <c r="F477" s="107"/>
      <c r="G477" s="20">
        <v>76979905.640000001</v>
      </c>
      <c r="H477" s="108"/>
      <c r="I477" s="108"/>
      <c r="J477" s="20">
        <v>76979905.640000001</v>
      </c>
    </row>
    <row r="478" spans="1:10" x14ac:dyDescent="0.25">
      <c r="A478" s="107" t="s">
        <v>719</v>
      </c>
      <c r="B478" s="110"/>
      <c r="C478" s="108"/>
      <c r="D478" s="109">
        <v>23630.29</v>
      </c>
      <c r="E478" s="158">
        <v>23630.29</v>
      </c>
      <c r="F478" s="107"/>
      <c r="G478" s="110"/>
      <c r="H478" s="108"/>
      <c r="I478" s="109">
        <v>23630.29</v>
      </c>
      <c r="J478" s="20">
        <v>-23630.29</v>
      </c>
    </row>
    <row r="479" spans="1:10" x14ac:dyDescent="0.25">
      <c r="A479" s="107" t="s">
        <v>720</v>
      </c>
      <c r="B479" s="158">
        <v>54000</v>
      </c>
      <c r="C479" s="108"/>
      <c r="D479" s="108"/>
      <c r="E479" s="158">
        <v>54000</v>
      </c>
      <c r="F479" s="107"/>
      <c r="G479" s="20">
        <v>-54000</v>
      </c>
      <c r="H479" s="108"/>
      <c r="I479" s="108"/>
      <c r="J479" s="20">
        <v>-54000</v>
      </c>
    </row>
    <row r="480" spans="1:10" x14ac:dyDescent="0.25">
      <c r="A480" s="107" t="s">
        <v>1413</v>
      </c>
      <c r="B480" s="158"/>
      <c r="C480" s="108"/>
      <c r="D480" s="108"/>
      <c r="E480" s="158"/>
      <c r="F480" s="107"/>
      <c r="G480" s="20"/>
      <c r="H480" s="108"/>
      <c r="I480" s="108"/>
      <c r="J480" s="20"/>
    </row>
    <row r="481" spans="1:10" x14ac:dyDescent="0.25">
      <c r="A481" s="107" t="s">
        <v>724</v>
      </c>
      <c r="B481" s="158">
        <v>200000</v>
      </c>
      <c r="C481" s="108"/>
      <c r="D481" s="108"/>
      <c r="E481" s="158">
        <v>200000</v>
      </c>
      <c r="F481" s="107"/>
      <c r="G481" s="20">
        <v>-200000</v>
      </c>
      <c r="H481" s="108"/>
      <c r="I481" s="108"/>
      <c r="J481" s="20">
        <v>-200000</v>
      </c>
    </row>
    <row r="482" spans="1:10" x14ac:dyDescent="0.25">
      <c r="A482" s="107" t="s">
        <v>721</v>
      </c>
      <c r="B482" s="158">
        <v>125000</v>
      </c>
      <c r="C482" s="108"/>
      <c r="D482" s="108"/>
      <c r="E482" s="158">
        <v>125000</v>
      </c>
      <c r="F482" s="107"/>
      <c r="G482" s="20">
        <v>-125000</v>
      </c>
      <c r="H482" s="108"/>
      <c r="I482" s="108"/>
      <c r="J482" s="20">
        <v>-125000</v>
      </c>
    </row>
    <row r="483" spans="1:10" x14ac:dyDescent="0.25">
      <c r="A483" s="107" t="s">
        <v>723</v>
      </c>
      <c r="B483" s="158">
        <v>450000</v>
      </c>
      <c r="C483" s="108"/>
      <c r="D483" s="108"/>
      <c r="E483" s="158">
        <v>450000</v>
      </c>
      <c r="F483" s="107"/>
      <c r="G483" s="20">
        <v>-450000</v>
      </c>
      <c r="H483" s="108"/>
      <c r="I483" s="108"/>
      <c r="J483" s="20">
        <v>-450000</v>
      </c>
    </row>
    <row r="484" spans="1:10" x14ac:dyDescent="0.25">
      <c r="A484" s="107" t="s">
        <v>675</v>
      </c>
      <c r="B484" s="157">
        <v>999.87</v>
      </c>
      <c r="C484" s="109">
        <v>49711</v>
      </c>
      <c r="D484" s="109">
        <v>49711</v>
      </c>
      <c r="E484" s="157">
        <v>999.87</v>
      </c>
      <c r="F484" s="107"/>
      <c r="G484" s="20">
        <v>999.87</v>
      </c>
      <c r="H484" s="109">
        <v>49711</v>
      </c>
      <c r="I484" s="109">
        <v>49711</v>
      </c>
      <c r="J484" s="20">
        <v>999.87</v>
      </c>
    </row>
    <row r="485" spans="1:10" x14ac:dyDescent="0.25">
      <c r="A485" s="107" t="s">
        <v>725</v>
      </c>
      <c r="B485" s="110"/>
      <c r="C485" s="109">
        <v>326142</v>
      </c>
      <c r="D485" s="108"/>
      <c r="E485" s="157">
        <v>326142</v>
      </c>
      <c r="F485" s="107"/>
      <c r="G485" s="110"/>
      <c r="H485" s="109">
        <v>326142</v>
      </c>
      <c r="I485" s="108"/>
      <c r="J485" s="20">
        <v>326142</v>
      </c>
    </row>
    <row r="486" spans="1:10" x14ac:dyDescent="0.25">
      <c r="A486" s="107" t="s">
        <v>726</v>
      </c>
      <c r="B486" s="110"/>
      <c r="C486" s="109">
        <v>248651.44</v>
      </c>
      <c r="D486" s="109">
        <v>2153.92</v>
      </c>
      <c r="E486" s="157">
        <v>246497.52</v>
      </c>
      <c r="F486" s="107"/>
      <c r="G486" s="110"/>
      <c r="H486" s="109">
        <v>248651.44</v>
      </c>
      <c r="I486" s="109">
        <v>2153.92</v>
      </c>
      <c r="J486" s="20">
        <v>246497.52</v>
      </c>
    </row>
    <row r="487" spans="1:10" x14ac:dyDescent="0.25">
      <c r="A487" s="107" t="s">
        <v>728</v>
      </c>
      <c r="B487" s="110"/>
      <c r="C487" s="109">
        <v>1030</v>
      </c>
      <c r="D487" s="108"/>
      <c r="E487" s="157">
        <v>1030</v>
      </c>
      <c r="F487" s="107"/>
      <c r="G487" s="110"/>
      <c r="H487" s="109">
        <v>1030</v>
      </c>
      <c r="I487" s="108"/>
      <c r="J487" s="20">
        <v>1030</v>
      </c>
    </row>
    <row r="488" spans="1:10" x14ac:dyDescent="0.25">
      <c r="A488" s="107" t="s">
        <v>730</v>
      </c>
      <c r="B488" s="110"/>
      <c r="C488" s="109">
        <v>93404194.349999994</v>
      </c>
      <c r="D488" s="109">
        <v>5868644.0700000003</v>
      </c>
      <c r="E488" s="157">
        <v>87535550.280000001</v>
      </c>
      <c r="F488" s="107"/>
      <c r="G488" s="110"/>
      <c r="H488" s="109">
        <v>93404194.349999994</v>
      </c>
      <c r="I488" s="109">
        <v>5868644.0700000003</v>
      </c>
      <c r="J488" s="20">
        <v>87535550.280000001</v>
      </c>
    </row>
    <row r="489" spans="1:10" x14ac:dyDescent="0.25">
      <c r="A489" s="107" t="s">
        <v>731</v>
      </c>
      <c r="B489" s="110"/>
      <c r="C489" s="109">
        <v>16540</v>
      </c>
      <c r="D489" s="108"/>
      <c r="E489" s="157">
        <v>16540</v>
      </c>
      <c r="F489" s="107"/>
      <c r="G489" s="110"/>
      <c r="H489" s="109">
        <v>16540</v>
      </c>
      <c r="I489" s="108"/>
      <c r="J489" s="20">
        <v>16540</v>
      </c>
    </row>
    <row r="490" spans="1:10" x14ac:dyDescent="0.25">
      <c r="A490" s="107" t="s">
        <v>732</v>
      </c>
      <c r="B490" s="110"/>
      <c r="C490" s="109">
        <v>117082059.33</v>
      </c>
      <c r="D490" s="109">
        <v>162400</v>
      </c>
      <c r="E490" s="157">
        <v>116919659.33</v>
      </c>
      <c r="F490" s="107"/>
      <c r="G490" s="110"/>
      <c r="H490" s="109">
        <v>117082059.33</v>
      </c>
      <c r="I490" s="109">
        <v>162400</v>
      </c>
      <c r="J490" s="20">
        <v>116919659.33</v>
      </c>
    </row>
    <row r="491" spans="1:10" x14ac:dyDescent="0.25">
      <c r="A491" s="107" t="s">
        <v>734</v>
      </c>
      <c r="B491" s="110"/>
      <c r="C491" s="109">
        <v>38232</v>
      </c>
      <c r="D491" s="109">
        <v>38232</v>
      </c>
      <c r="E491" s="110"/>
      <c r="F491" s="107"/>
      <c r="G491" s="110"/>
      <c r="H491" s="109">
        <v>38232</v>
      </c>
      <c r="I491" s="109">
        <v>38232</v>
      </c>
      <c r="J491" s="110"/>
    </row>
    <row r="492" spans="1:10" x14ac:dyDescent="0.25">
      <c r="A492" s="107" t="s">
        <v>1252</v>
      </c>
      <c r="B492" s="110"/>
      <c r="C492" s="109">
        <v>24600</v>
      </c>
      <c r="D492" s="109">
        <v>24600</v>
      </c>
      <c r="E492" s="110"/>
      <c r="F492" s="107"/>
      <c r="G492" s="110"/>
      <c r="H492" s="109">
        <v>24600</v>
      </c>
      <c r="I492" s="109">
        <v>24600</v>
      </c>
      <c r="J492" s="110"/>
    </row>
    <row r="493" spans="1:10" x14ac:dyDescent="0.25">
      <c r="A493" s="107" t="s">
        <v>1383</v>
      </c>
      <c r="B493" s="110"/>
      <c r="C493" s="109">
        <v>3425069</v>
      </c>
      <c r="D493" s="109">
        <v>677408.8</v>
      </c>
      <c r="E493" s="157">
        <v>2747660.2</v>
      </c>
      <c r="F493" s="107"/>
      <c r="G493" s="110"/>
      <c r="H493" s="109">
        <v>3425069</v>
      </c>
      <c r="I493" s="109">
        <v>677408.8</v>
      </c>
      <c r="J493" s="20">
        <v>2747660.2</v>
      </c>
    </row>
    <row r="494" spans="1:10" x14ac:dyDescent="0.25">
      <c r="A494" s="107" t="s">
        <v>1065</v>
      </c>
      <c r="B494" s="110"/>
      <c r="C494" s="109">
        <v>4736</v>
      </c>
      <c r="D494" s="109">
        <v>4736</v>
      </c>
      <c r="E494" s="110"/>
      <c r="F494" s="107"/>
      <c r="G494" s="110"/>
      <c r="H494" s="109">
        <v>4736</v>
      </c>
      <c r="I494" s="109">
        <v>4736</v>
      </c>
      <c r="J494" s="110"/>
    </row>
    <row r="495" spans="1:10" x14ac:dyDescent="0.25">
      <c r="A495" s="107" t="s">
        <v>1384</v>
      </c>
      <c r="B495" s="110"/>
      <c r="C495" s="109">
        <v>150000</v>
      </c>
      <c r="D495" s="108"/>
      <c r="E495" s="157">
        <v>150000</v>
      </c>
      <c r="F495" s="107"/>
      <c r="G495" s="110"/>
      <c r="H495" s="109">
        <v>150000</v>
      </c>
      <c r="I495" s="108"/>
      <c r="J495" s="20">
        <v>150000</v>
      </c>
    </row>
    <row r="496" spans="1:10" x14ac:dyDescent="0.25">
      <c r="A496" s="107" t="s">
        <v>741</v>
      </c>
      <c r="B496" s="157">
        <v>73000</v>
      </c>
      <c r="C496" s="108"/>
      <c r="D496" s="109">
        <v>7000</v>
      </c>
      <c r="E496" s="157">
        <v>66000</v>
      </c>
      <c r="F496" s="107"/>
      <c r="G496" s="20">
        <v>73000</v>
      </c>
      <c r="H496" s="108"/>
      <c r="I496" s="109">
        <v>7000</v>
      </c>
      <c r="J496" s="20">
        <v>66000</v>
      </c>
    </row>
    <row r="497" spans="1:10" x14ac:dyDescent="0.25">
      <c r="A497" s="107" t="s">
        <v>742</v>
      </c>
      <c r="B497" s="110"/>
      <c r="C497" s="109">
        <v>24308</v>
      </c>
      <c r="D497" s="109">
        <v>24308</v>
      </c>
      <c r="E497" s="110"/>
      <c r="F497" s="107"/>
      <c r="G497" s="110"/>
      <c r="H497" s="109">
        <v>24308</v>
      </c>
      <c r="I497" s="109">
        <v>24308</v>
      </c>
      <c r="J497" s="110"/>
    </row>
    <row r="498" spans="1:10" x14ac:dyDescent="0.25">
      <c r="A498" s="107" t="s">
        <v>744</v>
      </c>
      <c r="B498" s="110"/>
      <c r="C498" s="109">
        <v>409644</v>
      </c>
      <c r="D498" s="109">
        <v>409644</v>
      </c>
      <c r="E498" s="110"/>
      <c r="F498" s="107"/>
      <c r="G498" s="110"/>
      <c r="H498" s="109">
        <v>409644</v>
      </c>
      <c r="I498" s="109">
        <v>409644</v>
      </c>
      <c r="J498" s="110"/>
    </row>
    <row r="499" spans="1:10" x14ac:dyDescent="0.25">
      <c r="A499" s="107" t="s">
        <v>745</v>
      </c>
      <c r="B499" s="110"/>
      <c r="C499" s="109">
        <v>18673</v>
      </c>
      <c r="D499" s="109">
        <v>18673</v>
      </c>
      <c r="E499" s="110"/>
      <c r="F499" s="107"/>
      <c r="G499" s="110"/>
      <c r="H499" s="109">
        <v>18673</v>
      </c>
      <c r="I499" s="109">
        <v>18673</v>
      </c>
      <c r="J499" s="110"/>
    </row>
    <row r="500" spans="1:10" x14ac:dyDescent="0.25">
      <c r="A500" s="107" t="s">
        <v>746</v>
      </c>
      <c r="B500" s="110"/>
      <c r="C500" s="109">
        <v>175000</v>
      </c>
      <c r="D500" s="109">
        <v>189999</v>
      </c>
      <c r="E500" s="158">
        <v>14999</v>
      </c>
      <c r="F500" s="107"/>
      <c r="G500" s="110"/>
      <c r="H500" s="109">
        <v>175000</v>
      </c>
      <c r="I500" s="109">
        <v>189999</v>
      </c>
      <c r="J500" s="20">
        <v>-14999</v>
      </c>
    </row>
    <row r="501" spans="1:10" x14ac:dyDescent="0.25">
      <c r="A501" s="107" t="s">
        <v>747</v>
      </c>
      <c r="B501" s="110"/>
      <c r="C501" s="109">
        <v>12638</v>
      </c>
      <c r="D501" s="109">
        <v>12638</v>
      </c>
      <c r="E501" s="110"/>
      <c r="F501" s="107"/>
      <c r="G501" s="110"/>
      <c r="H501" s="109">
        <v>12638</v>
      </c>
      <c r="I501" s="109">
        <v>12638</v>
      </c>
      <c r="J501" s="110"/>
    </row>
    <row r="502" spans="1:10" x14ac:dyDescent="0.25">
      <c r="A502" s="107" t="s">
        <v>748</v>
      </c>
      <c r="B502" s="158">
        <v>2251.44</v>
      </c>
      <c r="C502" s="109">
        <v>24882.21</v>
      </c>
      <c r="D502" s="109">
        <v>22336.95</v>
      </c>
      <c r="E502" s="157">
        <v>293.82</v>
      </c>
      <c r="F502" s="107"/>
      <c r="G502" s="20">
        <v>-2251.44</v>
      </c>
      <c r="H502" s="109">
        <v>24882.21</v>
      </c>
      <c r="I502" s="109">
        <v>22336.95</v>
      </c>
      <c r="J502" s="20">
        <v>293.82</v>
      </c>
    </row>
    <row r="503" spans="1:10" x14ac:dyDescent="0.25">
      <c r="A503" s="107" t="s">
        <v>749</v>
      </c>
      <c r="B503" s="110"/>
      <c r="C503" s="109">
        <v>9411.6200000000008</v>
      </c>
      <c r="D503" s="109">
        <v>9411.6200000000008</v>
      </c>
      <c r="E503" s="110"/>
      <c r="F503" s="107"/>
      <c r="G503" s="110"/>
      <c r="H503" s="109">
        <v>9411.6200000000008</v>
      </c>
      <c r="I503" s="109">
        <v>9411.6200000000008</v>
      </c>
      <c r="J503" s="110"/>
    </row>
    <row r="504" spans="1:10" x14ac:dyDescent="0.25">
      <c r="A504" s="107" t="s">
        <v>1083</v>
      </c>
      <c r="B504" s="110"/>
      <c r="C504" s="109">
        <v>112000</v>
      </c>
      <c r="D504" s="108"/>
      <c r="E504" s="157">
        <v>112000</v>
      </c>
      <c r="F504" s="107"/>
      <c r="G504" s="110"/>
      <c r="H504" s="109">
        <v>112000</v>
      </c>
      <c r="I504" s="108"/>
      <c r="J504" s="20">
        <v>112000</v>
      </c>
    </row>
    <row r="505" spans="1:10" x14ac:dyDescent="0.25">
      <c r="A505" s="107" t="s">
        <v>754</v>
      </c>
      <c r="B505" s="110"/>
      <c r="C505" s="109">
        <v>2078900</v>
      </c>
      <c r="D505" s="108"/>
      <c r="E505" s="157">
        <v>2078900</v>
      </c>
      <c r="F505" s="107"/>
      <c r="G505" s="110"/>
      <c r="H505" s="109">
        <v>2078900</v>
      </c>
      <c r="I505" s="108"/>
      <c r="J505" s="20">
        <v>2078900</v>
      </c>
    </row>
    <row r="506" spans="1:10" x14ac:dyDescent="0.25">
      <c r="A506" s="107" t="s">
        <v>755</v>
      </c>
      <c r="B506" s="110"/>
      <c r="C506" s="109">
        <v>6000</v>
      </c>
      <c r="D506" s="108"/>
      <c r="E506" s="157">
        <v>6000</v>
      </c>
      <c r="F506" s="107"/>
      <c r="G506" s="110"/>
      <c r="H506" s="109">
        <v>6000</v>
      </c>
      <c r="I506" s="108"/>
      <c r="J506" s="20">
        <v>6000</v>
      </c>
    </row>
    <row r="507" spans="1:10" x14ac:dyDescent="0.25">
      <c r="A507" s="107" t="s">
        <v>1253</v>
      </c>
      <c r="B507" s="110"/>
      <c r="C507" s="109">
        <v>29500</v>
      </c>
      <c r="D507" s="108"/>
      <c r="E507" s="157">
        <v>29500</v>
      </c>
      <c r="F507" s="107"/>
      <c r="G507" s="110"/>
      <c r="H507" s="109">
        <v>29500</v>
      </c>
      <c r="I507" s="108"/>
      <c r="J507" s="20">
        <v>29500</v>
      </c>
    </row>
    <row r="508" spans="1:10" x14ac:dyDescent="0.25">
      <c r="A508" s="107" t="s">
        <v>1317</v>
      </c>
      <c r="B508" s="110"/>
      <c r="C508" s="109">
        <v>124100</v>
      </c>
      <c r="D508" s="108"/>
      <c r="E508" s="157">
        <v>124100</v>
      </c>
      <c r="F508" s="107"/>
      <c r="G508" s="110"/>
      <c r="H508" s="109">
        <v>124100</v>
      </c>
      <c r="I508" s="108"/>
      <c r="J508" s="20">
        <v>124100</v>
      </c>
    </row>
    <row r="509" spans="1:10" x14ac:dyDescent="0.25">
      <c r="A509" s="107" t="s">
        <v>758</v>
      </c>
      <c r="B509" s="110"/>
      <c r="C509" s="109">
        <v>2469</v>
      </c>
      <c r="D509" s="109">
        <v>2469</v>
      </c>
      <c r="E509" s="110"/>
      <c r="F509" s="107"/>
      <c r="G509" s="110"/>
      <c r="H509" s="109">
        <v>2469</v>
      </c>
      <c r="I509" s="109">
        <v>2469</v>
      </c>
      <c r="J509" s="110"/>
    </row>
    <row r="510" spans="1:10" x14ac:dyDescent="0.25">
      <c r="A510" s="107" t="s">
        <v>1068</v>
      </c>
      <c r="B510" s="110"/>
      <c r="C510" s="109">
        <v>6342</v>
      </c>
      <c r="D510" s="109">
        <v>6342</v>
      </c>
      <c r="E510" s="110"/>
      <c r="F510" s="107"/>
      <c r="G510" s="110"/>
      <c r="H510" s="109">
        <v>6342</v>
      </c>
      <c r="I510" s="109">
        <v>6342</v>
      </c>
      <c r="J510" s="110"/>
    </row>
    <row r="511" spans="1:10" x14ac:dyDescent="0.25">
      <c r="A511" s="107" t="s">
        <v>759</v>
      </c>
      <c r="B511" s="110"/>
      <c r="C511" s="109">
        <v>5989997</v>
      </c>
      <c r="D511" s="109">
        <v>5989997</v>
      </c>
      <c r="E511" s="110"/>
      <c r="F511" s="107"/>
      <c r="G511" s="110"/>
      <c r="H511" s="109">
        <v>5989997</v>
      </c>
      <c r="I511" s="109">
        <v>5989997</v>
      </c>
      <c r="J511" s="110"/>
    </row>
    <row r="512" spans="1:10" x14ac:dyDescent="0.25">
      <c r="A512" s="107" t="s">
        <v>760</v>
      </c>
      <c r="B512" s="110"/>
      <c r="C512" s="109">
        <v>203.62</v>
      </c>
      <c r="D512" s="109">
        <v>241.1</v>
      </c>
      <c r="E512" s="158">
        <v>37.479999999999997</v>
      </c>
      <c r="F512" s="107"/>
      <c r="G512" s="110"/>
      <c r="H512" s="109">
        <v>203.62</v>
      </c>
      <c r="I512" s="109">
        <v>241.1</v>
      </c>
      <c r="J512" s="20">
        <v>-37.479999999999997</v>
      </c>
    </row>
    <row r="513" spans="1:10" x14ac:dyDescent="0.25">
      <c r="A513" s="107" t="s">
        <v>761</v>
      </c>
      <c r="B513" s="157">
        <v>51094</v>
      </c>
      <c r="C513" s="108"/>
      <c r="D513" s="108"/>
      <c r="E513" s="157">
        <v>51094</v>
      </c>
      <c r="F513" s="107"/>
      <c r="G513" s="20">
        <v>51094</v>
      </c>
      <c r="H513" s="108"/>
      <c r="I513" s="108"/>
      <c r="J513" s="20">
        <v>51094</v>
      </c>
    </row>
    <row r="514" spans="1:10" x14ac:dyDescent="0.25">
      <c r="A514" s="107" t="s">
        <v>762</v>
      </c>
      <c r="B514" s="158">
        <v>29394</v>
      </c>
      <c r="C514" s="109">
        <v>29394</v>
      </c>
      <c r="D514" s="108"/>
      <c r="E514" s="110"/>
      <c r="F514" s="107"/>
      <c r="G514" s="20">
        <v>-29394</v>
      </c>
      <c r="H514" s="109">
        <v>29394</v>
      </c>
      <c r="I514" s="108"/>
      <c r="J514" s="110"/>
    </row>
    <row r="515" spans="1:10" x14ac:dyDescent="0.25">
      <c r="A515" s="107" t="s">
        <v>1385</v>
      </c>
      <c r="B515" s="110"/>
      <c r="C515" s="109">
        <v>3540000</v>
      </c>
      <c r="D515" s="109">
        <v>3540000</v>
      </c>
      <c r="E515" s="110"/>
      <c r="F515" s="107"/>
      <c r="G515" s="110"/>
      <c r="H515" s="109">
        <v>3540000</v>
      </c>
      <c r="I515" s="109">
        <v>3540000</v>
      </c>
      <c r="J515" s="110"/>
    </row>
    <row r="516" spans="1:10" x14ac:dyDescent="0.25">
      <c r="A516" s="107" t="s">
        <v>769</v>
      </c>
      <c r="B516" s="158">
        <v>3899.63</v>
      </c>
      <c r="C516" s="109">
        <v>5125</v>
      </c>
      <c r="D516" s="109">
        <v>1225.3699999999999</v>
      </c>
      <c r="E516" s="110"/>
      <c r="F516" s="107"/>
      <c r="G516" s="20">
        <v>-3899.63</v>
      </c>
      <c r="H516" s="109">
        <v>5125</v>
      </c>
      <c r="I516" s="109">
        <v>1225.3699999999999</v>
      </c>
      <c r="J516" s="110"/>
    </row>
    <row r="517" spans="1:10" x14ac:dyDescent="0.25">
      <c r="A517" s="107" t="s">
        <v>1318</v>
      </c>
      <c r="B517" s="110"/>
      <c r="C517" s="109">
        <v>161922</v>
      </c>
      <c r="D517" s="109">
        <v>161922</v>
      </c>
      <c r="E517" s="110"/>
      <c r="F517" s="107"/>
      <c r="G517" s="110"/>
      <c r="H517" s="109">
        <v>161922</v>
      </c>
      <c r="I517" s="109">
        <v>161922</v>
      </c>
      <c r="J517" s="110"/>
    </row>
    <row r="518" spans="1:10" x14ac:dyDescent="0.25">
      <c r="A518" s="107" t="s">
        <v>770</v>
      </c>
      <c r="B518" s="110"/>
      <c r="C518" s="109">
        <v>6229420</v>
      </c>
      <c r="D518" s="109">
        <v>6229445</v>
      </c>
      <c r="E518" s="158">
        <v>25</v>
      </c>
      <c r="F518" s="107"/>
      <c r="G518" s="110"/>
      <c r="H518" s="109">
        <v>6229420</v>
      </c>
      <c r="I518" s="109">
        <v>6229445</v>
      </c>
      <c r="J518" s="20">
        <v>-25</v>
      </c>
    </row>
    <row r="519" spans="1:10" x14ac:dyDescent="0.25">
      <c r="A519" s="107" t="s">
        <v>771</v>
      </c>
      <c r="B519" s="158">
        <v>1000</v>
      </c>
      <c r="C519" s="109">
        <v>12000</v>
      </c>
      <c r="D519" s="109">
        <v>12000</v>
      </c>
      <c r="E519" s="158">
        <v>1000</v>
      </c>
      <c r="F519" s="107"/>
      <c r="G519" s="20">
        <v>-1000</v>
      </c>
      <c r="H519" s="109">
        <v>12000</v>
      </c>
      <c r="I519" s="109">
        <v>12000</v>
      </c>
      <c r="J519" s="20">
        <v>-1000</v>
      </c>
    </row>
    <row r="520" spans="1:10" x14ac:dyDescent="0.25">
      <c r="A520" s="107" t="s">
        <v>772</v>
      </c>
      <c r="B520" s="158">
        <v>3029.36</v>
      </c>
      <c r="C520" s="109">
        <v>60133</v>
      </c>
      <c r="D520" s="109">
        <v>57103.64</v>
      </c>
      <c r="E520" s="110"/>
      <c r="F520" s="107"/>
      <c r="G520" s="20">
        <v>-3029.36</v>
      </c>
      <c r="H520" s="109">
        <v>60133</v>
      </c>
      <c r="I520" s="109">
        <v>57103.64</v>
      </c>
      <c r="J520" s="110"/>
    </row>
    <row r="521" spans="1:10" x14ac:dyDescent="0.25">
      <c r="A521" s="107" t="s">
        <v>773</v>
      </c>
      <c r="B521" s="158">
        <v>109824</v>
      </c>
      <c r="C521" s="109">
        <v>2741112</v>
      </c>
      <c r="D521" s="109">
        <v>3210693</v>
      </c>
      <c r="E521" s="158">
        <v>579405</v>
      </c>
      <c r="F521" s="107"/>
      <c r="G521" s="20">
        <v>-109824</v>
      </c>
      <c r="H521" s="109">
        <v>2741112</v>
      </c>
      <c r="I521" s="109">
        <v>3210693</v>
      </c>
      <c r="J521" s="20">
        <v>-579405</v>
      </c>
    </row>
    <row r="522" spans="1:10" x14ac:dyDescent="0.25">
      <c r="A522" s="107" t="s">
        <v>774</v>
      </c>
      <c r="B522" s="110"/>
      <c r="C522" s="108"/>
      <c r="D522" s="109">
        <v>887346.04</v>
      </c>
      <c r="E522" s="158">
        <v>887346.04</v>
      </c>
      <c r="F522" s="107"/>
      <c r="G522" s="110"/>
      <c r="H522" s="108"/>
      <c r="I522" s="109">
        <v>887346.04</v>
      </c>
      <c r="J522" s="20">
        <v>-887346.04</v>
      </c>
    </row>
    <row r="523" spans="1:10" x14ac:dyDescent="0.25">
      <c r="A523" s="107" t="s">
        <v>777</v>
      </c>
      <c r="B523" s="110"/>
      <c r="C523" s="109">
        <v>3024</v>
      </c>
      <c r="D523" s="109">
        <v>1771674.32</v>
      </c>
      <c r="E523" s="158">
        <v>1768650.32</v>
      </c>
      <c r="F523" s="107"/>
      <c r="G523" s="110"/>
      <c r="H523" s="109">
        <v>3024</v>
      </c>
      <c r="I523" s="109">
        <v>1771674.32</v>
      </c>
      <c r="J523" s="20">
        <v>-1768650.32</v>
      </c>
    </row>
    <row r="524" spans="1:10" x14ac:dyDescent="0.25">
      <c r="A524" s="107" t="s">
        <v>778</v>
      </c>
      <c r="B524" s="110"/>
      <c r="C524" s="108"/>
      <c r="D524" s="109">
        <v>2100</v>
      </c>
      <c r="E524" s="158">
        <v>2100</v>
      </c>
      <c r="F524" s="107"/>
      <c r="G524" s="110"/>
      <c r="H524" s="108"/>
      <c r="I524" s="109">
        <v>2100</v>
      </c>
      <c r="J524" s="20">
        <v>-2100</v>
      </c>
    </row>
    <row r="525" spans="1:10" x14ac:dyDescent="0.25">
      <c r="A525" s="107" t="s">
        <v>369</v>
      </c>
      <c r="B525" s="110"/>
      <c r="C525" s="108"/>
      <c r="D525" s="109">
        <v>105991629.29000001</v>
      </c>
      <c r="E525" s="158">
        <v>105991629.29000001</v>
      </c>
      <c r="F525" s="107"/>
      <c r="G525" s="110"/>
      <c r="H525" s="108"/>
      <c r="I525" s="109">
        <v>105991629.29000001</v>
      </c>
      <c r="J525" s="20">
        <v>-105991629.29000001</v>
      </c>
    </row>
    <row r="526" spans="1:10" x14ac:dyDescent="0.25">
      <c r="A526" s="107" t="s">
        <v>780</v>
      </c>
      <c r="B526" s="110"/>
      <c r="C526" s="109">
        <v>6827434.4000000004</v>
      </c>
      <c r="D526" s="109">
        <v>127951454.03</v>
      </c>
      <c r="E526" s="158">
        <v>121124019.63</v>
      </c>
      <c r="F526" s="107"/>
      <c r="G526" s="110"/>
      <c r="H526" s="109">
        <v>6827434.4000000004</v>
      </c>
      <c r="I526" s="109">
        <v>127951454.03</v>
      </c>
      <c r="J526" s="20">
        <v>-121124019.63</v>
      </c>
    </row>
    <row r="527" spans="1:10" x14ac:dyDescent="0.25">
      <c r="A527" s="107" t="s">
        <v>784</v>
      </c>
      <c r="B527" s="158">
        <v>2360</v>
      </c>
      <c r="C527" s="109">
        <v>944</v>
      </c>
      <c r="D527" s="109">
        <v>944</v>
      </c>
      <c r="E527" s="158">
        <v>2360</v>
      </c>
      <c r="F527" s="107"/>
      <c r="G527" s="20">
        <v>-2360</v>
      </c>
      <c r="H527" s="109">
        <v>944</v>
      </c>
      <c r="I527" s="109">
        <v>944</v>
      </c>
      <c r="J527" s="20">
        <v>-2360</v>
      </c>
    </row>
    <row r="528" spans="1:10" x14ac:dyDescent="0.25">
      <c r="A528" s="107" t="s">
        <v>1386</v>
      </c>
      <c r="B528" s="110"/>
      <c r="C528" s="109">
        <v>257250</v>
      </c>
      <c r="D528" s="109">
        <v>257250</v>
      </c>
      <c r="E528" s="110"/>
      <c r="F528" s="107"/>
      <c r="G528" s="110"/>
      <c r="H528" s="109">
        <v>257250</v>
      </c>
      <c r="I528" s="109">
        <v>257250</v>
      </c>
      <c r="J528" s="110"/>
    </row>
    <row r="529" spans="1:10" x14ac:dyDescent="0.25">
      <c r="A529" s="107" t="s">
        <v>785</v>
      </c>
      <c r="B529" s="157">
        <v>31996</v>
      </c>
      <c r="C529" s="108"/>
      <c r="D529" s="108"/>
      <c r="E529" s="157">
        <v>31996</v>
      </c>
      <c r="F529" s="107"/>
      <c r="G529" s="20">
        <v>31996</v>
      </c>
      <c r="H529" s="108"/>
      <c r="I529" s="108"/>
      <c r="J529" s="20">
        <v>31996</v>
      </c>
    </row>
    <row r="530" spans="1:10" x14ac:dyDescent="0.25">
      <c r="A530" s="107" t="s">
        <v>1254</v>
      </c>
      <c r="B530" s="110"/>
      <c r="C530" s="109">
        <v>6500</v>
      </c>
      <c r="D530" s="109">
        <v>6500</v>
      </c>
      <c r="E530" s="110"/>
      <c r="F530" s="107"/>
      <c r="G530" s="110"/>
      <c r="H530" s="109">
        <v>6500</v>
      </c>
      <c r="I530" s="109">
        <v>6500</v>
      </c>
      <c r="J530" s="110"/>
    </row>
    <row r="531" spans="1:10" x14ac:dyDescent="0.25">
      <c r="A531" s="107" t="s">
        <v>1387</v>
      </c>
      <c r="B531" s="110"/>
      <c r="C531" s="109">
        <v>2612131</v>
      </c>
      <c r="D531" s="108"/>
      <c r="E531" s="157">
        <v>2612131</v>
      </c>
      <c r="F531" s="107"/>
      <c r="G531" s="110"/>
      <c r="H531" s="109">
        <v>2612131</v>
      </c>
      <c r="I531" s="108"/>
      <c r="J531" s="20">
        <v>2612131</v>
      </c>
    </row>
    <row r="532" spans="1:10" x14ac:dyDescent="0.25">
      <c r="A532" s="107" t="s">
        <v>1255</v>
      </c>
      <c r="B532" s="110"/>
      <c r="C532" s="109">
        <v>104585</v>
      </c>
      <c r="D532" s="109">
        <v>104585</v>
      </c>
      <c r="E532" s="110"/>
      <c r="F532" s="107"/>
      <c r="G532" s="110"/>
      <c r="H532" s="109">
        <v>104585</v>
      </c>
      <c r="I532" s="109">
        <v>104585</v>
      </c>
      <c r="J532" s="110"/>
    </row>
    <row r="533" spans="1:10" x14ac:dyDescent="0.25">
      <c r="A533" s="107" t="s">
        <v>1070</v>
      </c>
      <c r="B533" s="110"/>
      <c r="C533" s="109">
        <v>4628400</v>
      </c>
      <c r="D533" s="109">
        <v>7121700</v>
      </c>
      <c r="E533" s="158">
        <v>2493300</v>
      </c>
      <c r="F533" s="107"/>
      <c r="G533" s="110"/>
      <c r="H533" s="109">
        <v>4628400</v>
      </c>
      <c r="I533" s="109">
        <v>7121700</v>
      </c>
      <c r="J533" s="20">
        <v>-2493300</v>
      </c>
    </row>
    <row r="534" spans="1:10" x14ac:dyDescent="0.25">
      <c r="A534" s="107" t="s">
        <v>764</v>
      </c>
      <c r="B534" s="157">
        <v>1870</v>
      </c>
      <c r="C534" s="108"/>
      <c r="D534" s="108"/>
      <c r="E534" s="157">
        <v>1870</v>
      </c>
      <c r="F534" s="107"/>
      <c r="G534" s="20">
        <v>1870</v>
      </c>
      <c r="H534" s="108"/>
      <c r="I534" s="108"/>
      <c r="J534" s="20">
        <v>1870</v>
      </c>
    </row>
    <row r="535" spans="1:10" x14ac:dyDescent="0.25">
      <c r="A535" s="107" t="s">
        <v>766</v>
      </c>
      <c r="B535" s="157">
        <v>6580</v>
      </c>
      <c r="C535" s="108"/>
      <c r="D535" s="108"/>
      <c r="E535" s="157">
        <v>6580</v>
      </c>
      <c r="F535" s="107"/>
      <c r="G535" s="20">
        <v>6580</v>
      </c>
      <c r="H535" s="108"/>
      <c r="I535" s="108"/>
      <c r="J535" s="20">
        <v>6580</v>
      </c>
    </row>
    <row r="536" spans="1:10" x14ac:dyDescent="0.25">
      <c r="A536" s="107" t="s">
        <v>787</v>
      </c>
      <c r="B536" s="110"/>
      <c r="C536" s="109">
        <v>4189</v>
      </c>
      <c r="D536" s="109">
        <v>4189</v>
      </c>
      <c r="E536" s="110"/>
      <c r="F536" s="107"/>
      <c r="G536" s="110"/>
      <c r="H536" s="109">
        <v>4189</v>
      </c>
      <c r="I536" s="109">
        <v>4189</v>
      </c>
      <c r="J536" s="110"/>
    </row>
    <row r="537" spans="1:10" x14ac:dyDescent="0.25">
      <c r="A537" s="107" t="s">
        <v>788</v>
      </c>
      <c r="B537" s="110"/>
      <c r="C537" s="109">
        <v>47503.63</v>
      </c>
      <c r="D537" s="108"/>
      <c r="E537" s="157">
        <v>47503.63</v>
      </c>
      <c r="F537" s="107"/>
      <c r="G537" s="110"/>
      <c r="H537" s="109">
        <v>47503.63</v>
      </c>
      <c r="I537" s="108"/>
      <c r="J537" s="20">
        <v>47503.63</v>
      </c>
    </row>
    <row r="538" spans="1:10" x14ac:dyDescent="0.25">
      <c r="A538" s="107" t="s">
        <v>789</v>
      </c>
      <c r="B538" s="110"/>
      <c r="C538" s="109">
        <v>19713</v>
      </c>
      <c r="D538" s="108"/>
      <c r="E538" s="157">
        <v>19713</v>
      </c>
      <c r="F538" s="107"/>
      <c r="G538" s="110"/>
      <c r="H538" s="109">
        <v>19713</v>
      </c>
      <c r="I538" s="108"/>
      <c r="J538" s="20">
        <v>19713</v>
      </c>
    </row>
    <row r="539" spans="1:10" x14ac:dyDescent="0.25">
      <c r="A539" s="107" t="s">
        <v>790</v>
      </c>
      <c r="B539" s="110"/>
      <c r="C539" s="109">
        <v>4567.8999999999996</v>
      </c>
      <c r="D539" s="108"/>
      <c r="E539" s="157">
        <v>4567.8999999999996</v>
      </c>
      <c r="F539" s="107"/>
      <c r="G539" s="110"/>
      <c r="H539" s="109">
        <v>4567.8999999999996</v>
      </c>
      <c r="I539" s="108"/>
      <c r="J539" s="20">
        <v>4567.8999999999996</v>
      </c>
    </row>
    <row r="540" spans="1:10" x14ac:dyDescent="0.25">
      <c r="A540" s="107" t="s">
        <v>1256</v>
      </c>
      <c r="B540" s="110"/>
      <c r="C540" s="109">
        <v>17604.080000000002</v>
      </c>
      <c r="D540" s="108"/>
      <c r="E540" s="157">
        <v>17604.080000000002</v>
      </c>
      <c r="F540" s="107"/>
      <c r="G540" s="110"/>
      <c r="H540" s="109">
        <v>17604.080000000002</v>
      </c>
      <c r="I540" s="108"/>
      <c r="J540" s="20">
        <v>17604.080000000002</v>
      </c>
    </row>
    <row r="541" spans="1:10" x14ac:dyDescent="0.25">
      <c r="A541" s="107" t="s">
        <v>791</v>
      </c>
      <c r="B541" s="110"/>
      <c r="C541" s="109">
        <v>4000</v>
      </c>
      <c r="D541" s="108"/>
      <c r="E541" s="157">
        <v>4000</v>
      </c>
      <c r="F541" s="107"/>
      <c r="G541" s="110"/>
      <c r="H541" s="109">
        <v>4000</v>
      </c>
      <c r="I541" s="108"/>
      <c r="J541" s="20">
        <v>4000</v>
      </c>
    </row>
    <row r="542" spans="1:10" x14ac:dyDescent="0.25">
      <c r="A542" s="107" t="s">
        <v>793</v>
      </c>
      <c r="B542" s="110"/>
      <c r="C542" s="109">
        <v>15644</v>
      </c>
      <c r="D542" s="109">
        <v>15644</v>
      </c>
      <c r="E542" s="110"/>
      <c r="F542" s="107"/>
      <c r="G542" s="110"/>
      <c r="H542" s="109">
        <v>15644</v>
      </c>
      <c r="I542" s="109">
        <v>15644</v>
      </c>
      <c r="J542" s="110"/>
    </row>
    <row r="543" spans="1:10" x14ac:dyDescent="0.25">
      <c r="A543" s="107" t="s">
        <v>794</v>
      </c>
      <c r="B543" s="157">
        <v>1530</v>
      </c>
      <c r="C543" s="108"/>
      <c r="D543" s="108"/>
      <c r="E543" s="157">
        <v>1530</v>
      </c>
      <c r="F543" s="107"/>
      <c r="G543" s="20">
        <v>1530</v>
      </c>
      <c r="H543" s="108"/>
      <c r="I543" s="108"/>
      <c r="J543" s="20">
        <v>1530</v>
      </c>
    </row>
    <row r="544" spans="1:10" x14ac:dyDescent="0.25">
      <c r="A544" s="107" t="s">
        <v>795</v>
      </c>
      <c r="B544" s="157">
        <v>433850</v>
      </c>
      <c r="C544" s="108"/>
      <c r="D544" s="108"/>
      <c r="E544" s="157">
        <v>433850</v>
      </c>
      <c r="F544" s="107"/>
      <c r="G544" s="20">
        <v>433850</v>
      </c>
      <c r="H544" s="108"/>
      <c r="I544" s="108"/>
      <c r="J544" s="20">
        <v>433850</v>
      </c>
    </row>
    <row r="545" spans="1:10" x14ac:dyDescent="0.25">
      <c r="A545" s="107" t="s">
        <v>796</v>
      </c>
      <c r="B545" s="157">
        <v>653050</v>
      </c>
      <c r="C545" s="108"/>
      <c r="D545" s="108"/>
      <c r="E545" s="157">
        <v>653050</v>
      </c>
      <c r="F545" s="107"/>
      <c r="G545" s="20">
        <v>653050</v>
      </c>
      <c r="H545" s="108"/>
      <c r="I545" s="108"/>
      <c r="J545" s="20">
        <v>653050</v>
      </c>
    </row>
    <row r="546" spans="1:10" x14ac:dyDescent="0.25">
      <c r="A546" s="107" t="s">
        <v>798</v>
      </c>
      <c r="B546" s="110"/>
      <c r="C546" s="109">
        <v>73142</v>
      </c>
      <c r="D546" s="108"/>
      <c r="E546" s="157">
        <v>73142</v>
      </c>
      <c r="F546" s="107"/>
      <c r="G546" s="110"/>
      <c r="H546" s="109">
        <v>73142</v>
      </c>
      <c r="I546" s="108"/>
      <c r="J546" s="20">
        <v>73142</v>
      </c>
    </row>
    <row r="547" spans="1:10" x14ac:dyDescent="0.25">
      <c r="A547" s="107" t="s">
        <v>800</v>
      </c>
      <c r="B547" s="110"/>
      <c r="C547" s="109">
        <v>673040.02</v>
      </c>
      <c r="D547" s="108"/>
      <c r="E547" s="157">
        <v>673040.02</v>
      </c>
      <c r="F547" s="107"/>
      <c r="G547" s="110"/>
      <c r="H547" s="109">
        <v>673040.02</v>
      </c>
      <c r="I547" s="108"/>
      <c r="J547" s="20">
        <v>673040.02</v>
      </c>
    </row>
    <row r="548" spans="1:10" x14ac:dyDescent="0.25">
      <c r="A548" s="107" t="s">
        <v>801</v>
      </c>
      <c r="B548" s="110"/>
      <c r="C548" s="109">
        <v>3250.5</v>
      </c>
      <c r="D548" s="109">
        <v>4580.3999999999996</v>
      </c>
      <c r="E548" s="158">
        <v>1329.9</v>
      </c>
      <c r="F548" s="107"/>
      <c r="G548" s="110"/>
      <c r="H548" s="109">
        <v>3250.5</v>
      </c>
      <c r="I548" s="109">
        <v>4580.3999999999996</v>
      </c>
      <c r="J548" s="20">
        <v>-1329.9</v>
      </c>
    </row>
    <row r="549" spans="1:10" x14ac:dyDescent="0.25">
      <c r="A549" s="107" t="s">
        <v>802</v>
      </c>
      <c r="B549" s="158">
        <v>317245.48</v>
      </c>
      <c r="C549" s="109">
        <v>1399794.99</v>
      </c>
      <c r="D549" s="109">
        <v>2162812.67</v>
      </c>
      <c r="E549" s="158">
        <v>1080263.1599999999</v>
      </c>
      <c r="F549" s="107"/>
      <c r="G549" s="20">
        <v>-317245.48</v>
      </c>
      <c r="H549" s="109">
        <v>1399794.99</v>
      </c>
      <c r="I549" s="109">
        <v>2162812.67</v>
      </c>
      <c r="J549" s="20">
        <v>-1080263.1599999999</v>
      </c>
    </row>
    <row r="550" spans="1:10" x14ac:dyDescent="0.25">
      <c r="A550" s="107" t="s">
        <v>803</v>
      </c>
      <c r="B550" s="158">
        <v>540</v>
      </c>
      <c r="C550" s="109">
        <v>3178</v>
      </c>
      <c r="D550" s="109">
        <v>1138</v>
      </c>
      <c r="E550" s="157">
        <v>1500</v>
      </c>
      <c r="F550" s="107"/>
      <c r="G550" s="20">
        <v>-540</v>
      </c>
      <c r="H550" s="109">
        <v>3178</v>
      </c>
      <c r="I550" s="109">
        <v>1138</v>
      </c>
      <c r="J550" s="20">
        <v>1500</v>
      </c>
    </row>
    <row r="551" spans="1:10" x14ac:dyDescent="0.25">
      <c r="A551" s="107" t="s">
        <v>805</v>
      </c>
      <c r="B551" s="157">
        <v>557976.01</v>
      </c>
      <c r="C551" s="109">
        <v>450.56</v>
      </c>
      <c r="D551" s="109">
        <v>558426.56999999995</v>
      </c>
      <c r="E551" s="110"/>
      <c r="F551" s="107"/>
      <c r="G551" s="20">
        <v>557976.01</v>
      </c>
      <c r="H551" s="109">
        <v>450.56</v>
      </c>
      <c r="I551" s="109">
        <v>558426.56999999995</v>
      </c>
      <c r="J551" s="110"/>
    </row>
    <row r="552" spans="1:10" x14ac:dyDescent="0.25">
      <c r="A552" s="107" t="s">
        <v>806</v>
      </c>
      <c r="B552" s="157">
        <v>208322.55</v>
      </c>
      <c r="C552" s="109">
        <v>109111.21</v>
      </c>
      <c r="D552" s="109">
        <v>317433.76</v>
      </c>
      <c r="E552" s="110"/>
      <c r="F552" s="107"/>
      <c r="G552" s="20">
        <v>208322.55</v>
      </c>
      <c r="H552" s="109">
        <v>109111.21</v>
      </c>
      <c r="I552" s="109">
        <v>317433.76</v>
      </c>
      <c r="J552" s="110"/>
    </row>
    <row r="553" spans="1:10" x14ac:dyDescent="0.25">
      <c r="A553" s="107" t="s">
        <v>808</v>
      </c>
      <c r="B553" s="157">
        <v>180633.55</v>
      </c>
      <c r="C553" s="109">
        <v>205.84</v>
      </c>
      <c r="D553" s="109">
        <v>180839.39</v>
      </c>
      <c r="E553" s="110"/>
      <c r="F553" s="107"/>
      <c r="G553" s="20">
        <v>180633.55</v>
      </c>
      <c r="H553" s="109">
        <v>205.84</v>
      </c>
      <c r="I553" s="109">
        <v>180839.39</v>
      </c>
      <c r="J553" s="110"/>
    </row>
    <row r="554" spans="1:10" x14ac:dyDescent="0.25">
      <c r="A554" s="107" t="s">
        <v>810</v>
      </c>
      <c r="B554" s="157">
        <v>63825.78</v>
      </c>
      <c r="C554" s="109">
        <v>32943.93</v>
      </c>
      <c r="D554" s="109">
        <v>96769.71</v>
      </c>
      <c r="E554" s="110"/>
      <c r="F554" s="107"/>
      <c r="G554" s="20">
        <v>63825.78</v>
      </c>
      <c r="H554" s="109">
        <v>32943.93</v>
      </c>
      <c r="I554" s="109">
        <v>96769.71</v>
      </c>
      <c r="J554" s="110"/>
    </row>
    <row r="555" spans="1:10" x14ac:dyDescent="0.25">
      <c r="A555" s="107" t="s">
        <v>812</v>
      </c>
      <c r="B555" s="157">
        <v>203581.74</v>
      </c>
      <c r="C555" s="109">
        <v>17263.560000000001</v>
      </c>
      <c r="D555" s="109">
        <v>220845.3</v>
      </c>
      <c r="E555" s="110"/>
      <c r="F555" s="107"/>
      <c r="G555" s="20">
        <v>203581.74</v>
      </c>
      <c r="H555" s="109">
        <v>17263.560000000001</v>
      </c>
      <c r="I555" s="109">
        <v>220845.3</v>
      </c>
      <c r="J555" s="110"/>
    </row>
    <row r="556" spans="1:10" x14ac:dyDescent="0.25">
      <c r="A556" s="107" t="s">
        <v>813</v>
      </c>
      <c r="B556" s="157">
        <v>211301.5</v>
      </c>
      <c r="C556" s="109">
        <v>19037.150000000001</v>
      </c>
      <c r="D556" s="109">
        <v>230338.65</v>
      </c>
      <c r="E556" s="110"/>
      <c r="F556" s="107"/>
      <c r="G556" s="20">
        <v>211301.5</v>
      </c>
      <c r="H556" s="109">
        <v>19037.150000000001</v>
      </c>
      <c r="I556" s="109">
        <v>230338.65</v>
      </c>
      <c r="J556" s="110"/>
    </row>
    <row r="557" spans="1:10" x14ac:dyDescent="0.25">
      <c r="A557" s="107" t="s">
        <v>839</v>
      </c>
      <c r="B557" s="157">
        <v>178088.08</v>
      </c>
      <c r="C557" s="109">
        <v>14604.14</v>
      </c>
      <c r="D557" s="109">
        <v>192692.22</v>
      </c>
      <c r="E557" s="110"/>
      <c r="F557" s="107"/>
      <c r="G557" s="20">
        <v>178088.08</v>
      </c>
      <c r="H557" s="109">
        <v>14604.14</v>
      </c>
      <c r="I557" s="109">
        <v>192692.22</v>
      </c>
      <c r="J557" s="110"/>
    </row>
    <row r="558" spans="1:10" x14ac:dyDescent="0.25">
      <c r="A558" s="107" t="s">
        <v>815</v>
      </c>
      <c r="B558" s="157">
        <v>5919.82</v>
      </c>
      <c r="C558" s="109">
        <v>4.96</v>
      </c>
      <c r="D558" s="109">
        <v>5924.78</v>
      </c>
      <c r="E558" s="110"/>
      <c r="F558" s="107"/>
      <c r="G558" s="20">
        <v>5919.82</v>
      </c>
      <c r="H558" s="109">
        <v>4.96</v>
      </c>
      <c r="I558" s="109">
        <v>5924.78</v>
      </c>
      <c r="J558" s="110"/>
    </row>
    <row r="559" spans="1:10" x14ac:dyDescent="0.25">
      <c r="A559" s="107" t="s">
        <v>818</v>
      </c>
      <c r="B559" s="157">
        <v>241601.48</v>
      </c>
      <c r="C559" s="109">
        <v>143601.54</v>
      </c>
      <c r="D559" s="109">
        <v>385203.02</v>
      </c>
      <c r="E559" s="110"/>
      <c r="F559" s="107"/>
      <c r="G559" s="20">
        <v>241601.48</v>
      </c>
      <c r="H559" s="109">
        <v>143601.54</v>
      </c>
      <c r="I559" s="109">
        <v>385203.02</v>
      </c>
      <c r="J559" s="110"/>
    </row>
    <row r="560" spans="1:10" x14ac:dyDescent="0.25">
      <c r="A560" s="107" t="s">
        <v>819</v>
      </c>
      <c r="B560" s="157">
        <v>48557.5</v>
      </c>
      <c r="C560" s="109">
        <v>51.81</v>
      </c>
      <c r="D560" s="109">
        <v>48609.31</v>
      </c>
      <c r="E560" s="110"/>
      <c r="F560" s="107"/>
      <c r="G560" s="20">
        <v>48557.5</v>
      </c>
      <c r="H560" s="109">
        <v>51.81</v>
      </c>
      <c r="I560" s="109">
        <v>48609.31</v>
      </c>
      <c r="J560" s="110"/>
    </row>
    <row r="561" spans="1:10" x14ac:dyDescent="0.25">
      <c r="A561" s="107" t="s">
        <v>820</v>
      </c>
      <c r="B561" s="157">
        <v>88021.66</v>
      </c>
      <c r="C561" s="109">
        <v>9410.09</v>
      </c>
      <c r="D561" s="109">
        <v>97431.75</v>
      </c>
      <c r="E561" s="110"/>
      <c r="F561" s="107"/>
      <c r="G561" s="20">
        <v>88021.66</v>
      </c>
      <c r="H561" s="109">
        <v>9410.09</v>
      </c>
      <c r="I561" s="109">
        <v>97431.75</v>
      </c>
      <c r="J561" s="110"/>
    </row>
    <row r="562" spans="1:10" x14ac:dyDescent="0.25">
      <c r="A562" s="107" t="s">
        <v>822</v>
      </c>
      <c r="B562" s="157">
        <v>122565.87</v>
      </c>
      <c r="C562" s="109">
        <v>126.11</v>
      </c>
      <c r="D562" s="109">
        <v>122691.98</v>
      </c>
      <c r="E562" s="110"/>
      <c r="F562" s="107"/>
      <c r="G562" s="20">
        <v>122565.87</v>
      </c>
      <c r="H562" s="109">
        <v>126.11</v>
      </c>
      <c r="I562" s="109">
        <v>122691.98</v>
      </c>
      <c r="J562" s="110"/>
    </row>
    <row r="563" spans="1:10" x14ac:dyDescent="0.25">
      <c r="A563" s="107" t="s">
        <v>823</v>
      </c>
      <c r="B563" s="157">
        <v>85704.07</v>
      </c>
      <c r="C563" s="109">
        <v>17778.439999999999</v>
      </c>
      <c r="D563" s="109">
        <v>103482.51</v>
      </c>
      <c r="E563" s="110"/>
      <c r="F563" s="107"/>
      <c r="G563" s="20">
        <v>85704.07</v>
      </c>
      <c r="H563" s="109">
        <v>17778.439999999999</v>
      </c>
      <c r="I563" s="109">
        <v>103482.51</v>
      </c>
      <c r="J563" s="110"/>
    </row>
    <row r="564" spans="1:10" ht="24" x14ac:dyDescent="0.25">
      <c r="A564" s="159" t="s">
        <v>824</v>
      </c>
      <c r="B564" s="157">
        <v>85602.3</v>
      </c>
      <c r="C564" s="109">
        <v>8331.9</v>
      </c>
      <c r="D564" s="109">
        <v>93934.2</v>
      </c>
      <c r="E564" s="110"/>
      <c r="F564" s="159"/>
      <c r="G564" s="20">
        <v>85602.3</v>
      </c>
      <c r="H564" s="109">
        <v>8331.9</v>
      </c>
      <c r="I564" s="109">
        <v>93934.2</v>
      </c>
      <c r="J564" s="110"/>
    </row>
    <row r="565" spans="1:10" x14ac:dyDescent="0.25">
      <c r="A565" s="107" t="s">
        <v>825</v>
      </c>
      <c r="B565" s="157">
        <v>196233</v>
      </c>
      <c r="C565" s="109">
        <v>199.61</v>
      </c>
      <c r="D565" s="109">
        <v>196432.61</v>
      </c>
      <c r="E565" s="110"/>
      <c r="F565" s="107"/>
      <c r="G565" s="20">
        <v>196233</v>
      </c>
      <c r="H565" s="109">
        <v>199.61</v>
      </c>
      <c r="I565" s="109">
        <v>196432.61</v>
      </c>
      <c r="J565" s="110"/>
    </row>
    <row r="566" spans="1:10" x14ac:dyDescent="0.25">
      <c r="A566" s="107" t="s">
        <v>826</v>
      </c>
      <c r="B566" s="157">
        <v>34766.35</v>
      </c>
      <c r="C566" s="109">
        <v>16327.86</v>
      </c>
      <c r="D566" s="109">
        <v>51094.21</v>
      </c>
      <c r="E566" s="110"/>
      <c r="F566" s="107"/>
      <c r="G566" s="20">
        <v>34766.35</v>
      </c>
      <c r="H566" s="109">
        <v>16327.86</v>
      </c>
      <c r="I566" s="109">
        <v>51094.21</v>
      </c>
      <c r="J566" s="110"/>
    </row>
    <row r="567" spans="1:10" x14ac:dyDescent="0.25">
      <c r="A567" s="107" t="s">
        <v>827</v>
      </c>
      <c r="B567" s="157">
        <v>54499.41</v>
      </c>
      <c r="C567" s="109">
        <v>93.05</v>
      </c>
      <c r="D567" s="109">
        <v>54592.46</v>
      </c>
      <c r="E567" s="110"/>
      <c r="F567" s="107"/>
      <c r="G567" s="20">
        <v>54499.41</v>
      </c>
      <c r="H567" s="109">
        <v>93.05</v>
      </c>
      <c r="I567" s="109">
        <v>54592.46</v>
      </c>
      <c r="J567" s="110"/>
    </row>
    <row r="568" spans="1:10" x14ac:dyDescent="0.25">
      <c r="A568" s="107" t="s">
        <v>828</v>
      </c>
      <c r="B568" s="157">
        <v>101599.82</v>
      </c>
      <c r="C568" s="109">
        <v>84.99</v>
      </c>
      <c r="D568" s="109">
        <v>101684.81</v>
      </c>
      <c r="E568" s="110"/>
      <c r="F568" s="107"/>
      <c r="G568" s="20">
        <v>101599.82</v>
      </c>
      <c r="H568" s="109">
        <v>84.99</v>
      </c>
      <c r="I568" s="109">
        <v>101684.81</v>
      </c>
      <c r="J568" s="110"/>
    </row>
    <row r="569" spans="1:10" x14ac:dyDescent="0.25">
      <c r="A569" s="107" t="s">
        <v>829</v>
      </c>
      <c r="B569" s="157">
        <v>173506.77</v>
      </c>
      <c r="C569" s="109">
        <v>150.9</v>
      </c>
      <c r="D569" s="109">
        <v>173657.67</v>
      </c>
      <c r="E569" s="110"/>
      <c r="F569" s="107"/>
      <c r="G569" s="20">
        <v>173506.77</v>
      </c>
      <c r="H569" s="109">
        <v>150.9</v>
      </c>
      <c r="I569" s="109">
        <v>173657.67</v>
      </c>
      <c r="J569" s="110"/>
    </row>
    <row r="570" spans="1:10" x14ac:dyDescent="0.25">
      <c r="A570" s="107" t="s">
        <v>832</v>
      </c>
      <c r="B570" s="157">
        <v>99368.25</v>
      </c>
      <c r="C570" s="109">
        <v>41.39</v>
      </c>
      <c r="D570" s="109">
        <v>99409.64</v>
      </c>
      <c r="E570" s="110"/>
      <c r="F570" s="107"/>
      <c r="G570" s="20">
        <v>99368.25</v>
      </c>
      <c r="H570" s="109">
        <v>41.39</v>
      </c>
      <c r="I570" s="109">
        <v>99409.64</v>
      </c>
      <c r="J570" s="110"/>
    </row>
    <row r="571" spans="1:10" x14ac:dyDescent="0.25">
      <c r="A571" s="107" t="s">
        <v>834</v>
      </c>
      <c r="B571" s="157">
        <v>189724.95</v>
      </c>
      <c r="C571" s="109">
        <v>208.47</v>
      </c>
      <c r="D571" s="109">
        <v>189933.42</v>
      </c>
      <c r="E571" s="110"/>
      <c r="F571" s="107"/>
      <c r="G571" s="20">
        <v>189724.95</v>
      </c>
      <c r="H571" s="109">
        <v>208.47</v>
      </c>
      <c r="I571" s="109">
        <v>189933.42</v>
      </c>
      <c r="J571" s="110"/>
    </row>
    <row r="572" spans="1:10" x14ac:dyDescent="0.25">
      <c r="A572" s="107" t="s">
        <v>835</v>
      </c>
      <c r="B572" s="157">
        <v>254298.72</v>
      </c>
      <c r="C572" s="109">
        <v>67975.53</v>
      </c>
      <c r="D572" s="109">
        <v>322274.25</v>
      </c>
      <c r="E572" s="110"/>
      <c r="F572" s="107"/>
      <c r="G572" s="20">
        <v>254298.72</v>
      </c>
      <c r="H572" s="109">
        <v>67975.53</v>
      </c>
      <c r="I572" s="109">
        <v>322274.25</v>
      </c>
      <c r="J572" s="110"/>
    </row>
    <row r="573" spans="1:10" x14ac:dyDescent="0.25">
      <c r="A573" s="107" t="s">
        <v>836</v>
      </c>
      <c r="B573" s="157">
        <v>95369.74</v>
      </c>
      <c r="C573" s="109">
        <v>93.55</v>
      </c>
      <c r="D573" s="109">
        <v>95463.29</v>
      </c>
      <c r="E573" s="110"/>
      <c r="F573" s="107"/>
      <c r="G573" s="20">
        <v>95369.74</v>
      </c>
      <c r="H573" s="109">
        <v>93.55</v>
      </c>
      <c r="I573" s="109">
        <v>95463.29</v>
      </c>
      <c r="J573" s="110"/>
    </row>
    <row r="574" spans="1:10" x14ac:dyDescent="0.25">
      <c r="A574" s="107" t="s">
        <v>837</v>
      </c>
      <c r="B574" s="157">
        <v>658157.36</v>
      </c>
      <c r="C574" s="109">
        <v>605.77</v>
      </c>
      <c r="D574" s="109">
        <v>658763.13</v>
      </c>
      <c r="E574" s="110"/>
      <c r="F574" s="107"/>
      <c r="G574" s="20">
        <v>658157.36</v>
      </c>
      <c r="H574" s="109">
        <v>605.77</v>
      </c>
      <c r="I574" s="109">
        <v>658763.13</v>
      </c>
      <c r="J574" s="110"/>
    </row>
    <row r="575" spans="1:10" x14ac:dyDescent="0.25">
      <c r="A575" s="107" t="s">
        <v>838</v>
      </c>
      <c r="B575" s="157">
        <v>71184.2</v>
      </c>
      <c r="C575" s="109">
        <v>70.09</v>
      </c>
      <c r="D575" s="109">
        <v>71254.289999999994</v>
      </c>
      <c r="E575" s="110"/>
      <c r="F575" s="107"/>
      <c r="G575" s="20">
        <v>71184.2</v>
      </c>
      <c r="H575" s="109">
        <v>70.09</v>
      </c>
      <c r="I575" s="109">
        <v>71254.289999999994</v>
      </c>
      <c r="J575" s="110"/>
    </row>
    <row r="576" spans="1:10" x14ac:dyDescent="0.25">
      <c r="A576" s="107" t="s">
        <v>842</v>
      </c>
      <c r="B576" s="110"/>
      <c r="C576" s="109">
        <v>4750</v>
      </c>
      <c r="D576" s="108"/>
      <c r="E576" s="157">
        <v>4750</v>
      </c>
      <c r="F576" s="107"/>
      <c r="G576" s="110"/>
      <c r="H576" s="109">
        <v>4750</v>
      </c>
      <c r="I576" s="108"/>
      <c r="J576" s="20">
        <v>4750</v>
      </c>
    </row>
    <row r="577" spans="1:10" x14ac:dyDescent="0.25">
      <c r="A577" s="107" t="s">
        <v>845</v>
      </c>
      <c r="B577" s="157">
        <v>42952</v>
      </c>
      <c r="C577" s="109">
        <v>42952</v>
      </c>
      <c r="D577" s="109">
        <v>85904</v>
      </c>
      <c r="E577" s="110"/>
      <c r="F577" s="107"/>
      <c r="G577" s="20">
        <v>42952</v>
      </c>
      <c r="H577" s="109">
        <v>42952</v>
      </c>
      <c r="I577" s="109">
        <v>85904</v>
      </c>
      <c r="J577" s="110"/>
    </row>
    <row r="578" spans="1:10" x14ac:dyDescent="0.25">
      <c r="A578" s="107" t="s">
        <v>846</v>
      </c>
      <c r="B578" s="110"/>
      <c r="C578" s="109">
        <v>9440</v>
      </c>
      <c r="D578" s="109">
        <v>9440</v>
      </c>
      <c r="E578" s="110"/>
      <c r="F578" s="107"/>
      <c r="G578" s="110"/>
      <c r="H578" s="109">
        <v>9440</v>
      </c>
      <c r="I578" s="109">
        <v>9440</v>
      </c>
      <c r="J578" s="110"/>
    </row>
    <row r="579" spans="1:10" x14ac:dyDescent="0.25">
      <c r="A579" s="107" t="s">
        <v>843</v>
      </c>
      <c r="B579" s="158">
        <v>618</v>
      </c>
      <c r="C579" s="109">
        <v>618</v>
      </c>
      <c r="D579" s="108"/>
      <c r="E579" s="110"/>
      <c r="F579" s="107"/>
      <c r="G579" s="20">
        <v>-618</v>
      </c>
      <c r="H579" s="109">
        <v>618</v>
      </c>
      <c r="I579" s="108"/>
      <c r="J579" s="110"/>
    </row>
    <row r="580" spans="1:10" x14ac:dyDescent="0.25">
      <c r="A580" s="107" t="s">
        <v>844</v>
      </c>
      <c r="B580" s="158">
        <v>1235</v>
      </c>
      <c r="C580" s="109">
        <v>1235</v>
      </c>
      <c r="D580" s="108"/>
      <c r="E580" s="110"/>
      <c r="F580" s="107"/>
      <c r="G580" s="20">
        <v>-1235</v>
      </c>
      <c r="H580" s="109">
        <v>1235</v>
      </c>
      <c r="I580" s="108"/>
      <c r="J580" s="110"/>
    </row>
    <row r="581" spans="1:10" x14ac:dyDescent="0.25">
      <c r="A581" s="107" t="s">
        <v>847</v>
      </c>
      <c r="B581" s="110"/>
      <c r="C581" s="108"/>
      <c r="D581" s="109">
        <v>465583.48</v>
      </c>
      <c r="E581" s="158">
        <v>465583.48</v>
      </c>
      <c r="F581" s="107"/>
      <c r="G581" s="110"/>
      <c r="H581" s="108"/>
      <c r="I581" s="109">
        <v>465583.48</v>
      </c>
      <c r="J581" s="20">
        <v>-465583.48</v>
      </c>
    </row>
    <row r="582" spans="1:10" x14ac:dyDescent="0.25">
      <c r="A582" s="107" t="s">
        <v>1320</v>
      </c>
      <c r="B582" s="110"/>
      <c r="C582" s="109">
        <v>2808000</v>
      </c>
      <c r="D582" s="109">
        <v>4954725</v>
      </c>
      <c r="E582" s="158">
        <v>2146725</v>
      </c>
      <c r="F582" s="107"/>
      <c r="G582" s="110"/>
      <c r="H582" s="109">
        <v>2808000</v>
      </c>
      <c r="I582" s="109">
        <v>4954725</v>
      </c>
      <c r="J582" s="20">
        <v>-2146725</v>
      </c>
    </row>
    <row r="583" spans="1:10" x14ac:dyDescent="0.25">
      <c r="A583" s="107" t="s">
        <v>849</v>
      </c>
      <c r="B583" s="158">
        <v>587</v>
      </c>
      <c r="C583" s="109">
        <v>587</v>
      </c>
      <c r="D583" s="108"/>
      <c r="E583" s="110"/>
      <c r="F583" s="107"/>
      <c r="G583" s="20">
        <v>-587</v>
      </c>
      <c r="H583" s="109">
        <v>587</v>
      </c>
      <c r="I583" s="108"/>
      <c r="J583" s="110"/>
    </row>
    <row r="584" spans="1:10" x14ac:dyDescent="0.25">
      <c r="A584" s="107" t="s">
        <v>851</v>
      </c>
      <c r="B584" s="110"/>
      <c r="C584" s="109">
        <v>2755000</v>
      </c>
      <c r="D584" s="109">
        <v>2755000</v>
      </c>
      <c r="E584" s="110"/>
      <c r="F584" s="107"/>
      <c r="G584" s="110"/>
      <c r="H584" s="109">
        <v>2755000</v>
      </c>
      <c r="I584" s="109">
        <v>2755000</v>
      </c>
      <c r="J584" s="110"/>
    </row>
    <row r="585" spans="1:10" x14ac:dyDescent="0.25">
      <c r="A585" s="107" t="s">
        <v>1071</v>
      </c>
      <c r="B585" s="110"/>
      <c r="C585" s="109">
        <v>1030050</v>
      </c>
      <c r="D585" s="109">
        <v>1030050</v>
      </c>
      <c r="E585" s="110"/>
      <c r="F585" s="107"/>
      <c r="G585" s="110"/>
      <c r="H585" s="109">
        <v>1030050</v>
      </c>
      <c r="I585" s="109">
        <v>1030050</v>
      </c>
      <c r="J585" s="110"/>
    </row>
    <row r="586" spans="1:10" x14ac:dyDescent="0.25">
      <c r="A586" s="107" t="s">
        <v>1388</v>
      </c>
      <c r="B586" s="110"/>
      <c r="C586" s="109">
        <v>91382</v>
      </c>
      <c r="D586" s="109">
        <v>91382</v>
      </c>
      <c r="E586" s="110"/>
      <c r="F586" s="107"/>
      <c r="G586" s="110"/>
      <c r="H586" s="109">
        <v>91382</v>
      </c>
      <c r="I586" s="109">
        <v>91382</v>
      </c>
      <c r="J586" s="110"/>
    </row>
    <row r="587" spans="1:10" x14ac:dyDescent="0.25">
      <c r="A587" s="107" t="s">
        <v>854</v>
      </c>
      <c r="B587" s="158">
        <v>464</v>
      </c>
      <c r="C587" s="109">
        <v>46933</v>
      </c>
      <c r="D587" s="109">
        <v>46933</v>
      </c>
      <c r="E587" s="158">
        <v>464</v>
      </c>
      <c r="F587" s="107"/>
      <c r="G587" s="20">
        <v>-464</v>
      </c>
      <c r="H587" s="109">
        <v>46933</v>
      </c>
      <c r="I587" s="109">
        <v>46933</v>
      </c>
      <c r="J587" s="20">
        <v>-464</v>
      </c>
    </row>
    <row r="588" spans="1:10" x14ac:dyDescent="0.25">
      <c r="A588" s="107" t="s">
        <v>855</v>
      </c>
      <c r="B588" s="158">
        <v>5359</v>
      </c>
      <c r="C588" s="109">
        <v>16284</v>
      </c>
      <c r="D588" s="109">
        <v>11151</v>
      </c>
      <c r="E588" s="158">
        <v>226</v>
      </c>
      <c r="F588" s="107"/>
      <c r="G588" s="20">
        <v>-5359</v>
      </c>
      <c r="H588" s="109">
        <v>16284</v>
      </c>
      <c r="I588" s="109">
        <v>11151</v>
      </c>
      <c r="J588" s="20">
        <v>-226</v>
      </c>
    </row>
    <row r="589" spans="1:10" x14ac:dyDescent="0.25">
      <c r="A589" s="107" t="s">
        <v>856</v>
      </c>
      <c r="B589" s="110"/>
      <c r="C589" s="109">
        <v>91833</v>
      </c>
      <c r="D589" s="109">
        <v>91833</v>
      </c>
      <c r="E589" s="110"/>
      <c r="F589" s="107"/>
      <c r="G589" s="110"/>
      <c r="H589" s="109">
        <v>91833</v>
      </c>
      <c r="I589" s="109">
        <v>91833</v>
      </c>
      <c r="J589" s="110"/>
    </row>
    <row r="590" spans="1:10" x14ac:dyDescent="0.25">
      <c r="A590" s="107" t="s">
        <v>857</v>
      </c>
      <c r="B590" s="110"/>
      <c r="C590" s="109">
        <v>13767</v>
      </c>
      <c r="D590" s="109">
        <v>13767</v>
      </c>
      <c r="E590" s="110"/>
      <c r="F590" s="107"/>
      <c r="G590" s="110"/>
      <c r="H590" s="109">
        <v>13767</v>
      </c>
      <c r="I590" s="109">
        <v>13767</v>
      </c>
      <c r="J590" s="110"/>
    </row>
    <row r="591" spans="1:10" x14ac:dyDescent="0.25">
      <c r="A591" s="107" t="s">
        <v>858</v>
      </c>
      <c r="B591" s="158">
        <v>10000</v>
      </c>
      <c r="C591" s="109">
        <v>120000</v>
      </c>
      <c r="D591" s="109">
        <v>110000</v>
      </c>
      <c r="E591" s="110"/>
      <c r="F591" s="107"/>
      <c r="G591" s="20">
        <v>-10000</v>
      </c>
      <c r="H591" s="109">
        <v>120000</v>
      </c>
      <c r="I591" s="109">
        <v>110000</v>
      </c>
      <c r="J591" s="110"/>
    </row>
    <row r="592" spans="1:10" x14ac:dyDescent="0.25">
      <c r="A592" s="107" t="s">
        <v>1389</v>
      </c>
      <c r="B592" s="110"/>
      <c r="C592" s="109">
        <v>3912300</v>
      </c>
      <c r="D592" s="109">
        <v>3912300</v>
      </c>
      <c r="E592" s="110"/>
      <c r="F592" s="107"/>
      <c r="G592" s="110"/>
      <c r="H592" s="109">
        <v>3912300</v>
      </c>
      <c r="I592" s="109">
        <v>3912300</v>
      </c>
      <c r="J592" s="110"/>
    </row>
    <row r="593" spans="1:10" x14ac:dyDescent="0.25">
      <c r="A593" s="107" t="s">
        <v>1321</v>
      </c>
      <c r="B593" s="110"/>
      <c r="C593" s="109">
        <v>7600</v>
      </c>
      <c r="D593" s="109">
        <v>7600</v>
      </c>
      <c r="E593" s="110"/>
      <c r="F593" s="107"/>
      <c r="G593" s="110"/>
      <c r="H593" s="109">
        <v>7600</v>
      </c>
      <c r="I593" s="109">
        <v>7600</v>
      </c>
      <c r="J593" s="110"/>
    </row>
    <row r="594" spans="1:10" x14ac:dyDescent="0.25">
      <c r="A594" s="107" t="s">
        <v>1072</v>
      </c>
      <c r="B594" s="110"/>
      <c r="C594" s="109">
        <v>84823</v>
      </c>
      <c r="D594" s="109">
        <v>84823</v>
      </c>
      <c r="E594" s="110"/>
      <c r="F594" s="107"/>
      <c r="G594" s="110"/>
      <c r="H594" s="109">
        <v>84823</v>
      </c>
      <c r="I594" s="109">
        <v>84823</v>
      </c>
      <c r="J594" s="110"/>
    </row>
    <row r="595" spans="1:10" x14ac:dyDescent="0.25">
      <c r="A595" s="107" t="s">
        <v>1322</v>
      </c>
      <c r="B595" s="110"/>
      <c r="C595" s="109">
        <v>20900</v>
      </c>
      <c r="D595" s="109">
        <v>20900</v>
      </c>
      <c r="E595" s="110"/>
      <c r="F595" s="107"/>
      <c r="G595" s="110"/>
      <c r="H595" s="109">
        <v>20900</v>
      </c>
      <c r="I595" s="109">
        <v>20900</v>
      </c>
      <c r="J595" s="110"/>
    </row>
    <row r="596" spans="1:10" x14ac:dyDescent="0.25">
      <c r="A596" s="107" t="s">
        <v>861</v>
      </c>
      <c r="B596" s="157">
        <v>78824</v>
      </c>
      <c r="C596" s="108"/>
      <c r="D596" s="108"/>
      <c r="E596" s="157">
        <v>78824</v>
      </c>
      <c r="F596" s="107"/>
      <c r="G596" s="20">
        <v>78824</v>
      </c>
      <c r="H596" s="108"/>
      <c r="I596" s="108"/>
      <c r="J596" s="20">
        <v>78824</v>
      </c>
    </row>
    <row r="597" spans="1:10" x14ac:dyDescent="0.25">
      <c r="A597" s="107" t="s">
        <v>862</v>
      </c>
      <c r="B597" s="110"/>
      <c r="C597" s="109">
        <v>147986.76</v>
      </c>
      <c r="D597" s="109">
        <v>147986.76</v>
      </c>
      <c r="E597" s="110"/>
      <c r="F597" s="107"/>
      <c r="G597" s="110"/>
      <c r="H597" s="109">
        <v>147986.76</v>
      </c>
      <c r="I597" s="109">
        <v>147986.76</v>
      </c>
      <c r="J597" s="110"/>
    </row>
    <row r="598" spans="1:10" x14ac:dyDescent="0.25">
      <c r="A598" s="107" t="s">
        <v>1285</v>
      </c>
      <c r="B598" s="110"/>
      <c r="C598" s="109">
        <v>467221</v>
      </c>
      <c r="D598" s="109">
        <v>467221</v>
      </c>
      <c r="E598" s="110"/>
      <c r="F598" s="107"/>
      <c r="G598" s="110"/>
      <c r="H598" s="109">
        <v>467221</v>
      </c>
      <c r="I598" s="109">
        <v>467221</v>
      </c>
      <c r="J598" s="110"/>
    </row>
    <row r="599" spans="1:10" x14ac:dyDescent="0.25">
      <c r="A599" s="107" t="s">
        <v>1073</v>
      </c>
      <c r="B599" s="110"/>
      <c r="C599" s="109">
        <v>5666183</v>
      </c>
      <c r="D599" s="109">
        <v>5666183</v>
      </c>
      <c r="E599" s="110"/>
      <c r="F599" s="107"/>
      <c r="G599" s="110"/>
      <c r="H599" s="109">
        <v>5666183</v>
      </c>
      <c r="I599" s="109">
        <v>5666183</v>
      </c>
      <c r="J599" s="110"/>
    </row>
    <row r="600" spans="1:10" x14ac:dyDescent="0.25">
      <c r="A600" s="107" t="s">
        <v>1390</v>
      </c>
      <c r="B600" s="110"/>
      <c r="C600" s="109">
        <v>22780</v>
      </c>
      <c r="D600" s="109">
        <v>22780</v>
      </c>
      <c r="E600" s="110"/>
      <c r="F600" s="107"/>
      <c r="G600" s="110"/>
      <c r="H600" s="109">
        <v>22780</v>
      </c>
      <c r="I600" s="109">
        <v>22780</v>
      </c>
      <c r="J600" s="110"/>
    </row>
    <row r="601" spans="1:10" x14ac:dyDescent="0.25">
      <c r="A601" s="107" t="s">
        <v>863</v>
      </c>
      <c r="B601" s="110"/>
      <c r="C601" s="109">
        <v>111628</v>
      </c>
      <c r="D601" s="109">
        <v>111628</v>
      </c>
      <c r="E601" s="110"/>
      <c r="F601" s="107"/>
      <c r="G601" s="110"/>
      <c r="H601" s="109">
        <v>111628</v>
      </c>
      <c r="I601" s="109">
        <v>111628</v>
      </c>
      <c r="J601" s="110"/>
    </row>
    <row r="602" spans="1:10" x14ac:dyDescent="0.25">
      <c r="A602" s="107" t="s">
        <v>1323</v>
      </c>
      <c r="B602" s="110"/>
      <c r="C602" s="109">
        <v>18880</v>
      </c>
      <c r="D602" s="109">
        <v>18880</v>
      </c>
      <c r="E602" s="110"/>
      <c r="F602" s="107"/>
      <c r="G602" s="110"/>
      <c r="H602" s="109">
        <v>18880</v>
      </c>
      <c r="I602" s="109">
        <v>18880</v>
      </c>
      <c r="J602" s="110"/>
    </row>
    <row r="603" spans="1:10" x14ac:dyDescent="0.25">
      <c r="A603" s="107" t="s">
        <v>869</v>
      </c>
      <c r="B603" s="157">
        <v>13800</v>
      </c>
      <c r="C603" s="108"/>
      <c r="D603" s="108"/>
      <c r="E603" s="157">
        <v>13800</v>
      </c>
      <c r="F603" s="107"/>
      <c r="G603" s="20">
        <v>13800</v>
      </c>
      <c r="H603" s="108"/>
      <c r="I603" s="108"/>
      <c r="J603" s="20">
        <v>13800</v>
      </c>
    </row>
    <row r="604" spans="1:10" x14ac:dyDescent="0.25">
      <c r="A604" s="107" t="s">
        <v>1222</v>
      </c>
      <c r="B604" s="110"/>
      <c r="C604" s="109">
        <v>12194.92</v>
      </c>
      <c r="D604" s="108"/>
      <c r="E604" s="157">
        <v>12194.92</v>
      </c>
      <c r="F604" s="107"/>
      <c r="G604" s="110"/>
      <c r="H604" s="109">
        <v>12194.92</v>
      </c>
      <c r="I604" s="108"/>
      <c r="J604" s="20">
        <v>12194.92</v>
      </c>
    </row>
    <row r="605" spans="1:10" x14ac:dyDescent="0.25">
      <c r="A605" s="107" t="s">
        <v>870</v>
      </c>
      <c r="B605" s="110"/>
      <c r="C605" s="109">
        <v>45500</v>
      </c>
      <c r="D605" s="109">
        <v>45500</v>
      </c>
      <c r="E605" s="110"/>
      <c r="F605" s="107"/>
      <c r="G605" s="110"/>
      <c r="H605" s="109">
        <v>45500</v>
      </c>
      <c r="I605" s="109">
        <v>45500</v>
      </c>
      <c r="J605" s="110"/>
    </row>
    <row r="606" spans="1:10" x14ac:dyDescent="0.25">
      <c r="A606" s="107" t="s">
        <v>874</v>
      </c>
      <c r="B606" s="110"/>
      <c r="C606" s="109">
        <v>900</v>
      </c>
      <c r="D606" s="108"/>
      <c r="E606" s="157">
        <v>900</v>
      </c>
      <c r="F606" s="107"/>
      <c r="G606" s="110"/>
      <c r="H606" s="109">
        <v>900</v>
      </c>
      <c r="I606" s="108"/>
      <c r="J606" s="20">
        <v>900</v>
      </c>
    </row>
    <row r="607" spans="1:10" x14ac:dyDescent="0.25">
      <c r="A607" s="107" t="s">
        <v>875</v>
      </c>
      <c r="B607" s="110"/>
      <c r="C607" s="109">
        <v>4688</v>
      </c>
      <c r="D607" s="108"/>
      <c r="E607" s="157">
        <v>4688</v>
      </c>
      <c r="F607" s="107"/>
      <c r="G607" s="110"/>
      <c r="H607" s="109">
        <v>4688</v>
      </c>
      <c r="I607" s="108"/>
      <c r="J607" s="20">
        <v>4688</v>
      </c>
    </row>
    <row r="608" spans="1:10" x14ac:dyDescent="0.25">
      <c r="A608" s="107" t="s">
        <v>1074</v>
      </c>
      <c r="B608" s="110"/>
      <c r="C608" s="109">
        <v>314033</v>
      </c>
      <c r="D608" s="108"/>
      <c r="E608" s="157">
        <v>314033</v>
      </c>
      <c r="F608" s="107"/>
      <c r="G608" s="110"/>
      <c r="H608" s="109">
        <v>314033</v>
      </c>
      <c r="I608" s="108"/>
      <c r="J608" s="20">
        <v>314033</v>
      </c>
    </row>
    <row r="609" spans="1:10" x14ac:dyDescent="0.25">
      <c r="A609" s="107" t="s">
        <v>878</v>
      </c>
      <c r="B609" s="110"/>
      <c r="C609" s="109">
        <v>1812500.73</v>
      </c>
      <c r="D609" s="109">
        <v>1812500.73</v>
      </c>
      <c r="E609" s="110"/>
      <c r="F609" s="107"/>
      <c r="G609" s="110"/>
      <c r="H609" s="109">
        <v>1812500.73</v>
      </c>
      <c r="I609" s="109">
        <v>1812500.73</v>
      </c>
      <c r="J609" s="110"/>
    </row>
    <row r="610" spans="1:10" x14ac:dyDescent="0.25">
      <c r="A610" s="107" t="s">
        <v>1275</v>
      </c>
      <c r="B610" s="110"/>
      <c r="C610" s="109">
        <v>24470460</v>
      </c>
      <c r="D610" s="109">
        <v>24470460</v>
      </c>
      <c r="E610" s="110"/>
      <c r="F610" s="107"/>
      <c r="G610" s="110"/>
      <c r="H610" s="109">
        <v>24470460</v>
      </c>
      <c r="I610" s="109">
        <v>24470460</v>
      </c>
      <c r="J610" s="110"/>
    </row>
    <row r="611" spans="1:10" x14ac:dyDescent="0.25">
      <c r="A611" s="107" t="s">
        <v>763</v>
      </c>
      <c r="B611" s="157">
        <v>47790</v>
      </c>
      <c r="C611" s="109">
        <v>112100</v>
      </c>
      <c r="D611" s="109">
        <v>161070</v>
      </c>
      <c r="E611" s="158">
        <v>1180</v>
      </c>
      <c r="F611" s="107"/>
      <c r="G611" s="20">
        <v>47790</v>
      </c>
      <c r="H611" s="109">
        <v>112100</v>
      </c>
      <c r="I611" s="109">
        <v>161070</v>
      </c>
      <c r="J611" s="20">
        <v>-1180</v>
      </c>
    </row>
    <row r="612" spans="1:10" x14ac:dyDescent="0.25">
      <c r="A612" s="107" t="s">
        <v>879</v>
      </c>
      <c r="B612" s="110"/>
      <c r="C612" s="109">
        <v>1780000</v>
      </c>
      <c r="D612" s="109">
        <v>1780000</v>
      </c>
      <c r="E612" s="110"/>
      <c r="F612" s="107"/>
      <c r="G612" s="110"/>
      <c r="H612" s="109">
        <v>1780000</v>
      </c>
      <c r="I612" s="109">
        <v>1780000</v>
      </c>
      <c r="J612" s="110"/>
    </row>
    <row r="613" spans="1:10" x14ac:dyDescent="0.25">
      <c r="A613" s="107" t="s">
        <v>1257</v>
      </c>
      <c r="B613" s="110"/>
      <c r="C613" s="109">
        <v>28373141.050000001</v>
      </c>
      <c r="D613" s="109">
        <v>16605861.050000001</v>
      </c>
      <c r="E613" s="157">
        <v>11767280</v>
      </c>
      <c r="F613" s="107"/>
      <c r="G613" s="110"/>
      <c r="H613" s="109">
        <v>28373141.050000001</v>
      </c>
      <c r="I613" s="109">
        <v>16605861.050000001</v>
      </c>
      <c r="J613" s="20">
        <v>11767280</v>
      </c>
    </row>
    <row r="614" spans="1:10" x14ac:dyDescent="0.25">
      <c r="A614" s="107" t="s">
        <v>880</v>
      </c>
      <c r="B614" s="158">
        <v>1387</v>
      </c>
      <c r="C614" s="108"/>
      <c r="D614" s="108"/>
      <c r="E614" s="158">
        <v>1387</v>
      </c>
      <c r="F614" s="107"/>
      <c r="G614" s="20">
        <v>-1387</v>
      </c>
      <c r="H614" s="108"/>
      <c r="I614" s="108"/>
      <c r="J614" s="20">
        <v>-1387</v>
      </c>
    </row>
    <row r="615" spans="1:10" x14ac:dyDescent="0.25">
      <c r="A615" s="107" t="s">
        <v>1069</v>
      </c>
      <c r="B615" s="110"/>
      <c r="C615" s="109">
        <v>95601</v>
      </c>
      <c r="D615" s="109">
        <v>95601</v>
      </c>
      <c r="E615" s="110"/>
      <c r="F615" s="107"/>
      <c r="G615" s="110"/>
      <c r="H615" s="109">
        <v>95601</v>
      </c>
      <c r="I615" s="109">
        <v>95601</v>
      </c>
      <c r="J615" s="110"/>
    </row>
    <row r="616" spans="1:10" x14ac:dyDescent="0.25">
      <c r="A616" s="107" t="s">
        <v>1021</v>
      </c>
      <c r="B616" s="110"/>
      <c r="C616" s="109">
        <v>37167.29</v>
      </c>
      <c r="D616" s="108"/>
      <c r="E616" s="157">
        <v>37167.29</v>
      </c>
      <c r="F616" s="107"/>
      <c r="G616" s="110"/>
      <c r="H616" s="109">
        <v>37167.29</v>
      </c>
      <c r="I616" s="108"/>
      <c r="J616" s="20">
        <v>37167.29</v>
      </c>
    </row>
    <row r="617" spans="1:10" x14ac:dyDescent="0.25">
      <c r="A617" s="107" t="s">
        <v>765</v>
      </c>
      <c r="B617" s="157">
        <v>8490.99</v>
      </c>
      <c r="C617" s="108"/>
      <c r="D617" s="108"/>
      <c r="E617" s="157">
        <v>8490.99</v>
      </c>
      <c r="F617" s="107"/>
      <c r="G617" s="20">
        <v>8490.99</v>
      </c>
      <c r="H617" s="108"/>
      <c r="I617" s="108"/>
      <c r="J617" s="20">
        <v>8490.99</v>
      </c>
    </row>
    <row r="618" spans="1:10" x14ac:dyDescent="0.25">
      <c r="A618" s="107" t="s">
        <v>882</v>
      </c>
      <c r="B618" s="157">
        <v>830</v>
      </c>
      <c r="C618" s="108"/>
      <c r="D618" s="108"/>
      <c r="E618" s="157">
        <v>830</v>
      </c>
      <c r="F618" s="107"/>
      <c r="G618" s="20">
        <v>830</v>
      </c>
      <c r="H618" s="108"/>
      <c r="I618" s="108"/>
      <c r="J618" s="20">
        <v>830</v>
      </c>
    </row>
    <row r="619" spans="1:10" x14ac:dyDescent="0.25">
      <c r="A619" s="107" t="s">
        <v>883</v>
      </c>
      <c r="B619" s="110"/>
      <c r="C619" s="109">
        <v>33490.370000000003</v>
      </c>
      <c r="D619" s="108"/>
      <c r="E619" s="157">
        <v>33490.370000000003</v>
      </c>
      <c r="F619" s="107"/>
      <c r="G619" s="110"/>
      <c r="H619" s="109">
        <v>33490.370000000003</v>
      </c>
      <c r="I619" s="108"/>
      <c r="J619" s="20">
        <v>33490.370000000003</v>
      </c>
    </row>
    <row r="620" spans="1:10" x14ac:dyDescent="0.25">
      <c r="A620" s="107" t="s">
        <v>884</v>
      </c>
      <c r="B620" s="110"/>
      <c r="C620" s="109">
        <v>71332</v>
      </c>
      <c r="D620" s="108"/>
      <c r="E620" s="157">
        <v>71332</v>
      </c>
      <c r="F620" s="107"/>
      <c r="G620" s="110"/>
      <c r="H620" s="109">
        <v>71332</v>
      </c>
      <c r="I620" s="108"/>
      <c r="J620" s="20">
        <v>71332</v>
      </c>
    </row>
    <row r="621" spans="1:10" x14ac:dyDescent="0.25">
      <c r="A621" s="107" t="s">
        <v>1258</v>
      </c>
      <c r="B621" s="110"/>
      <c r="C621" s="109">
        <v>9671</v>
      </c>
      <c r="D621" s="108"/>
      <c r="E621" s="157">
        <v>9671</v>
      </c>
      <c r="F621" s="107"/>
      <c r="G621" s="110"/>
      <c r="H621" s="109">
        <v>9671</v>
      </c>
      <c r="I621" s="108"/>
      <c r="J621" s="20">
        <v>9671</v>
      </c>
    </row>
    <row r="622" spans="1:10" x14ac:dyDescent="0.25">
      <c r="A622" s="107" t="s">
        <v>1090</v>
      </c>
      <c r="B622" s="110"/>
      <c r="C622" s="109">
        <v>154344</v>
      </c>
      <c r="D622" s="109">
        <v>154344</v>
      </c>
      <c r="E622" s="110"/>
      <c r="F622" s="107"/>
      <c r="G622" s="110"/>
      <c r="H622" s="109">
        <v>154344</v>
      </c>
      <c r="I622" s="109">
        <v>154344</v>
      </c>
      <c r="J622" s="110"/>
    </row>
    <row r="623" spans="1:10" x14ac:dyDescent="0.25">
      <c r="A623" s="107" t="s">
        <v>1267</v>
      </c>
      <c r="B623" s="110"/>
      <c r="C623" s="109">
        <v>1723</v>
      </c>
      <c r="D623" s="108"/>
      <c r="E623" s="157">
        <v>1723</v>
      </c>
      <c r="F623" s="107"/>
      <c r="G623" s="110"/>
      <c r="H623" s="109">
        <v>1723</v>
      </c>
      <c r="I623" s="108"/>
      <c r="J623" s="20">
        <v>1723</v>
      </c>
    </row>
    <row r="624" spans="1:10" x14ac:dyDescent="0.25">
      <c r="A624" s="107" t="s">
        <v>887</v>
      </c>
      <c r="B624" s="157">
        <v>9500.0400000000009</v>
      </c>
      <c r="C624" s="108"/>
      <c r="D624" s="109">
        <v>9500.0400000000009</v>
      </c>
      <c r="E624" s="110"/>
      <c r="F624" s="107"/>
      <c r="G624" s="20">
        <v>9500.0400000000009</v>
      </c>
      <c r="H624" s="108"/>
      <c r="I624" s="109">
        <v>9500.0400000000009</v>
      </c>
      <c r="J624" s="110"/>
    </row>
    <row r="625" spans="1:10" x14ac:dyDescent="0.25">
      <c r="A625" s="107" t="s">
        <v>1259</v>
      </c>
      <c r="B625" s="110"/>
      <c r="C625" s="109">
        <v>34810</v>
      </c>
      <c r="D625" s="109">
        <v>34810</v>
      </c>
      <c r="E625" s="110"/>
      <c r="F625" s="107"/>
      <c r="G625" s="110"/>
      <c r="H625" s="109">
        <v>34810</v>
      </c>
      <c r="I625" s="109">
        <v>34810</v>
      </c>
      <c r="J625" s="110"/>
    </row>
    <row r="626" spans="1:10" x14ac:dyDescent="0.25">
      <c r="A626" s="107" t="s">
        <v>890</v>
      </c>
      <c r="B626" s="110"/>
      <c r="C626" s="109">
        <v>75146.289999999994</v>
      </c>
      <c r="D626" s="108"/>
      <c r="E626" s="157">
        <v>75146.289999999994</v>
      </c>
      <c r="F626" s="107"/>
      <c r="G626" s="110"/>
      <c r="H626" s="109">
        <v>75146.289999999994</v>
      </c>
      <c r="I626" s="108"/>
      <c r="J626" s="20">
        <v>75146.289999999994</v>
      </c>
    </row>
    <row r="627" spans="1:10" x14ac:dyDescent="0.25">
      <c r="A627" s="107" t="s">
        <v>889</v>
      </c>
      <c r="B627" s="110"/>
      <c r="C627" s="109">
        <v>90295.38</v>
      </c>
      <c r="D627" s="108"/>
      <c r="E627" s="157">
        <v>90295.38</v>
      </c>
      <c r="F627" s="107"/>
      <c r="G627" s="110"/>
      <c r="H627" s="109">
        <v>90295.38</v>
      </c>
      <c r="I627" s="108"/>
      <c r="J627" s="20">
        <v>90295.38</v>
      </c>
    </row>
    <row r="628" spans="1:10" x14ac:dyDescent="0.25">
      <c r="A628" s="107" t="s">
        <v>1075</v>
      </c>
      <c r="B628" s="110"/>
      <c r="C628" s="109">
        <v>9729</v>
      </c>
      <c r="D628" s="108"/>
      <c r="E628" s="157">
        <v>9729</v>
      </c>
      <c r="F628" s="107"/>
      <c r="G628" s="110"/>
      <c r="H628" s="109">
        <v>9729</v>
      </c>
      <c r="I628" s="108"/>
      <c r="J628" s="20">
        <v>9729</v>
      </c>
    </row>
    <row r="629" spans="1:10" x14ac:dyDescent="0.25">
      <c r="A629" s="107" t="s">
        <v>1260</v>
      </c>
      <c r="B629" s="110"/>
      <c r="C629" s="109">
        <v>7503678</v>
      </c>
      <c r="D629" s="109">
        <v>2886259.33</v>
      </c>
      <c r="E629" s="157">
        <v>4617418.67</v>
      </c>
      <c r="F629" s="107"/>
      <c r="G629" s="110"/>
      <c r="H629" s="109">
        <v>7503678</v>
      </c>
      <c r="I629" s="109">
        <v>2886259.33</v>
      </c>
      <c r="J629" s="20">
        <v>4617418.67</v>
      </c>
    </row>
    <row r="630" spans="1:10" x14ac:dyDescent="0.25">
      <c r="A630" s="107" t="s">
        <v>1324</v>
      </c>
      <c r="B630" s="110"/>
      <c r="C630" s="109">
        <v>12000</v>
      </c>
      <c r="D630" s="108"/>
      <c r="E630" s="157">
        <v>12000</v>
      </c>
      <c r="F630" s="107"/>
      <c r="G630" s="110"/>
      <c r="H630" s="109">
        <v>12000</v>
      </c>
      <c r="I630" s="108"/>
      <c r="J630" s="20">
        <v>12000</v>
      </c>
    </row>
    <row r="631" spans="1:10" x14ac:dyDescent="0.25">
      <c r="A631" s="107" t="s">
        <v>1325</v>
      </c>
      <c r="B631" s="110"/>
      <c r="C631" s="109">
        <v>819000</v>
      </c>
      <c r="D631" s="109">
        <v>819000</v>
      </c>
      <c r="E631" s="110"/>
      <c r="F631" s="107"/>
      <c r="G631" s="110"/>
      <c r="H631" s="109">
        <v>819000</v>
      </c>
      <c r="I631" s="109">
        <v>819000</v>
      </c>
      <c r="J631" s="110"/>
    </row>
    <row r="632" spans="1:10" x14ac:dyDescent="0.25">
      <c r="A632" s="107" t="s">
        <v>1091</v>
      </c>
      <c r="B632" s="110"/>
      <c r="C632" s="109">
        <v>13534</v>
      </c>
      <c r="D632" s="109">
        <v>13534</v>
      </c>
      <c r="E632" s="110"/>
      <c r="F632" s="107"/>
      <c r="G632" s="110"/>
      <c r="H632" s="109">
        <v>13534</v>
      </c>
      <c r="I632" s="109">
        <v>13534</v>
      </c>
      <c r="J632" s="110"/>
    </row>
    <row r="633" spans="1:10" x14ac:dyDescent="0.25">
      <c r="A633" s="107" t="s">
        <v>892</v>
      </c>
      <c r="B633" s="110"/>
      <c r="C633" s="108"/>
      <c r="D633" s="109">
        <v>5000</v>
      </c>
      <c r="E633" s="158">
        <v>5000</v>
      </c>
      <c r="F633" s="107"/>
      <c r="G633" s="110"/>
      <c r="H633" s="108"/>
      <c r="I633" s="109">
        <v>5000</v>
      </c>
      <c r="J633" s="20">
        <v>-5000</v>
      </c>
    </row>
    <row r="634" spans="1:10" x14ac:dyDescent="0.25">
      <c r="A634" s="107" t="s">
        <v>893</v>
      </c>
      <c r="B634" s="157">
        <v>75539.91</v>
      </c>
      <c r="C634" s="109">
        <v>78.260000000000005</v>
      </c>
      <c r="D634" s="109">
        <v>75618.17</v>
      </c>
      <c r="E634" s="110"/>
      <c r="F634" s="107"/>
      <c r="G634" s="20">
        <v>75539.91</v>
      </c>
      <c r="H634" s="109">
        <v>78.260000000000005</v>
      </c>
      <c r="I634" s="109">
        <v>75618.17</v>
      </c>
      <c r="J634" s="110"/>
    </row>
    <row r="635" spans="1:10" x14ac:dyDescent="0.25">
      <c r="A635" s="107" t="s">
        <v>1261</v>
      </c>
      <c r="B635" s="110"/>
      <c r="C635" s="109">
        <v>148000</v>
      </c>
      <c r="D635" s="109">
        <v>148000</v>
      </c>
      <c r="E635" s="110"/>
      <c r="F635" s="107"/>
      <c r="G635" s="110"/>
      <c r="H635" s="109">
        <v>148000</v>
      </c>
      <c r="I635" s="109">
        <v>148000</v>
      </c>
      <c r="J635" s="110"/>
    </row>
    <row r="636" spans="1:10" x14ac:dyDescent="0.25">
      <c r="A636" s="107" t="s">
        <v>894</v>
      </c>
      <c r="B636" s="157">
        <v>553395</v>
      </c>
      <c r="C636" s="108"/>
      <c r="D636" s="109">
        <v>569108.54</v>
      </c>
      <c r="E636" s="158">
        <v>15713.54</v>
      </c>
      <c r="F636" s="107"/>
      <c r="G636" s="20">
        <v>553395</v>
      </c>
      <c r="H636" s="108"/>
      <c r="I636" s="109">
        <v>569108.54</v>
      </c>
      <c r="J636" s="20">
        <v>-15713.54</v>
      </c>
    </row>
    <row r="637" spans="1:10" x14ac:dyDescent="0.25">
      <c r="A637" s="107" t="s">
        <v>1326</v>
      </c>
      <c r="B637" s="110"/>
      <c r="C637" s="109">
        <v>3132635</v>
      </c>
      <c r="D637" s="109">
        <v>3073698.36</v>
      </c>
      <c r="E637" s="157">
        <v>58936.639999999999</v>
      </c>
      <c r="F637" s="107"/>
      <c r="G637" s="110"/>
      <c r="H637" s="109">
        <v>3132635</v>
      </c>
      <c r="I637" s="109">
        <v>3073698.36</v>
      </c>
      <c r="J637" s="20">
        <v>58936.639999999999</v>
      </c>
    </row>
    <row r="638" spans="1:10" x14ac:dyDescent="0.25">
      <c r="A638" s="107" t="s">
        <v>1327</v>
      </c>
      <c r="B638" s="110"/>
      <c r="C638" s="109">
        <v>3238452</v>
      </c>
      <c r="D638" s="109">
        <v>3238452</v>
      </c>
      <c r="E638" s="110"/>
      <c r="F638" s="107"/>
      <c r="G638" s="110"/>
      <c r="H638" s="109">
        <v>3238452</v>
      </c>
      <c r="I638" s="109">
        <v>3238452</v>
      </c>
      <c r="J638" s="110"/>
    </row>
    <row r="639" spans="1:10" x14ac:dyDescent="0.25">
      <c r="A639" s="107" t="s">
        <v>1391</v>
      </c>
      <c r="B639" s="110"/>
      <c r="C639" s="108"/>
      <c r="D639" s="109">
        <v>3506</v>
      </c>
      <c r="E639" s="158">
        <v>3506</v>
      </c>
      <c r="F639" s="107"/>
      <c r="G639" s="110"/>
      <c r="H639" s="108"/>
      <c r="I639" s="109">
        <v>3506</v>
      </c>
      <c r="J639" s="20">
        <v>-3506</v>
      </c>
    </row>
    <row r="640" spans="1:10" x14ac:dyDescent="0.25">
      <c r="A640" s="107" t="s">
        <v>898</v>
      </c>
      <c r="B640" s="157">
        <v>11041.2</v>
      </c>
      <c r="C640" s="108"/>
      <c r="D640" s="108"/>
      <c r="E640" s="157">
        <v>11041.2</v>
      </c>
      <c r="F640" s="107"/>
      <c r="G640" s="20">
        <v>11041.2</v>
      </c>
      <c r="H640" s="108"/>
      <c r="I640" s="108"/>
      <c r="J640" s="20">
        <v>11041.2</v>
      </c>
    </row>
    <row r="641" spans="1:10" x14ac:dyDescent="0.25">
      <c r="A641" s="107" t="s">
        <v>899</v>
      </c>
      <c r="B641" s="157">
        <v>5744</v>
      </c>
      <c r="C641" s="108"/>
      <c r="D641" s="108"/>
      <c r="E641" s="157">
        <v>5744</v>
      </c>
      <c r="F641" s="107"/>
      <c r="G641" s="20">
        <v>5744</v>
      </c>
      <c r="H641" s="108"/>
      <c r="I641" s="108"/>
      <c r="J641" s="20">
        <v>5744</v>
      </c>
    </row>
    <row r="642" spans="1:10" x14ac:dyDescent="0.25">
      <c r="A642" s="107" t="s">
        <v>901</v>
      </c>
      <c r="B642" s="158">
        <v>916</v>
      </c>
      <c r="C642" s="108"/>
      <c r="D642" s="108"/>
      <c r="E642" s="158">
        <v>916</v>
      </c>
      <c r="F642" s="107"/>
      <c r="G642" s="20">
        <v>-916</v>
      </c>
      <c r="H642" s="108"/>
      <c r="I642" s="108"/>
      <c r="J642" s="20">
        <v>-916</v>
      </c>
    </row>
    <row r="643" spans="1:10" x14ac:dyDescent="0.25">
      <c r="A643" s="107" t="s">
        <v>902</v>
      </c>
      <c r="B643" s="157">
        <v>288246</v>
      </c>
      <c r="C643" s="108"/>
      <c r="D643" s="108"/>
      <c r="E643" s="157">
        <v>288246</v>
      </c>
      <c r="F643" s="107"/>
      <c r="G643" s="20">
        <v>288246</v>
      </c>
      <c r="H643" s="108"/>
      <c r="I643" s="108"/>
      <c r="J643" s="20">
        <v>288246</v>
      </c>
    </row>
    <row r="644" spans="1:10" x14ac:dyDescent="0.25">
      <c r="A644" s="107" t="s">
        <v>904</v>
      </c>
      <c r="B644" s="157">
        <v>162000</v>
      </c>
      <c r="C644" s="108"/>
      <c r="D644" s="108"/>
      <c r="E644" s="157">
        <v>162000</v>
      </c>
      <c r="F644" s="107"/>
      <c r="G644" s="20">
        <v>162000</v>
      </c>
      <c r="H644" s="108"/>
      <c r="I644" s="108"/>
      <c r="J644" s="20">
        <v>162000</v>
      </c>
    </row>
    <row r="645" spans="1:10" x14ac:dyDescent="0.25">
      <c r="A645" s="107" t="s">
        <v>905</v>
      </c>
      <c r="B645" s="157">
        <v>41707</v>
      </c>
      <c r="C645" s="108"/>
      <c r="D645" s="108"/>
      <c r="E645" s="157">
        <v>41707</v>
      </c>
      <c r="F645" s="107"/>
      <c r="G645" s="20">
        <v>41707</v>
      </c>
      <c r="H645" s="108"/>
      <c r="I645" s="108"/>
      <c r="J645" s="20">
        <v>41707</v>
      </c>
    </row>
    <row r="646" spans="1:10" x14ac:dyDescent="0.25">
      <c r="A646" s="107" t="s">
        <v>906</v>
      </c>
      <c r="B646" s="157">
        <v>162000</v>
      </c>
      <c r="C646" s="108"/>
      <c r="D646" s="108"/>
      <c r="E646" s="157">
        <v>162000</v>
      </c>
      <c r="F646" s="107"/>
      <c r="G646" s="20">
        <v>162000</v>
      </c>
      <c r="H646" s="108"/>
      <c r="I646" s="108"/>
      <c r="J646" s="20">
        <v>162000</v>
      </c>
    </row>
    <row r="647" spans="1:10" x14ac:dyDescent="0.25">
      <c r="A647" s="107" t="s">
        <v>907</v>
      </c>
      <c r="B647" s="157">
        <v>20000</v>
      </c>
      <c r="C647" s="108"/>
      <c r="D647" s="108"/>
      <c r="E647" s="157">
        <v>20000</v>
      </c>
      <c r="F647" s="107"/>
      <c r="G647" s="20">
        <v>20000</v>
      </c>
      <c r="H647" s="108"/>
      <c r="I647" s="108"/>
      <c r="J647" s="20">
        <v>20000</v>
      </c>
    </row>
    <row r="648" spans="1:10" x14ac:dyDescent="0.25">
      <c r="A648" s="107" t="s">
        <v>908</v>
      </c>
      <c r="B648" s="157">
        <v>400000</v>
      </c>
      <c r="C648" s="108"/>
      <c r="D648" s="108"/>
      <c r="E648" s="157">
        <v>400000</v>
      </c>
      <c r="F648" s="107"/>
      <c r="G648" s="20">
        <v>400000</v>
      </c>
      <c r="H648" s="108"/>
      <c r="I648" s="108"/>
      <c r="J648" s="20">
        <v>400000</v>
      </c>
    </row>
    <row r="649" spans="1:10" x14ac:dyDescent="0.25">
      <c r="A649" s="107" t="s">
        <v>895</v>
      </c>
      <c r="B649" s="157">
        <v>8567</v>
      </c>
      <c r="C649" s="108"/>
      <c r="D649" s="108"/>
      <c r="E649" s="157">
        <v>8567</v>
      </c>
      <c r="F649" s="107"/>
      <c r="G649" s="20">
        <v>8567</v>
      </c>
      <c r="H649" s="108"/>
      <c r="I649" s="108"/>
      <c r="J649" s="20">
        <v>8567</v>
      </c>
    </row>
    <row r="650" spans="1:10" x14ac:dyDescent="0.25">
      <c r="A650" s="107" t="s">
        <v>909</v>
      </c>
      <c r="B650" s="158">
        <v>747</v>
      </c>
      <c r="C650" s="109">
        <v>19018</v>
      </c>
      <c r="D650" s="109">
        <v>23858</v>
      </c>
      <c r="E650" s="158">
        <v>5587</v>
      </c>
      <c r="F650" s="107"/>
      <c r="G650" s="20">
        <v>-747</v>
      </c>
      <c r="H650" s="109">
        <v>19018</v>
      </c>
      <c r="I650" s="109">
        <v>23858</v>
      </c>
      <c r="J650" s="20">
        <v>-5587</v>
      </c>
    </row>
    <row r="651" spans="1:10" x14ac:dyDescent="0.25">
      <c r="A651" s="107" t="s">
        <v>911</v>
      </c>
      <c r="B651" s="158">
        <v>74</v>
      </c>
      <c r="C651" s="109">
        <v>2347</v>
      </c>
      <c r="D651" s="109">
        <v>1374</v>
      </c>
      <c r="E651" s="157">
        <v>899</v>
      </c>
      <c r="F651" s="107"/>
      <c r="G651" s="20">
        <v>-74</v>
      </c>
      <c r="H651" s="109">
        <v>2347</v>
      </c>
      <c r="I651" s="109">
        <v>1374</v>
      </c>
      <c r="J651" s="20">
        <v>899</v>
      </c>
    </row>
    <row r="652" spans="1:10" x14ac:dyDescent="0.25">
      <c r="A652" s="107" t="s">
        <v>912</v>
      </c>
      <c r="B652" s="157">
        <v>40</v>
      </c>
      <c r="C652" s="108"/>
      <c r="D652" s="108"/>
      <c r="E652" s="157">
        <v>40</v>
      </c>
      <c r="F652" s="107"/>
      <c r="G652" s="20">
        <v>40</v>
      </c>
      <c r="H652" s="108"/>
      <c r="I652" s="108"/>
      <c r="J652" s="20">
        <v>40</v>
      </c>
    </row>
    <row r="653" spans="1:10" x14ac:dyDescent="0.25">
      <c r="A653" s="107" t="s">
        <v>914</v>
      </c>
      <c r="B653" s="157">
        <v>9046</v>
      </c>
      <c r="C653" s="108"/>
      <c r="D653" s="108"/>
      <c r="E653" s="157">
        <v>9046</v>
      </c>
      <c r="F653" s="107"/>
      <c r="G653" s="20">
        <v>9046</v>
      </c>
      <c r="H653" s="108"/>
      <c r="I653" s="108"/>
      <c r="J653" s="20">
        <v>9046</v>
      </c>
    </row>
    <row r="654" spans="1:10" x14ac:dyDescent="0.25">
      <c r="A654" s="107" t="s">
        <v>915</v>
      </c>
      <c r="B654" s="157">
        <v>12311</v>
      </c>
      <c r="C654" s="108"/>
      <c r="D654" s="108"/>
      <c r="E654" s="157">
        <v>12311</v>
      </c>
      <c r="F654" s="107"/>
      <c r="G654" s="20">
        <v>12311</v>
      </c>
      <c r="H654" s="108"/>
      <c r="I654" s="108"/>
      <c r="J654" s="20">
        <v>12311</v>
      </c>
    </row>
    <row r="655" spans="1:10" x14ac:dyDescent="0.25">
      <c r="A655" s="107" t="s">
        <v>916</v>
      </c>
      <c r="B655" s="157">
        <v>12543</v>
      </c>
      <c r="C655" s="108"/>
      <c r="D655" s="108"/>
      <c r="E655" s="157">
        <v>12543</v>
      </c>
      <c r="F655" s="107"/>
      <c r="G655" s="20">
        <v>12543</v>
      </c>
      <c r="H655" s="108"/>
      <c r="I655" s="108"/>
      <c r="J655" s="20">
        <v>12543</v>
      </c>
    </row>
    <row r="656" spans="1:10" x14ac:dyDescent="0.25">
      <c r="A656" s="107" t="s">
        <v>917</v>
      </c>
      <c r="B656" s="157">
        <v>9190</v>
      </c>
      <c r="C656" s="108"/>
      <c r="D656" s="108"/>
      <c r="E656" s="157">
        <v>9190</v>
      </c>
      <c r="F656" s="107"/>
      <c r="G656" s="20">
        <v>9190</v>
      </c>
      <c r="H656" s="108"/>
      <c r="I656" s="108"/>
      <c r="J656" s="20">
        <v>9190</v>
      </c>
    </row>
    <row r="657" spans="1:10" x14ac:dyDescent="0.25">
      <c r="A657" s="107" t="s">
        <v>918</v>
      </c>
      <c r="B657" s="157">
        <v>6800</v>
      </c>
      <c r="C657" s="108"/>
      <c r="D657" s="108"/>
      <c r="E657" s="157">
        <v>6800</v>
      </c>
      <c r="F657" s="107"/>
      <c r="G657" s="20">
        <v>6800</v>
      </c>
      <c r="H657" s="108"/>
      <c r="I657" s="108"/>
      <c r="J657" s="20">
        <v>6800</v>
      </c>
    </row>
    <row r="658" spans="1:10" x14ac:dyDescent="0.25">
      <c r="A658" s="107" t="s">
        <v>919</v>
      </c>
      <c r="B658" s="157">
        <v>9136</v>
      </c>
      <c r="C658" s="108"/>
      <c r="D658" s="108"/>
      <c r="E658" s="157">
        <v>9136</v>
      </c>
      <c r="F658" s="107"/>
      <c r="G658" s="20">
        <v>9136</v>
      </c>
      <c r="H658" s="108"/>
      <c r="I658" s="108"/>
      <c r="J658" s="20">
        <v>9136</v>
      </c>
    </row>
    <row r="659" spans="1:10" x14ac:dyDescent="0.25">
      <c r="A659" s="107" t="s">
        <v>920</v>
      </c>
      <c r="B659" s="157">
        <v>7537</v>
      </c>
      <c r="C659" s="108"/>
      <c r="D659" s="108"/>
      <c r="E659" s="157">
        <v>7537</v>
      </c>
      <c r="F659" s="107"/>
      <c r="G659" s="20">
        <v>7537</v>
      </c>
      <c r="H659" s="108"/>
      <c r="I659" s="108"/>
      <c r="J659" s="20">
        <v>7537</v>
      </c>
    </row>
    <row r="660" spans="1:10" x14ac:dyDescent="0.25">
      <c r="A660" s="107" t="s">
        <v>921</v>
      </c>
      <c r="B660" s="157">
        <v>6887</v>
      </c>
      <c r="C660" s="108"/>
      <c r="D660" s="108"/>
      <c r="E660" s="157">
        <v>6887</v>
      </c>
      <c r="F660" s="107"/>
      <c r="G660" s="20">
        <v>6887</v>
      </c>
      <c r="H660" s="108"/>
      <c r="I660" s="108"/>
      <c r="J660" s="20">
        <v>6887</v>
      </c>
    </row>
    <row r="661" spans="1:10" x14ac:dyDescent="0.25">
      <c r="A661" s="107" t="s">
        <v>923</v>
      </c>
      <c r="B661" s="157">
        <v>31077</v>
      </c>
      <c r="C661" s="108"/>
      <c r="D661" s="108"/>
      <c r="E661" s="157">
        <v>31077</v>
      </c>
      <c r="F661" s="107"/>
      <c r="G661" s="20">
        <v>31077</v>
      </c>
      <c r="H661" s="108"/>
      <c r="I661" s="108"/>
      <c r="J661" s="20">
        <v>31077</v>
      </c>
    </row>
    <row r="662" spans="1:10" x14ac:dyDescent="0.25">
      <c r="A662" s="107" t="s">
        <v>924</v>
      </c>
      <c r="B662" s="157">
        <v>21584</v>
      </c>
      <c r="C662" s="108"/>
      <c r="D662" s="108"/>
      <c r="E662" s="157">
        <v>21584</v>
      </c>
      <c r="F662" s="107"/>
      <c r="G662" s="20">
        <v>21584</v>
      </c>
      <c r="H662" s="108"/>
      <c r="I662" s="108"/>
      <c r="J662" s="20">
        <v>21584</v>
      </c>
    </row>
    <row r="663" spans="1:10" x14ac:dyDescent="0.25">
      <c r="A663" s="107" t="s">
        <v>925</v>
      </c>
      <c r="B663" s="157">
        <v>7122</v>
      </c>
      <c r="C663" s="108"/>
      <c r="D663" s="108"/>
      <c r="E663" s="157">
        <v>7122</v>
      </c>
      <c r="F663" s="107"/>
      <c r="G663" s="20">
        <v>7122</v>
      </c>
      <c r="H663" s="108"/>
      <c r="I663" s="108"/>
      <c r="J663" s="20">
        <v>7122</v>
      </c>
    </row>
    <row r="664" spans="1:10" x14ac:dyDescent="0.25">
      <c r="A664" s="107" t="s">
        <v>926</v>
      </c>
      <c r="B664" s="157">
        <v>4428</v>
      </c>
      <c r="C664" s="108"/>
      <c r="D664" s="108"/>
      <c r="E664" s="157">
        <v>4428</v>
      </c>
      <c r="F664" s="107"/>
      <c r="G664" s="20">
        <v>4428</v>
      </c>
      <c r="H664" s="108"/>
      <c r="I664" s="108"/>
      <c r="J664" s="20">
        <v>4428</v>
      </c>
    </row>
    <row r="665" spans="1:10" x14ac:dyDescent="0.25">
      <c r="A665" s="107" t="s">
        <v>927</v>
      </c>
      <c r="B665" s="157">
        <v>5130</v>
      </c>
      <c r="C665" s="108"/>
      <c r="D665" s="108"/>
      <c r="E665" s="157">
        <v>5130</v>
      </c>
      <c r="F665" s="107"/>
      <c r="G665" s="20">
        <v>5130</v>
      </c>
      <c r="H665" s="108"/>
      <c r="I665" s="108"/>
      <c r="J665" s="20">
        <v>5130</v>
      </c>
    </row>
    <row r="666" spans="1:10" x14ac:dyDescent="0.25">
      <c r="A666" s="107" t="s">
        <v>928</v>
      </c>
      <c r="B666" s="157">
        <v>5963</v>
      </c>
      <c r="C666" s="108"/>
      <c r="D666" s="108"/>
      <c r="E666" s="157">
        <v>5963</v>
      </c>
      <c r="F666" s="107"/>
      <c r="G666" s="20">
        <v>5963</v>
      </c>
      <c r="H666" s="108"/>
      <c r="I666" s="108"/>
      <c r="J666" s="20">
        <v>5963</v>
      </c>
    </row>
    <row r="667" spans="1:10" x14ac:dyDescent="0.25">
      <c r="A667" s="107" t="s">
        <v>922</v>
      </c>
      <c r="B667" s="157">
        <v>7437</v>
      </c>
      <c r="C667" s="108"/>
      <c r="D667" s="108"/>
      <c r="E667" s="157">
        <v>7437</v>
      </c>
      <c r="F667" s="107"/>
      <c r="G667" s="20">
        <v>7437</v>
      </c>
      <c r="H667" s="108"/>
      <c r="I667" s="108"/>
      <c r="J667" s="20">
        <v>7437</v>
      </c>
    </row>
    <row r="668" spans="1:10" x14ac:dyDescent="0.25">
      <c r="A668" s="107" t="s">
        <v>930</v>
      </c>
      <c r="B668" s="157">
        <v>23704</v>
      </c>
      <c r="C668" s="108"/>
      <c r="D668" s="108"/>
      <c r="E668" s="157">
        <v>23704</v>
      </c>
      <c r="F668" s="107"/>
      <c r="G668" s="20">
        <v>23704</v>
      </c>
      <c r="H668" s="108"/>
      <c r="I668" s="108"/>
      <c r="J668" s="20">
        <v>23704</v>
      </c>
    </row>
    <row r="669" spans="1:10" x14ac:dyDescent="0.25">
      <c r="A669" s="107" t="s">
        <v>931</v>
      </c>
      <c r="B669" s="157">
        <v>9567</v>
      </c>
      <c r="C669" s="108"/>
      <c r="D669" s="108"/>
      <c r="E669" s="157">
        <v>9567</v>
      </c>
      <c r="F669" s="107"/>
      <c r="G669" s="20">
        <v>9567</v>
      </c>
      <c r="H669" s="108"/>
      <c r="I669" s="108"/>
      <c r="J669" s="20">
        <v>9567</v>
      </c>
    </row>
    <row r="670" spans="1:10" x14ac:dyDescent="0.25">
      <c r="A670" s="107" t="s">
        <v>929</v>
      </c>
      <c r="B670" s="157">
        <v>43414</v>
      </c>
      <c r="C670" s="108"/>
      <c r="D670" s="108"/>
      <c r="E670" s="157">
        <v>43414</v>
      </c>
      <c r="F670" s="107"/>
      <c r="G670" s="20">
        <v>43414</v>
      </c>
      <c r="H670" s="108"/>
      <c r="I670" s="108"/>
      <c r="J670" s="20">
        <v>43414</v>
      </c>
    </row>
    <row r="671" spans="1:10" x14ac:dyDescent="0.25">
      <c r="A671" s="107" t="s">
        <v>1392</v>
      </c>
      <c r="B671" s="110"/>
      <c r="C671" s="109">
        <v>263263</v>
      </c>
      <c r="D671" s="109">
        <v>263263</v>
      </c>
      <c r="E671" s="110"/>
      <c r="F671" s="107"/>
      <c r="G671" s="110"/>
      <c r="H671" s="109">
        <v>263263</v>
      </c>
      <c r="I671" s="109">
        <v>263263</v>
      </c>
      <c r="J671" s="110"/>
    </row>
    <row r="672" spans="1:10" x14ac:dyDescent="0.25">
      <c r="A672" s="107" t="s">
        <v>932</v>
      </c>
      <c r="B672" s="157">
        <v>943</v>
      </c>
      <c r="C672" s="108"/>
      <c r="D672" s="108"/>
      <c r="E672" s="157">
        <v>943</v>
      </c>
      <c r="F672" s="107"/>
      <c r="G672" s="20">
        <v>943</v>
      </c>
      <c r="H672" s="108"/>
      <c r="I672" s="108"/>
      <c r="J672" s="20">
        <v>943</v>
      </c>
    </row>
    <row r="673" spans="1:10" x14ac:dyDescent="0.25">
      <c r="A673" s="107" t="s">
        <v>934</v>
      </c>
      <c r="B673" s="158">
        <v>4000</v>
      </c>
      <c r="C673" s="109">
        <v>48000</v>
      </c>
      <c r="D673" s="109">
        <v>46000</v>
      </c>
      <c r="E673" s="158">
        <v>2000</v>
      </c>
      <c r="F673" s="107"/>
      <c r="G673" s="20">
        <v>-4000</v>
      </c>
      <c r="H673" s="109">
        <v>48000</v>
      </c>
      <c r="I673" s="109">
        <v>46000</v>
      </c>
      <c r="J673" s="20">
        <v>-2000</v>
      </c>
    </row>
    <row r="674" spans="1:10" x14ac:dyDescent="0.25">
      <c r="A674" s="107" t="s">
        <v>935</v>
      </c>
      <c r="B674" s="157">
        <v>135000</v>
      </c>
      <c r="C674" s="108"/>
      <c r="D674" s="108"/>
      <c r="E674" s="157">
        <v>135000</v>
      </c>
      <c r="F674" s="107"/>
      <c r="G674" s="20">
        <v>135000</v>
      </c>
      <c r="H674" s="108"/>
      <c r="I674" s="108"/>
      <c r="J674" s="20">
        <v>135000</v>
      </c>
    </row>
    <row r="675" spans="1:10" x14ac:dyDescent="0.25">
      <c r="A675" s="107" t="s">
        <v>936</v>
      </c>
      <c r="B675" s="110"/>
      <c r="C675" s="109">
        <v>76840</v>
      </c>
      <c r="D675" s="109">
        <v>88524</v>
      </c>
      <c r="E675" s="158">
        <v>11684</v>
      </c>
      <c r="F675" s="107"/>
      <c r="G675" s="110"/>
      <c r="H675" s="109">
        <v>76840</v>
      </c>
      <c r="I675" s="109">
        <v>88524</v>
      </c>
      <c r="J675" s="20">
        <v>-11684</v>
      </c>
    </row>
    <row r="676" spans="1:10" x14ac:dyDescent="0.25">
      <c r="A676" s="107" t="s">
        <v>942</v>
      </c>
      <c r="B676" s="158">
        <v>21720</v>
      </c>
      <c r="C676" s="109">
        <v>268683</v>
      </c>
      <c r="D676" s="109">
        <v>272349</v>
      </c>
      <c r="E676" s="158">
        <v>25386</v>
      </c>
      <c r="F676" s="107"/>
      <c r="G676" s="20">
        <v>-21720</v>
      </c>
      <c r="H676" s="109">
        <v>268683</v>
      </c>
      <c r="I676" s="109">
        <v>272349</v>
      </c>
      <c r="J676" s="20">
        <v>-25386</v>
      </c>
    </row>
    <row r="677" spans="1:10" x14ac:dyDescent="0.25">
      <c r="A677" s="107" t="s">
        <v>937</v>
      </c>
      <c r="B677" s="157">
        <v>49500</v>
      </c>
      <c r="C677" s="108"/>
      <c r="D677" s="108"/>
      <c r="E677" s="157">
        <v>49500</v>
      </c>
      <c r="F677" s="107"/>
      <c r="G677" s="20">
        <v>49500</v>
      </c>
      <c r="H677" s="108"/>
      <c r="I677" s="108"/>
      <c r="J677" s="20">
        <v>49500</v>
      </c>
    </row>
    <row r="678" spans="1:10" x14ac:dyDescent="0.25">
      <c r="A678" s="107" t="s">
        <v>939</v>
      </c>
      <c r="B678" s="157">
        <v>45000</v>
      </c>
      <c r="C678" s="108"/>
      <c r="D678" s="108"/>
      <c r="E678" s="157">
        <v>45000</v>
      </c>
      <c r="F678" s="107"/>
      <c r="G678" s="20">
        <v>45000</v>
      </c>
      <c r="H678" s="108"/>
      <c r="I678" s="108"/>
      <c r="J678" s="20">
        <v>45000</v>
      </c>
    </row>
    <row r="679" spans="1:10" x14ac:dyDescent="0.25">
      <c r="A679" s="107" t="s">
        <v>938</v>
      </c>
      <c r="B679" s="157">
        <v>54000</v>
      </c>
      <c r="C679" s="108"/>
      <c r="D679" s="108"/>
      <c r="E679" s="157">
        <v>54000</v>
      </c>
      <c r="F679" s="107"/>
      <c r="G679" s="20">
        <v>54000</v>
      </c>
      <c r="H679" s="108"/>
      <c r="I679" s="108"/>
      <c r="J679" s="20">
        <v>54000</v>
      </c>
    </row>
    <row r="680" spans="1:10" x14ac:dyDescent="0.25">
      <c r="A680" s="107" t="s">
        <v>940</v>
      </c>
      <c r="B680" s="157">
        <v>63000</v>
      </c>
      <c r="C680" s="108"/>
      <c r="D680" s="108"/>
      <c r="E680" s="157">
        <v>63000</v>
      </c>
      <c r="F680" s="107"/>
      <c r="G680" s="20">
        <v>63000</v>
      </c>
      <c r="H680" s="108"/>
      <c r="I680" s="108"/>
      <c r="J680" s="20">
        <v>63000</v>
      </c>
    </row>
    <row r="681" spans="1:10" x14ac:dyDescent="0.25">
      <c r="A681" s="107" t="s">
        <v>1130</v>
      </c>
      <c r="B681" s="110"/>
      <c r="C681" s="109">
        <v>104666</v>
      </c>
      <c r="D681" s="109">
        <v>145333</v>
      </c>
      <c r="E681" s="158">
        <v>40667</v>
      </c>
      <c r="F681" s="107"/>
      <c r="G681" s="110"/>
      <c r="H681" s="109">
        <v>104666</v>
      </c>
      <c r="I681" s="109">
        <v>145333</v>
      </c>
      <c r="J681" s="20">
        <v>-40667</v>
      </c>
    </row>
    <row r="682" spans="1:10" x14ac:dyDescent="0.25">
      <c r="A682" s="107" t="s">
        <v>943</v>
      </c>
      <c r="B682" s="157">
        <v>54000</v>
      </c>
      <c r="C682" s="108"/>
      <c r="D682" s="108"/>
      <c r="E682" s="157">
        <v>54000</v>
      </c>
      <c r="F682" s="107"/>
      <c r="G682" s="20">
        <v>54000</v>
      </c>
      <c r="H682" s="108"/>
      <c r="I682" s="108"/>
      <c r="J682" s="20">
        <v>54000</v>
      </c>
    </row>
    <row r="683" spans="1:10" x14ac:dyDescent="0.25">
      <c r="A683" s="107" t="s">
        <v>944</v>
      </c>
      <c r="B683" s="157">
        <v>63942</v>
      </c>
      <c r="C683" s="108"/>
      <c r="D683" s="108"/>
      <c r="E683" s="157">
        <v>63942</v>
      </c>
      <c r="F683" s="107"/>
      <c r="G683" s="20">
        <v>63942</v>
      </c>
      <c r="H683" s="108"/>
      <c r="I683" s="108"/>
      <c r="J683" s="20">
        <v>63942</v>
      </c>
    </row>
    <row r="684" spans="1:10" x14ac:dyDescent="0.25">
      <c r="A684" s="107" t="s">
        <v>948</v>
      </c>
      <c r="B684" s="157">
        <v>93296</v>
      </c>
      <c r="C684" s="108"/>
      <c r="D684" s="108"/>
      <c r="E684" s="157">
        <v>93296</v>
      </c>
      <c r="F684" s="107"/>
      <c r="G684" s="20">
        <v>93296</v>
      </c>
      <c r="H684" s="108"/>
      <c r="I684" s="108"/>
      <c r="J684" s="20">
        <v>93296</v>
      </c>
    </row>
    <row r="685" spans="1:10" x14ac:dyDescent="0.25">
      <c r="A685" s="107" t="s">
        <v>949</v>
      </c>
      <c r="B685" s="157">
        <v>3864</v>
      </c>
      <c r="C685" s="108"/>
      <c r="D685" s="108"/>
      <c r="E685" s="157">
        <v>3864</v>
      </c>
      <c r="F685" s="107"/>
      <c r="G685" s="20">
        <v>3864</v>
      </c>
      <c r="H685" s="108"/>
      <c r="I685" s="108"/>
      <c r="J685" s="20">
        <v>3864</v>
      </c>
    </row>
    <row r="686" spans="1:10" x14ac:dyDescent="0.25">
      <c r="A686" s="107" t="s">
        <v>945</v>
      </c>
      <c r="B686" s="157">
        <v>157052.5</v>
      </c>
      <c r="C686" s="108"/>
      <c r="D686" s="108"/>
      <c r="E686" s="157">
        <v>157052.5</v>
      </c>
      <c r="F686" s="107"/>
      <c r="G686" s="20">
        <v>157052.5</v>
      </c>
      <c r="H686" s="108"/>
      <c r="I686" s="108"/>
      <c r="J686" s="20">
        <v>157052.5</v>
      </c>
    </row>
    <row r="687" spans="1:10" x14ac:dyDescent="0.25">
      <c r="A687" s="107" t="s">
        <v>947</v>
      </c>
      <c r="B687" s="110"/>
      <c r="C687" s="109">
        <v>354020.62</v>
      </c>
      <c r="D687" s="108"/>
      <c r="E687" s="157">
        <v>354020.62</v>
      </c>
      <c r="F687" s="107"/>
      <c r="G687" s="110"/>
      <c r="H687" s="109">
        <v>354020.62</v>
      </c>
      <c r="I687" s="108"/>
      <c r="J687" s="20">
        <v>354020.62</v>
      </c>
    </row>
    <row r="688" spans="1:10" x14ac:dyDescent="0.25">
      <c r="A688" s="107" t="s">
        <v>950</v>
      </c>
      <c r="B688" s="110"/>
      <c r="C688" s="109">
        <v>9173175</v>
      </c>
      <c r="D688" s="109">
        <v>9173175</v>
      </c>
      <c r="E688" s="110"/>
      <c r="F688" s="107"/>
      <c r="G688" s="110"/>
      <c r="H688" s="109">
        <v>9173175</v>
      </c>
      <c r="I688" s="109">
        <v>9173175</v>
      </c>
      <c r="J688" s="110"/>
    </row>
    <row r="689" spans="1:10" x14ac:dyDescent="0.25">
      <c r="A689" s="107" t="s">
        <v>953</v>
      </c>
      <c r="B689" s="110"/>
      <c r="C689" s="109">
        <v>25749.1</v>
      </c>
      <c r="D689" s="109">
        <v>32400</v>
      </c>
      <c r="E689" s="158">
        <v>6650.9</v>
      </c>
      <c r="F689" s="107"/>
      <c r="G689" s="110"/>
      <c r="H689" s="109">
        <v>25749.1</v>
      </c>
      <c r="I689" s="109">
        <v>32400</v>
      </c>
      <c r="J689" s="20">
        <v>-6650.9</v>
      </c>
    </row>
    <row r="690" spans="1:10" x14ac:dyDescent="0.25">
      <c r="A690" s="107" t="s">
        <v>1263</v>
      </c>
      <c r="B690" s="110"/>
      <c r="C690" s="109">
        <v>1384.32</v>
      </c>
      <c r="D690" s="108"/>
      <c r="E690" s="157">
        <v>1384.32</v>
      </c>
      <c r="F690" s="107"/>
      <c r="G690" s="110"/>
      <c r="H690" s="109">
        <v>1384.32</v>
      </c>
      <c r="I690" s="108"/>
      <c r="J690" s="20">
        <v>1384.32</v>
      </c>
    </row>
    <row r="691" spans="1:10" x14ac:dyDescent="0.25">
      <c r="A691" s="107" t="s">
        <v>954</v>
      </c>
      <c r="B691" s="110"/>
      <c r="C691" s="109">
        <v>1472.64</v>
      </c>
      <c r="D691" s="108"/>
      <c r="E691" s="157">
        <v>1472.64</v>
      </c>
      <c r="F691" s="107"/>
      <c r="G691" s="110"/>
      <c r="H691" s="109">
        <v>1472.64</v>
      </c>
      <c r="I691" s="108"/>
      <c r="J691" s="20">
        <v>1472.64</v>
      </c>
    </row>
    <row r="692" spans="1:10" x14ac:dyDescent="0.25">
      <c r="A692" s="107" t="s">
        <v>955</v>
      </c>
      <c r="B692" s="157">
        <v>5534</v>
      </c>
      <c r="C692" s="108"/>
      <c r="D692" s="108"/>
      <c r="E692" s="157">
        <v>5534</v>
      </c>
      <c r="F692" s="107"/>
      <c r="G692" s="20">
        <v>5534</v>
      </c>
      <c r="H692" s="108"/>
      <c r="I692" s="108"/>
      <c r="J692" s="20">
        <v>5534</v>
      </c>
    </row>
    <row r="693" spans="1:10" x14ac:dyDescent="0.25">
      <c r="A693" s="107" t="s">
        <v>956</v>
      </c>
      <c r="B693" s="110"/>
      <c r="C693" s="109">
        <v>93900</v>
      </c>
      <c r="D693" s="108"/>
      <c r="E693" s="157">
        <v>93900</v>
      </c>
      <c r="F693" s="107"/>
      <c r="G693" s="110"/>
      <c r="H693" s="109">
        <v>93900</v>
      </c>
      <c r="I693" s="108"/>
      <c r="J693" s="20">
        <v>93900</v>
      </c>
    </row>
    <row r="694" spans="1:10" x14ac:dyDescent="0.25">
      <c r="A694" s="107" t="s">
        <v>1264</v>
      </c>
      <c r="B694" s="110"/>
      <c r="C694" s="109">
        <v>348885</v>
      </c>
      <c r="D694" s="108"/>
      <c r="E694" s="157">
        <v>348885</v>
      </c>
      <c r="F694" s="107"/>
      <c r="G694" s="110"/>
      <c r="H694" s="109">
        <v>348885</v>
      </c>
      <c r="I694" s="108"/>
      <c r="J694" s="20">
        <v>348885</v>
      </c>
    </row>
    <row r="695" spans="1:10" x14ac:dyDescent="0.25">
      <c r="A695" s="107" t="s">
        <v>957</v>
      </c>
      <c r="B695" s="110"/>
      <c r="C695" s="109">
        <v>94293</v>
      </c>
      <c r="D695" s="109">
        <v>94293</v>
      </c>
      <c r="E695" s="110"/>
      <c r="F695" s="107"/>
      <c r="G695" s="110"/>
      <c r="H695" s="109">
        <v>94293</v>
      </c>
      <c r="I695" s="109">
        <v>94293</v>
      </c>
      <c r="J695" s="110"/>
    </row>
    <row r="696" spans="1:10" x14ac:dyDescent="0.25">
      <c r="A696" s="107" t="s">
        <v>1077</v>
      </c>
      <c r="B696" s="110"/>
      <c r="C696" s="109">
        <v>7596098.04</v>
      </c>
      <c r="D696" s="109">
        <v>5031385.01</v>
      </c>
      <c r="E696" s="157">
        <v>2564713.0299999998</v>
      </c>
      <c r="F696" s="107"/>
      <c r="G696" s="110"/>
      <c r="H696" s="109">
        <v>7596098.04</v>
      </c>
      <c r="I696" s="109">
        <v>5031385.01</v>
      </c>
      <c r="J696" s="20">
        <v>2564713.0299999998</v>
      </c>
    </row>
    <row r="697" spans="1:10" x14ac:dyDescent="0.25">
      <c r="A697" s="107" t="s">
        <v>958</v>
      </c>
      <c r="B697" s="157">
        <v>14083.35</v>
      </c>
      <c r="C697" s="108"/>
      <c r="D697" s="108"/>
      <c r="E697" s="157">
        <v>14083.35</v>
      </c>
      <c r="F697" s="107"/>
      <c r="G697" s="20">
        <v>14083.35</v>
      </c>
      <c r="H697" s="108"/>
      <c r="I697" s="108"/>
      <c r="J697" s="20">
        <v>14083.35</v>
      </c>
    </row>
    <row r="698" spans="1:10" x14ac:dyDescent="0.25">
      <c r="A698" s="107" t="s">
        <v>959</v>
      </c>
      <c r="B698" s="157">
        <v>83269.97</v>
      </c>
      <c r="C698" s="108"/>
      <c r="D698" s="108"/>
      <c r="E698" s="157">
        <v>83269.97</v>
      </c>
      <c r="F698" s="107"/>
      <c r="G698" s="20">
        <v>83269.97</v>
      </c>
      <c r="H698" s="108"/>
      <c r="I698" s="108"/>
      <c r="J698" s="20">
        <v>83269.97</v>
      </c>
    </row>
    <row r="699" spans="1:10" x14ac:dyDescent="0.25">
      <c r="A699" s="107" t="s">
        <v>1265</v>
      </c>
      <c r="B699" s="110"/>
      <c r="C699" s="109">
        <v>14636.95</v>
      </c>
      <c r="D699" s="108"/>
      <c r="E699" s="157">
        <v>14636.95</v>
      </c>
      <c r="F699" s="107"/>
      <c r="G699" s="110"/>
      <c r="H699" s="109">
        <v>14636.95</v>
      </c>
      <c r="I699" s="108"/>
      <c r="J699" s="20">
        <v>14636.95</v>
      </c>
    </row>
    <row r="700" spans="1:10" x14ac:dyDescent="0.25">
      <c r="A700" s="107" t="s">
        <v>960</v>
      </c>
      <c r="B700" s="110"/>
      <c r="C700" s="109">
        <v>5400</v>
      </c>
      <c r="D700" s="108"/>
      <c r="E700" s="157">
        <v>5400</v>
      </c>
      <c r="F700" s="107"/>
      <c r="G700" s="110"/>
      <c r="H700" s="109">
        <v>5400</v>
      </c>
      <c r="I700" s="108"/>
      <c r="J700" s="20">
        <v>5400</v>
      </c>
    </row>
    <row r="701" spans="1:10" x14ac:dyDescent="0.25">
      <c r="A701" s="107" t="s">
        <v>961</v>
      </c>
      <c r="B701" s="157">
        <v>115300</v>
      </c>
      <c r="C701" s="108"/>
      <c r="D701" s="108"/>
      <c r="E701" s="157">
        <v>115300</v>
      </c>
      <c r="F701" s="107"/>
      <c r="G701" s="20">
        <v>115300</v>
      </c>
      <c r="H701" s="108"/>
      <c r="I701" s="108"/>
      <c r="J701" s="20">
        <v>115300</v>
      </c>
    </row>
    <row r="702" spans="1:10" x14ac:dyDescent="0.25">
      <c r="A702" s="107" t="s">
        <v>962</v>
      </c>
      <c r="B702" s="157">
        <v>55087.64</v>
      </c>
      <c r="C702" s="108"/>
      <c r="D702" s="108"/>
      <c r="E702" s="157">
        <v>55087.64</v>
      </c>
      <c r="F702" s="107"/>
      <c r="G702" s="20">
        <v>55087.64</v>
      </c>
      <c r="H702" s="108"/>
      <c r="I702" s="108"/>
      <c r="J702" s="20">
        <v>55087.64</v>
      </c>
    </row>
    <row r="703" spans="1:10" x14ac:dyDescent="0.25">
      <c r="A703" s="107" t="s">
        <v>963</v>
      </c>
      <c r="B703" s="158">
        <v>50000</v>
      </c>
      <c r="C703" s="108"/>
      <c r="D703" s="108"/>
      <c r="E703" s="158">
        <v>50000</v>
      </c>
      <c r="F703" s="107"/>
      <c r="G703" s="20">
        <v>-50000</v>
      </c>
      <c r="H703" s="108"/>
      <c r="I703" s="108"/>
      <c r="J703" s="20">
        <v>-50000</v>
      </c>
    </row>
    <row r="704" spans="1:10" x14ac:dyDescent="0.25">
      <c r="A704" s="107" t="s">
        <v>1393</v>
      </c>
      <c r="B704" s="110"/>
      <c r="C704" s="109">
        <v>13881504</v>
      </c>
      <c r="D704" s="109">
        <v>6940752</v>
      </c>
      <c r="E704" s="157">
        <v>6940752</v>
      </c>
      <c r="F704" s="107"/>
      <c r="G704" s="110"/>
      <c r="H704" s="109">
        <v>13881504</v>
      </c>
      <c r="I704" s="109">
        <v>6940752</v>
      </c>
      <c r="J704" s="20">
        <v>6940752</v>
      </c>
    </row>
    <row r="705" spans="1:10" x14ac:dyDescent="0.25">
      <c r="A705" s="107" t="s">
        <v>966</v>
      </c>
      <c r="B705" s="110"/>
      <c r="C705" s="109">
        <v>11675</v>
      </c>
      <c r="D705" s="108"/>
      <c r="E705" s="157">
        <v>11675</v>
      </c>
      <c r="F705" s="107"/>
      <c r="G705" s="110"/>
      <c r="H705" s="109">
        <v>11675</v>
      </c>
      <c r="I705" s="108"/>
      <c r="J705" s="20">
        <v>11675</v>
      </c>
    </row>
    <row r="706" spans="1:10" x14ac:dyDescent="0.25">
      <c r="A706" s="107" t="s">
        <v>967</v>
      </c>
      <c r="B706" s="110"/>
      <c r="C706" s="109">
        <v>156866</v>
      </c>
      <c r="D706" s="108"/>
      <c r="E706" s="157">
        <v>156866</v>
      </c>
      <c r="F706" s="107"/>
      <c r="G706" s="110"/>
      <c r="H706" s="109">
        <v>156866</v>
      </c>
      <c r="I706" s="108"/>
      <c r="J706" s="20">
        <v>156866</v>
      </c>
    </row>
    <row r="707" spans="1:10" x14ac:dyDescent="0.25">
      <c r="A707" s="107" t="s">
        <v>1084</v>
      </c>
      <c r="B707" s="110"/>
      <c r="C707" s="109">
        <v>4671381.9000000004</v>
      </c>
      <c r="D707" s="109">
        <v>758470</v>
      </c>
      <c r="E707" s="157">
        <v>3912911.9</v>
      </c>
      <c r="F707" s="107"/>
      <c r="G707" s="110"/>
      <c r="H707" s="109">
        <v>4671381.9000000004</v>
      </c>
      <c r="I707" s="109">
        <v>758470</v>
      </c>
      <c r="J707" s="20">
        <v>3912911.9</v>
      </c>
    </row>
    <row r="708" spans="1:10" x14ac:dyDescent="0.25">
      <c r="A708" s="107" t="s">
        <v>1328</v>
      </c>
      <c r="B708" s="110"/>
      <c r="C708" s="109">
        <v>107971.45</v>
      </c>
      <c r="D708" s="108"/>
      <c r="E708" s="157">
        <v>107971.45</v>
      </c>
      <c r="F708" s="107"/>
      <c r="G708" s="110"/>
      <c r="H708" s="109">
        <v>107971.45</v>
      </c>
      <c r="I708" s="108"/>
      <c r="J708" s="20">
        <v>107971.45</v>
      </c>
    </row>
    <row r="709" spans="1:10" x14ac:dyDescent="0.25">
      <c r="A709" s="107" t="s">
        <v>968</v>
      </c>
      <c r="B709" s="157">
        <v>20736.8</v>
      </c>
      <c r="C709" s="108"/>
      <c r="D709" s="108"/>
      <c r="E709" s="157">
        <v>20736.8</v>
      </c>
      <c r="F709" s="107"/>
      <c r="G709" s="20">
        <v>20736.8</v>
      </c>
      <c r="H709" s="108"/>
      <c r="I709" s="108"/>
      <c r="J709" s="20">
        <v>20736.8</v>
      </c>
    </row>
    <row r="710" spans="1:10" x14ac:dyDescent="0.25">
      <c r="A710" s="107" t="s">
        <v>969</v>
      </c>
      <c r="B710" s="110"/>
      <c r="C710" s="109">
        <v>1048430</v>
      </c>
      <c r="D710" s="109">
        <v>1048430</v>
      </c>
      <c r="E710" s="110"/>
      <c r="F710" s="107"/>
      <c r="G710" s="110"/>
      <c r="H710" s="109">
        <v>1048430</v>
      </c>
      <c r="I710" s="109">
        <v>1048430</v>
      </c>
      <c r="J710" s="110"/>
    </row>
    <row r="711" spans="1:10" x14ac:dyDescent="0.25">
      <c r="A711" s="107" t="s">
        <v>970</v>
      </c>
      <c r="B711" s="158">
        <v>180</v>
      </c>
      <c r="C711" s="109">
        <v>45624</v>
      </c>
      <c r="D711" s="109">
        <v>45444</v>
      </c>
      <c r="E711" s="110"/>
      <c r="F711" s="107"/>
      <c r="G711" s="20">
        <v>-180</v>
      </c>
      <c r="H711" s="109">
        <v>45624</v>
      </c>
      <c r="I711" s="109">
        <v>45444</v>
      </c>
      <c r="J711" s="110"/>
    </row>
    <row r="712" spans="1:10" x14ac:dyDescent="0.25">
      <c r="A712" s="107" t="s">
        <v>971</v>
      </c>
      <c r="B712" s="110"/>
      <c r="C712" s="109">
        <v>29590</v>
      </c>
      <c r="D712" s="108"/>
      <c r="E712" s="157">
        <v>29590</v>
      </c>
      <c r="F712" s="107"/>
      <c r="G712" s="110"/>
      <c r="H712" s="109">
        <v>29590</v>
      </c>
      <c r="I712" s="108"/>
      <c r="J712" s="20">
        <v>29590</v>
      </c>
    </row>
    <row r="713" spans="1:10" x14ac:dyDescent="0.25">
      <c r="A713" s="107" t="s">
        <v>973</v>
      </c>
      <c r="B713" s="110"/>
      <c r="C713" s="109">
        <v>2900</v>
      </c>
      <c r="D713" s="108"/>
      <c r="E713" s="157">
        <v>2900</v>
      </c>
      <c r="F713" s="107"/>
      <c r="G713" s="110"/>
      <c r="H713" s="109">
        <v>2900</v>
      </c>
      <c r="I713" s="108"/>
      <c r="J713" s="20">
        <v>2900</v>
      </c>
    </row>
    <row r="714" spans="1:10" x14ac:dyDescent="0.25">
      <c r="A714" s="107" t="s">
        <v>976</v>
      </c>
      <c r="B714" s="110"/>
      <c r="C714" s="109">
        <v>537502</v>
      </c>
      <c r="D714" s="108"/>
      <c r="E714" s="157">
        <v>537502</v>
      </c>
      <c r="F714" s="107"/>
      <c r="G714" s="110"/>
      <c r="H714" s="109">
        <v>537502</v>
      </c>
      <c r="I714" s="108"/>
      <c r="J714" s="20">
        <v>537502</v>
      </c>
    </row>
    <row r="715" spans="1:10" x14ac:dyDescent="0.25">
      <c r="A715" s="107" t="s">
        <v>1329</v>
      </c>
      <c r="B715" s="110"/>
      <c r="C715" s="109">
        <v>198285</v>
      </c>
      <c r="D715" s="108"/>
      <c r="E715" s="157">
        <v>198285</v>
      </c>
      <c r="F715" s="107"/>
      <c r="G715" s="110"/>
      <c r="H715" s="109">
        <v>198285</v>
      </c>
      <c r="I715" s="108"/>
      <c r="J715" s="20">
        <v>198285</v>
      </c>
    </row>
    <row r="716" spans="1:10" x14ac:dyDescent="0.25">
      <c r="A716" s="107" t="s">
        <v>1286</v>
      </c>
      <c r="B716" s="110"/>
      <c r="C716" s="109">
        <v>409050</v>
      </c>
      <c r="D716" s="108"/>
      <c r="E716" s="157">
        <v>409050</v>
      </c>
      <c r="F716" s="107"/>
      <c r="G716" s="110"/>
      <c r="H716" s="109">
        <v>409050</v>
      </c>
      <c r="I716" s="108"/>
      <c r="J716" s="20">
        <v>409050</v>
      </c>
    </row>
    <row r="717" spans="1:10" x14ac:dyDescent="0.25">
      <c r="A717" s="107" t="s">
        <v>977</v>
      </c>
      <c r="B717" s="110"/>
      <c r="C717" s="109">
        <v>740679.9</v>
      </c>
      <c r="D717" s="108"/>
      <c r="E717" s="157">
        <v>740679.9</v>
      </c>
      <c r="F717" s="107"/>
      <c r="G717" s="110"/>
      <c r="H717" s="109">
        <v>740679.9</v>
      </c>
      <c r="I717" s="108"/>
      <c r="J717" s="20">
        <v>740679.9</v>
      </c>
    </row>
    <row r="718" spans="1:10" x14ac:dyDescent="0.25">
      <c r="A718" s="107" t="s">
        <v>978</v>
      </c>
      <c r="B718" s="110"/>
      <c r="C718" s="109">
        <v>191038</v>
      </c>
      <c r="D718" s="108"/>
      <c r="E718" s="157">
        <v>191038</v>
      </c>
      <c r="F718" s="107"/>
      <c r="G718" s="110"/>
      <c r="H718" s="109">
        <v>191038</v>
      </c>
      <c r="I718" s="108"/>
      <c r="J718" s="20">
        <v>191038</v>
      </c>
    </row>
    <row r="719" spans="1:10" x14ac:dyDescent="0.25">
      <c r="A719" s="107" t="s">
        <v>1330</v>
      </c>
      <c r="B719" s="110"/>
      <c r="C719" s="109">
        <v>9535</v>
      </c>
      <c r="D719" s="108"/>
      <c r="E719" s="157">
        <v>9535</v>
      </c>
      <c r="F719" s="107"/>
      <c r="G719" s="110"/>
      <c r="H719" s="109">
        <v>9535</v>
      </c>
      <c r="I719" s="108"/>
      <c r="J719" s="20">
        <v>9535</v>
      </c>
    </row>
    <row r="720" spans="1:10" x14ac:dyDescent="0.25">
      <c r="A720" s="107" t="s">
        <v>1331</v>
      </c>
      <c r="B720" s="110"/>
      <c r="C720" s="109">
        <v>800</v>
      </c>
      <c r="D720" s="108"/>
      <c r="E720" s="157">
        <v>800</v>
      </c>
      <c r="F720" s="107"/>
      <c r="G720" s="110"/>
      <c r="H720" s="109">
        <v>800</v>
      </c>
      <c r="I720" s="108"/>
      <c r="J720" s="20">
        <v>800</v>
      </c>
    </row>
    <row r="721" spans="1:10" x14ac:dyDescent="0.25">
      <c r="A721" s="107" t="s">
        <v>979</v>
      </c>
      <c r="B721" s="158">
        <v>508890</v>
      </c>
      <c r="C721" s="108"/>
      <c r="D721" s="108"/>
      <c r="E721" s="158">
        <v>508890</v>
      </c>
      <c r="F721" s="107"/>
      <c r="G721" s="20">
        <v>-508890</v>
      </c>
      <c r="H721" s="108"/>
      <c r="I721" s="108"/>
      <c r="J721" s="20">
        <v>-508890</v>
      </c>
    </row>
    <row r="722" spans="1:10" x14ac:dyDescent="0.25">
      <c r="A722" s="107" t="s">
        <v>981</v>
      </c>
      <c r="B722" s="157">
        <v>113723</v>
      </c>
      <c r="C722" s="108"/>
      <c r="D722" s="108"/>
      <c r="E722" s="157">
        <v>113723</v>
      </c>
      <c r="F722" s="107"/>
      <c r="G722" s="20">
        <v>113723</v>
      </c>
      <c r="H722" s="108"/>
      <c r="I722" s="108"/>
      <c r="J722" s="20">
        <v>113723</v>
      </c>
    </row>
    <row r="723" spans="1:10" x14ac:dyDescent="0.25">
      <c r="A723" s="107" t="s">
        <v>983</v>
      </c>
      <c r="B723" s="157">
        <v>200</v>
      </c>
      <c r="C723" s="109">
        <v>133084</v>
      </c>
      <c r="D723" s="109">
        <v>133284</v>
      </c>
      <c r="E723" s="110"/>
      <c r="F723" s="107"/>
      <c r="G723" s="20">
        <v>200</v>
      </c>
      <c r="H723" s="109">
        <v>133084</v>
      </c>
      <c r="I723" s="109">
        <v>133284</v>
      </c>
      <c r="J723" s="110"/>
    </row>
    <row r="724" spans="1:10" x14ac:dyDescent="0.25">
      <c r="A724" s="107" t="s">
        <v>986</v>
      </c>
      <c r="B724" s="157">
        <v>28148.79</v>
      </c>
      <c r="C724" s="109">
        <v>64362</v>
      </c>
      <c r="D724" s="108"/>
      <c r="E724" s="157">
        <v>92510.79</v>
      </c>
      <c r="F724" s="107"/>
      <c r="G724" s="20">
        <v>28148.79</v>
      </c>
      <c r="H724" s="109">
        <v>64362</v>
      </c>
      <c r="I724" s="108"/>
      <c r="J724" s="20">
        <v>92510.79</v>
      </c>
    </row>
    <row r="725" spans="1:10" x14ac:dyDescent="0.25">
      <c r="A725" s="107" t="s">
        <v>985</v>
      </c>
      <c r="B725" s="110"/>
      <c r="C725" s="109">
        <v>432011</v>
      </c>
      <c r="D725" s="109">
        <v>652312</v>
      </c>
      <c r="E725" s="158">
        <v>220301</v>
      </c>
      <c r="F725" s="107"/>
      <c r="G725" s="110"/>
      <c r="H725" s="109">
        <v>432011</v>
      </c>
      <c r="I725" s="109">
        <v>652312</v>
      </c>
      <c r="J725" s="20">
        <v>-220301</v>
      </c>
    </row>
    <row r="726" spans="1:10" x14ac:dyDescent="0.25">
      <c r="A726" s="107" t="s">
        <v>1078</v>
      </c>
      <c r="B726" s="110"/>
      <c r="C726" s="109">
        <v>14662803.029999999</v>
      </c>
      <c r="D726" s="109">
        <v>6291702.4400000004</v>
      </c>
      <c r="E726" s="157">
        <v>8371100.5899999999</v>
      </c>
      <c r="F726" s="107"/>
      <c r="G726" s="110"/>
      <c r="H726" s="109">
        <v>14662803.029999999</v>
      </c>
      <c r="I726" s="109">
        <v>6291702.4400000004</v>
      </c>
      <c r="J726" s="20">
        <v>8371100.5899999999</v>
      </c>
    </row>
    <row r="727" spans="1:10" x14ac:dyDescent="0.25">
      <c r="A727" s="107" t="s">
        <v>1332</v>
      </c>
      <c r="B727" s="110"/>
      <c r="C727" s="109">
        <v>3066000</v>
      </c>
      <c r="D727" s="109">
        <v>3066000</v>
      </c>
      <c r="E727" s="110"/>
      <c r="F727" s="107"/>
      <c r="G727" s="110"/>
      <c r="H727" s="109">
        <v>3066000</v>
      </c>
      <c r="I727" s="109">
        <v>3066000</v>
      </c>
      <c r="J727" s="110"/>
    </row>
    <row r="728" spans="1:10" x14ac:dyDescent="0.25">
      <c r="A728" s="107" t="s">
        <v>991</v>
      </c>
      <c r="B728" s="110"/>
      <c r="C728" s="109">
        <v>43804</v>
      </c>
      <c r="D728" s="109">
        <v>43804</v>
      </c>
      <c r="E728" s="110"/>
      <c r="F728" s="107"/>
      <c r="G728" s="110"/>
      <c r="H728" s="109">
        <v>43804</v>
      </c>
      <c r="I728" s="109">
        <v>43804</v>
      </c>
      <c r="J728" s="110"/>
    </row>
    <row r="729" spans="1:10" x14ac:dyDescent="0.25">
      <c r="A729" s="107" t="s">
        <v>992</v>
      </c>
      <c r="B729" s="110"/>
      <c r="C729" s="109">
        <v>93223</v>
      </c>
      <c r="D729" s="109">
        <v>93223</v>
      </c>
      <c r="E729" s="110"/>
      <c r="F729" s="107"/>
      <c r="G729" s="110"/>
      <c r="H729" s="109">
        <v>93223</v>
      </c>
      <c r="I729" s="109">
        <v>93223</v>
      </c>
      <c r="J729" s="110"/>
    </row>
    <row r="730" spans="1:10" x14ac:dyDescent="0.25">
      <c r="A730" s="107" t="s">
        <v>993</v>
      </c>
      <c r="B730" s="157">
        <v>2555.34</v>
      </c>
      <c r="C730" s="108"/>
      <c r="D730" s="108"/>
      <c r="E730" s="157">
        <v>2555.34</v>
      </c>
      <c r="F730" s="107"/>
      <c r="G730" s="20">
        <v>2555.34</v>
      </c>
      <c r="H730" s="108"/>
      <c r="I730" s="108"/>
      <c r="J730" s="20">
        <v>2555.34</v>
      </c>
    </row>
    <row r="731" spans="1:10" x14ac:dyDescent="0.25">
      <c r="A731" s="107" t="s">
        <v>994</v>
      </c>
      <c r="B731" s="157">
        <v>1251</v>
      </c>
      <c r="C731" s="108"/>
      <c r="D731" s="108"/>
      <c r="E731" s="157">
        <v>1251</v>
      </c>
      <c r="F731" s="107"/>
      <c r="G731" s="20">
        <v>1251</v>
      </c>
      <c r="H731" s="108"/>
      <c r="I731" s="108"/>
      <c r="J731" s="20">
        <v>1251</v>
      </c>
    </row>
    <row r="732" spans="1:10" x14ac:dyDescent="0.25">
      <c r="A732" s="107" t="s">
        <v>996</v>
      </c>
      <c r="B732" s="110"/>
      <c r="C732" s="109">
        <v>8850</v>
      </c>
      <c r="D732" s="108"/>
      <c r="E732" s="157">
        <v>8850</v>
      </c>
      <c r="F732" s="107"/>
      <c r="G732" s="110"/>
      <c r="H732" s="109">
        <v>8850</v>
      </c>
      <c r="I732" s="108"/>
      <c r="J732" s="20">
        <v>8850</v>
      </c>
    </row>
    <row r="733" spans="1:10" x14ac:dyDescent="0.25">
      <c r="A733" s="107" t="s">
        <v>1287</v>
      </c>
      <c r="B733" s="110"/>
      <c r="C733" s="109">
        <v>7750</v>
      </c>
      <c r="D733" s="108"/>
      <c r="E733" s="157">
        <v>7750</v>
      </c>
      <c r="F733" s="107"/>
      <c r="G733" s="110"/>
      <c r="H733" s="109">
        <v>7750</v>
      </c>
      <c r="I733" s="108"/>
      <c r="J733" s="20">
        <v>7750</v>
      </c>
    </row>
    <row r="734" spans="1:10" x14ac:dyDescent="0.25">
      <c r="A734" s="107" t="s">
        <v>1333</v>
      </c>
      <c r="B734" s="110"/>
      <c r="C734" s="109">
        <v>1597050</v>
      </c>
      <c r="D734" s="109">
        <v>1597050</v>
      </c>
      <c r="E734" s="110"/>
      <c r="F734" s="107"/>
      <c r="G734" s="110"/>
      <c r="H734" s="109">
        <v>1597050</v>
      </c>
      <c r="I734" s="109">
        <v>1597050</v>
      </c>
      <c r="J734" s="110"/>
    </row>
    <row r="735" spans="1:10" x14ac:dyDescent="0.25">
      <c r="A735" s="107" t="s">
        <v>998</v>
      </c>
      <c r="B735" s="158">
        <v>30000</v>
      </c>
      <c r="C735" s="108"/>
      <c r="D735" s="109">
        <v>477408</v>
      </c>
      <c r="E735" s="158">
        <v>507408</v>
      </c>
      <c r="F735" s="107"/>
      <c r="G735" s="20">
        <v>-30000</v>
      </c>
      <c r="H735" s="108"/>
      <c r="I735" s="109">
        <v>477408</v>
      </c>
      <c r="J735" s="20">
        <v>-507408</v>
      </c>
    </row>
    <row r="736" spans="1:10" x14ac:dyDescent="0.25">
      <c r="A736" s="107" t="s">
        <v>1003</v>
      </c>
      <c r="B736" s="157">
        <v>64900</v>
      </c>
      <c r="C736" s="108"/>
      <c r="D736" s="108"/>
      <c r="E736" s="157">
        <v>64900</v>
      </c>
      <c r="F736" s="107"/>
      <c r="G736" s="20">
        <v>64900</v>
      </c>
      <c r="H736" s="108"/>
      <c r="I736" s="108"/>
      <c r="J736" s="20">
        <v>64900</v>
      </c>
    </row>
    <row r="737" spans="1:10" x14ac:dyDescent="0.25">
      <c r="A737" s="107" t="s">
        <v>999</v>
      </c>
      <c r="B737" s="157">
        <v>5192</v>
      </c>
      <c r="C737" s="109">
        <v>5192</v>
      </c>
      <c r="D737" s="109">
        <v>10384</v>
      </c>
      <c r="E737" s="110"/>
      <c r="F737" s="107"/>
      <c r="G737" s="20">
        <v>5192</v>
      </c>
      <c r="H737" s="109">
        <v>5192</v>
      </c>
      <c r="I737" s="109">
        <v>10384</v>
      </c>
      <c r="J737" s="110"/>
    </row>
    <row r="738" spans="1:10" x14ac:dyDescent="0.25">
      <c r="A738" s="107" t="s">
        <v>1000</v>
      </c>
      <c r="B738" s="157">
        <v>10000</v>
      </c>
      <c r="C738" s="108"/>
      <c r="D738" s="109">
        <v>10000</v>
      </c>
      <c r="E738" s="110"/>
      <c r="F738" s="107"/>
      <c r="G738" s="20">
        <v>10000</v>
      </c>
      <c r="H738" s="108"/>
      <c r="I738" s="109">
        <v>10000</v>
      </c>
      <c r="J738" s="110"/>
    </row>
    <row r="739" spans="1:10" x14ac:dyDescent="0.25">
      <c r="A739" s="107" t="s">
        <v>1005</v>
      </c>
      <c r="B739" s="157">
        <v>24377.53</v>
      </c>
      <c r="C739" s="108"/>
      <c r="D739" s="108"/>
      <c r="E739" s="157">
        <v>24377.53</v>
      </c>
      <c r="F739" s="107"/>
      <c r="G739" s="20">
        <v>24377.53</v>
      </c>
      <c r="H739" s="108"/>
      <c r="I739" s="108"/>
      <c r="J739" s="20">
        <v>24377.53</v>
      </c>
    </row>
    <row r="740" spans="1:10" x14ac:dyDescent="0.25">
      <c r="A740" s="107" t="s">
        <v>1007</v>
      </c>
      <c r="B740" s="157">
        <v>1185.5899999999999</v>
      </c>
      <c r="C740" s="108"/>
      <c r="D740" s="108"/>
      <c r="E740" s="157">
        <v>1185.5899999999999</v>
      </c>
      <c r="F740" s="107"/>
      <c r="G740" s="20">
        <v>1185.5899999999999</v>
      </c>
      <c r="H740" s="108"/>
      <c r="I740" s="108"/>
      <c r="J740" s="20">
        <v>1185.5899999999999</v>
      </c>
    </row>
    <row r="741" spans="1:10" x14ac:dyDescent="0.25">
      <c r="A741" s="107" t="s">
        <v>1394</v>
      </c>
      <c r="B741" s="110"/>
      <c r="C741" s="109">
        <v>2000</v>
      </c>
      <c r="D741" s="108"/>
      <c r="E741" s="157">
        <v>2000</v>
      </c>
      <c r="F741" s="107"/>
      <c r="G741" s="110"/>
      <c r="H741" s="109">
        <v>2000</v>
      </c>
      <c r="I741" s="108"/>
      <c r="J741" s="20">
        <v>2000</v>
      </c>
    </row>
    <row r="742" spans="1:10" x14ac:dyDescent="0.25">
      <c r="A742" s="107" t="s">
        <v>1006</v>
      </c>
      <c r="B742" s="110"/>
      <c r="C742" s="109">
        <v>356603</v>
      </c>
      <c r="D742" s="109">
        <v>356603</v>
      </c>
      <c r="E742" s="110"/>
      <c r="F742" s="107"/>
      <c r="G742" s="110"/>
      <c r="H742" s="109">
        <v>356603</v>
      </c>
      <c r="I742" s="109">
        <v>356603</v>
      </c>
      <c r="J742" s="110"/>
    </row>
    <row r="743" spans="1:10" x14ac:dyDescent="0.25">
      <c r="A743" s="107" t="s">
        <v>1008</v>
      </c>
      <c r="B743" s="157">
        <v>226431.53</v>
      </c>
      <c r="C743" s="108"/>
      <c r="D743" s="108"/>
      <c r="E743" s="157">
        <v>226431.53</v>
      </c>
      <c r="F743" s="107"/>
      <c r="G743" s="20">
        <v>226431.53</v>
      </c>
      <c r="H743" s="108"/>
      <c r="I743" s="108"/>
      <c r="J743" s="20">
        <v>226431.53</v>
      </c>
    </row>
    <row r="744" spans="1:10" x14ac:dyDescent="0.25">
      <c r="A744" s="107" t="s">
        <v>1009</v>
      </c>
      <c r="B744" s="110"/>
      <c r="C744" s="109">
        <v>42620</v>
      </c>
      <c r="D744" s="109">
        <v>42620</v>
      </c>
      <c r="E744" s="110"/>
      <c r="F744" s="107"/>
      <c r="G744" s="110"/>
      <c r="H744" s="109">
        <v>42620</v>
      </c>
      <c r="I744" s="109">
        <v>42620</v>
      </c>
      <c r="J744" s="110"/>
    </row>
    <row r="745" spans="1:10" x14ac:dyDescent="0.25">
      <c r="A745" s="107" t="s">
        <v>1011</v>
      </c>
      <c r="B745" s="158">
        <v>12744</v>
      </c>
      <c r="C745" s="109">
        <v>27134</v>
      </c>
      <c r="D745" s="109">
        <v>14390</v>
      </c>
      <c r="E745" s="110"/>
      <c r="F745" s="107"/>
      <c r="G745" s="20">
        <v>-12744</v>
      </c>
      <c r="H745" s="109">
        <v>27134</v>
      </c>
      <c r="I745" s="109">
        <v>14390</v>
      </c>
      <c r="J745" s="110"/>
    </row>
    <row r="746" spans="1:10" x14ac:dyDescent="0.25">
      <c r="A746" s="107" t="s">
        <v>1395</v>
      </c>
      <c r="B746" s="110"/>
      <c r="C746" s="109">
        <v>281610</v>
      </c>
      <c r="D746" s="108"/>
      <c r="E746" s="157">
        <v>281610</v>
      </c>
      <c r="F746" s="107"/>
      <c r="G746" s="110"/>
      <c r="H746" s="109">
        <v>281610</v>
      </c>
      <c r="I746" s="108"/>
      <c r="J746" s="20">
        <v>281610</v>
      </c>
    </row>
    <row r="747" spans="1:10" x14ac:dyDescent="0.25">
      <c r="A747" s="107" t="s">
        <v>1396</v>
      </c>
      <c r="B747" s="110"/>
      <c r="C747" s="108"/>
      <c r="D747" s="109">
        <v>19517</v>
      </c>
      <c r="E747" s="158">
        <v>19517</v>
      </c>
      <c r="F747" s="107"/>
      <c r="G747" s="110"/>
      <c r="H747" s="108"/>
      <c r="I747" s="109">
        <v>19517</v>
      </c>
      <c r="J747" s="20">
        <v>-19517</v>
      </c>
    </row>
    <row r="748" spans="1:10" x14ac:dyDescent="0.25">
      <c r="A748" s="107" t="s">
        <v>1013</v>
      </c>
      <c r="B748" s="110"/>
      <c r="C748" s="109">
        <v>13127</v>
      </c>
      <c r="D748" s="109">
        <v>13127</v>
      </c>
      <c r="E748" s="110"/>
      <c r="F748" s="107"/>
      <c r="G748" s="110"/>
      <c r="H748" s="109">
        <v>13127</v>
      </c>
      <c r="I748" s="109">
        <v>13127</v>
      </c>
      <c r="J748" s="110"/>
    </row>
    <row r="749" spans="1:10" x14ac:dyDescent="0.25">
      <c r="A749" s="107" t="s">
        <v>1014</v>
      </c>
      <c r="B749" s="157">
        <v>566</v>
      </c>
      <c r="C749" s="109">
        <v>75096</v>
      </c>
      <c r="D749" s="109">
        <v>75096</v>
      </c>
      <c r="E749" s="157">
        <v>566</v>
      </c>
      <c r="F749" s="107"/>
      <c r="G749" s="20">
        <v>566</v>
      </c>
      <c r="H749" s="109">
        <v>75096</v>
      </c>
      <c r="I749" s="109">
        <v>75096</v>
      </c>
      <c r="J749" s="20">
        <v>566</v>
      </c>
    </row>
    <row r="750" spans="1:10" x14ac:dyDescent="0.25">
      <c r="A750" s="107" t="s">
        <v>1015</v>
      </c>
      <c r="B750" s="157">
        <v>133679</v>
      </c>
      <c r="C750" s="109">
        <v>333013</v>
      </c>
      <c r="D750" s="109">
        <v>351944.02</v>
      </c>
      <c r="E750" s="157">
        <v>114747.98</v>
      </c>
      <c r="F750" s="107"/>
      <c r="G750" s="20">
        <v>133679</v>
      </c>
      <c r="H750" s="109">
        <v>333013</v>
      </c>
      <c r="I750" s="109">
        <v>351944.02</v>
      </c>
      <c r="J750" s="20">
        <v>114747.98</v>
      </c>
    </row>
    <row r="751" spans="1:10" x14ac:dyDescent="0.25">
      <c r="A751" s="107" t="s">
        <v>1016</v>
      </c>
      <c r="B751" s="157">
        <v>135410.95000000001</v>
      </c>
      <c r="C751" s="109">
        <v>11586.08</v>
      </c>
      <c r="D751" s="109">
        <v>146997.03</v>
      </c>
      <c r="E751" s="110"/>
      <c r="F751" s="107"/>
      <c r="G751" s="20">
        <v>135410.95000000001</v>
      </c>
      <c r="H751" s="109">
        <v>11586.08</v>
      </c>
      <c r="I751" s="109">
        <v>146997.03</v>
      </c>
      <c r="J751" s="110"/>
    </row>
    <row r="752" spans="1:10" x14ac:dyDescent="0.25">
      <c r="A752" s="107" t="s">
        <v>1397</v>
      </c>
      <c r="B752" s="110"/>
      <c r="C752" s="109">
        <v>13351</v>
      </c>
      <c r="D752" s="109">
        <v>13351</v>
      </c>
      <c r="E752" s="110"/>
      <c r="F752" s="107"/>
      <c r="G752" s="110"/>
      <c r="H752" s="109">
        <v>13351</v>
      </c>
      <c r="I752" s="109">
        <v>13351</v>
      </c>
      <c r="J752" s="110"/>
    </row>
    <row r="753" spans="1:10" x14ac:dyDescent="0.25">
      <c r="A753" s="107" t="s">
        <v>1018</v>
      </c>
      <c r="B753" s="157">
        <v>59822.59</v>
      </c>
      <c r="C753" s="108"/>
      <c r="D753" s="108"/>
      <c r="E753" s="157">
        <v>59822.59</v>
      </c>
      <c r="F753" s="107"/>
      <c r="G753" s="20">
        <v>59822.59</v>
      </c>
      <c r="H753" s="108"/>
      <c r="I753" s="108"/>
      <c r="J753" s="20">
        <v>59822.59</v>
      </c>
    </row>
    <row r="754" spans="1:10" x14ac:dyDescent="0.25">
      <c r="A754" s="107" t="s">
        <v>1019</v>
      </c>
      <c r="B754" s="157">
        <v>64806.68</v>
      </c>
      <c r="C754" s="108"/>
      <c r="D754" s="108"/>
      <c r="E754" s="157">
        <v>64806.68</v>
      </c>
      <c r="F754" s="107"/>
      <c r="G754" s="20">
        <v>64806.68</v>
      </c>
      <c r="H754" s="108"/>
      <c r="I754" s="108"/>
      <c r="J754" s="20">
        <v>64806.68</v>
      </c>
    </row>
    <row r="755" spans="1:10" x14ac:dyDescent="0.25">
      <c r="A755" s="161" t="s">
        <v>22</v>
      </c>
      <c r="B755" s="112"/>
      <c r="C755" s="162">
        <v>1321237700.48</v>
      </c>
      <c r="D755" s="162">
        <v>1321237700.48</v>
      </c>
      <c r="E755" s="112"/>
      <c r="F755" s="107"/>
      <c r="G755" s="112"/>
      <c r="H755" s="162">
        <v>1321237700.48</v>
      </c>
      <c r="I755" s="162">
        <v>1321237700.48</v>
      </c>
      <c r="J755" s="112"/>
    </row>
  </sheetData>
  <autoFilter ref="A4:J755" xr:uid="{00000000-0009-0000-0000-00000800000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4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.42578125" defaultRowHeight="15" x14ac:dyDescent="0.25"/>
  <cols>
    <col min="1" max="1" width="17.5703125" style="2" bestFit="1" customWidth="1"/>
    <col min="2" max="2" width="55" style="2" bestFit="1" customWidth="1"/>
    <col min="3" max="3" width="17.5703125" style="18" bestFit="1" customWidth="1"/>
    <col min="4" max="4" width="16.42578125" style="18" bestFit="1" customWidth="1"/>
    <col min="5" max="5" width="16" style="18" bestFit="1" customWidth="1"/>
    <col min="6" max="6" width="16.5703125" style="18" bestFit="1" customWidth="1"/>
    <col min="7" max="7" width="9.42578125" style="2"/>
    <col min="8" max="8" width="14.42578125" style="2" bestFit="1" customWidth="1"/>
    <col min="9" max="9" width="10" style="2" bestFit="1" customWidth="1"/>
    <col min="10" max="10" width="11.5703125" style="2" bestFit="1" customWidth="1"/>
    <col min="11" max="11" width="14.42578125" style="2" bestFit="1" customWidth="1"/>
    <col min="12" max="12" width="12.42578125" style="2" bestFit="1" customWidth="1"/>
    <col min="13" max="16384" width="9.42578125" style="2"/>
  </cols>
  <sheetData>
    <row r="1" spans="1:6" ht="13.9" x14ac:dyDescent="0.25">
      <c r="A1" s="3" t="s">
        <v>96</v>
      </c>
      <c r="C1" s="13">
        <f>C3-C2</f>
        <v>0</v>
      </c>
      <c r="D1" s="13">
        <f>D3-D2</f>
        <v>0</v>
      </c>
      <c r="E1" s="13">
        <f>E3-E2</f>
        <v>0</v>
      </c>
      <c r="F1" s="13">
        <f>F3-F2</f>
        <v>0</v>
      </c>
    </row>
    <row r="2" spans="1:6" ht="13.9" x14ac:dyDescent="0.25">
      <c r="A2" s="61" t="str">
        <f>'List of Ledgers '!A3</f>
        <v>Mar'26</v>
      </c>
      <c r="C2" s="49">
        <f>C74</f>
        <v>31919796.670000002</v>
      </c>
      <c r="D2" s="49">
        <f t="shared" ref="D2:F2" si="0">D74</f>
        <v>48239350.219999999</v>
      </c>
      <c r="E2" s="49">
        <f t="shared" si="0"/>
        <v>75058931.590000004</v>
      </c>
      <c r="F2" s="49">
        <f t="shared" si="0"/>
        <v>10224846.859999999</v>
      </c>
    </row>
    <row r="3" spans="1:6" s="19" customFormat="1" ht="14.25" x14ac:dyDescent="0.2">
      <c r="A3" s="13"/>
      <c r="C3" s="19">
        <f>C5+C10+C13+C20+C22+C27+C29+C34+C41+C46+C55+C58</f>
        <v>31919796.669999998</v>
      </c>
      <c r="D3" s="19">
        <f t="shared" ref="D3:F3" si="1">D5+D10+D13+D20+D22+D27+D29+D34+D41+D46+D55+D58</f>
        <v>48239350.219999999</v>
      </c>
      <c r="E3" s="19">
        <f t="shared" si="1"/>
        <v>75058931.590000004</v>
      </c>
      <c r="F3" s="19">
        <f t="shared" si="1"/>
        <v>10224846.859999999</v>
      </c>
    </row>
    <row r="4" spans="1:6" s="12" customFormat="1" ht="13.9" x14ac:dyDescent="0.25">
      <c r="A4" s="22" t="s">
        <v>98</v>
      </c>
      <c r="B4" s="10" t="s">
        <v>26</v>
      </c>
      <c r="C4" s="11" t="s">
        <v>84</v>
      </c>
      <c r="D4" s="11" t="s">
        <v>1131</v>
      </c>
      <c r="E4" s="11" t="s">
        <v>1132</v>
      </c>
      <c r="F4" s="11" t="s">
        <v>83</v>
      </c>
    </row>
    <row r="5" spans="1:6" ht="13.9" x14ac:dyDescent="0.25">
      <c r="A5" s="72" t="s">
        <v>2</v>
      </c>
      <c r="B5" s="142" t="s">
        <v>1133</v>
      </c>
      <c r="C5" s="132">
        <v>79563.820000000007</v>
      </c>
      <c r="D5" s="133"/>
      <c r="E5" s="133"/>
      <c r="F5" s="132">
        <v>79563.820000000007</v>
      </c>
    </row>
    <row r="6" spans="1:6" ht="13.9" x14ac:dyDescent="0.25">
      <c r="A6" s="72"/>
      <c r="B6" s="163" t="s">
        <v>1194</v>
      </c>
      <c r="C6" s="127"/>
      <c r="D6" s="127"/>
      <c r="E6" s="127"/>
      <c r="F6" s="127"/>
    </row>
    <row r="7" spans="1:6" ht="13.9" x14ac:dyDescent="0.25">
      <c r="A7" s="72"/>
      <c r="B7" s="163" t="s">
        <v>1134</v>
      </c>
      <c r="C7" s="135">
        <v>31639.47</v>
      </c>
      <c r="D7" s="116"/>
      <c r="E7" s="116"/>
      <c r="F7" s="135">
        <v>31639.47</v>
      </c>
    </row>
    <row r="8" spans="1:6" ht="13.9" x14ac:dyDescent="0.25">
      <c r="A8" s="72"/>
      <c r="B8" s="163" t="s">
        <v>1135</v>
      </c>
      <c r="C8" s="135">
        <v>9456.35</v>
      </c>
      <c r="D8" s="116"/>
      <c r="E8" s="116"/>
      <c r="F8" s="135">
        <v>9456.35</v>
      </c>
    </row>
    <row r="9" spans="1:6" ht="13.9" x14ac:dyDescent="0.25">
      <c r="A9" s="72"/>
      <c r="B9" s="163" t="s">
        <v>1136</v>
      </c>
      <c r="C9" s="135">
        <v>38468</v>
      </c>
      <c r="D9" s="116"/>
      <c r="E9" s="116"/>
      <c r="F9" s="135">
        <v>38468</v>
      </c>
    </row>
    <row r="10" spans="1:6" ht="13.9" x14ac:dyDescent="0.25">
      <c r="A10" s="72" t="s">
        <v>2</v>
      </c>
      <c r="B10" s="146" t="s">
        <v>1137</v>
      </c>
      <c r="C10" s="136">
        <v>2577635.6</v>
      </c>
      <c r="D10" s="137"/>
      <c r="E10" s="137"/>
      <c r="F10" s="136">
        <v>2577635.6</v>
      </c>
    </row>
    <row r="11" spans="1:6" ht="13.9" x14ac:dyDescent="0.25">
      <c r="A11" s="72"/>
      <c r="B11" s="163" t="s">
        <v>1138</v>
      </c>
      <c r="C11" s="134">
        <v>2324217.7000000002</v>
      </c>
      <c r="D11" s="127"/>
      <c r="E11" s="127"/>
      <c r="F11" s="134">
        <v>2324217.7000000002</v>
      </c>
    </row>
    <row r="12" spans="1:6" ht="13.9" x14ac:dyDescent="0.25">
      <c r="A12" s="72"/>
      <c r="B12" s="163" t="s">
        <v>1139</v>
      </c>
      <c r="C12" s="135">
        <v>253417.9</v>
      </c>
      <c r="D12" s="116"/>
      <c r="E12" s="116"/>
      <c r="F12" s="135">
        <v>253417.9</v>
      </c>
    </row>
    <row r="13" spans="1:6" ht="13.9" x14ac:dyDescent="0.25">
      <c r="A13" s="72" t="s">
        <v>2</v>
      </c>
      <c r="B13" s="146" t="s">
        <v>1140</v>
      </c>
      <c r="C13" s="136">
        <v>3137.38</v>
      </c>
      <c r="D13" s="137"/>
      <c r="E13" s="137"/>
      <c r="F13" s="136">
        <v>3137.38</v>
      </c>
    </row>
    <row r="14" spans="1:6" ht="13.9" x14ac:dyDescent="0.25">
      <c r="A14" s="72"/>
      <c r="B14" s="164" t="s">
        <v>1141</v>
      </c>
      <c r="C14" s="138">
        <v>576.87</v>
      </c>
      <c r="D14" s="139"/>
      <c r="E14" s="139"/>
      <c r="F14" s="138">
        <v>576.87</v>
      </c>
    </row>
    <row r="15" spans="1:6" ht="13.9" x14ac:dyDescent="0.25">
      <c r="A15" s="72"/>
      <c r="B15" s="164" t="s">
        <v>1142</v>
      </c>
      <c r="C15" s="140">
        <v>825</v>
      </c>
      <c r="D15" s="141"/>
      <c r="E15" s="141"/>
      <c r="F15" s="140">
        <v>825</v>
      </c>
    </row>
    <row r="16" spans="1:6" ht="13.9" x14ac:dyDescent="0.25">
      <c r="A16" s="72"/>
      <c r="B16" s="164" t="s">
        <v>1143</v>
      </c>
      <c r="C16" s="140">
        <v>1345</v>
      </c>
      <c r="D16" s="141"/>
      <c r="E16" s="141"/>
      <c r="F16" s="140">
        <v>1345</v>
      </c>
    </row>
    <row r="17" spans="1:6" ht="13.9" x14ac:dyDescent="0.25">
      <c r="A17" s="72"/>
      <c r="B17" s="164" t="s">
        <v>1144</v>
      </c>
      <c r="C17" s="140">
        <v>227.37</v>
      </c>
      <c r="D17" s="141"/>
      <c r="E17" s="141"/>
      <c r="F17" s="140">
        <v>227.37</v>
      </c>
    </row>
    <row r="18" spans="1:6" ht="13.9" x14ac:dyDescent="0.25">
      <c r="A18" s="72"/>
      <c r="B18" s="164" t="s">
        <v>1145</v>
      </c>
      <c r="C18" s="140">
        <v>163.13999999999999</v>
      </c>
      <c r="D18" s="141"/>
      <c r="E18" s="141"/>
      <c r="F18" s="140">
        <v>163.13999999999999</v>
      </c>
    </row>
    <row r="19" spans="1:6" ht="13.9" x14ac:dyDescent="0.25">
      <c r="A19" s="72"/>
      <c r="B19" s="164" t="s">
        <v>1146</v>
      </c>
      <c r="C19" s="141"/>
      <c r="D19" s="141"/>
      <c r="E19" s="141"/>
      <c r="F19" s="141"/>
    </row>
    <row r="20" spans="1:6" ht="13.9" x14ac:dyDescent="0.25">
      <c r="A20" s="72" t="s">
        <v>3</v>
      </c>
      <c r="B20" s="146" t="s">
        <v>1147</v>
      </c>
      <c r="C20" s="136">
        <v>76866.649999999994</v>
      </c>
      <c r="D20" s="137"/>
      <c r="E20" s="137"/>
      <c r="F20" s="136">
        <v>76866.649999999994</v>
      </c>
    </row>
    <row r="21" spans="1:6" ht="13.9" x14ac:dyDescent="0.25">
      <c r="A21" s="72"/>
      <c r="B21" s="163" t="s">
        <v>1148</v>
      </c>
      <c r="C21" s="134">
        <v>76866.649999999994</v>
      </c>
      <c r="D21" s="127"/>
      <c r="E21" s="127"/>
      <c r="F21" s="134">
        <v>76866.649999999994</v>
      </c>
    </row>
    <row r="22" spans="1:6" ht="13.9" x14ac:dyDescent="0.25">
      <c r="A22" s="72" t="s">
        <v>4</v>
      </c>
      <c r="B22" s="146" t="s">
        <v>1154</v>
      </c>
      <c r="C22" s="136">
        <v>649724.43999999994</v>
      </c>
      <c r="D22" s="136">
        <v>28434.720000000001</v>
      </c>
      <c r="E22" s="136">
        <v>28434.720000000001</v>
      </c>
      <c r="F22" s="136">
        <v>632858.89</v>
      </c>
    </row>
    <row r="23" spans="1:6" ht="13.9" x14ac:dyDescent="0.25">
      <c r="A23" s="72"/>
      <c r="B23" s="163" t="s">
        <v>1155</v>
      </c>
      <c r="C23" s="134">
        <v>5073.3599999999997</v>
      </c>
      <c r="D23" s="127"/>
      <c r="E23" s="127"/>
      <c r="F23" s="134">
        <v>5073.3599999999997</v>
      </c>
    </row>
    <row r="24" spans="1:6" ht="13.9" x14ac:dyDescent="0.25">
      <c r="A24" s="72"/>
      <c r="B24" s="163" t="s">
        <v>1156</v>
      </c>
      <c r="C24" s="135">
        <v>352038.82</v>
      </c>
      <c r="D24" s="116"/>
      <c r="E24" s="116"/>
      <c r="F24" s="135">
        <v>352038.82</v>
      </c>
    </row>
    <row r="25" spans="1:6" ht="13.9" x14ac:dyDescent="0.25">
      <c r="A25" s="72"/>
      <c r="B25" s="163" t="s">
        <v>1157</v>
      </c>
      <c r="C25" s="135">
        <v>336910.58</v>
      </c>
      <c r="D25" s="116"/>
      <c r="E25" s="116"/>
      <c r="F25" s="135">
        <v>336910.58</v>
      </c>
    </row>
    <row r="26" spans="1:6" ht="13.9" x14ac:dyDescent="0.25">
      <c r="A26" s="72"/>
      <c r="B26" s="152" t="s">
        <v>1158</v>
      </c>
      <c r="C26" s="135">
        <v>-44298.32</v>
      </c>
      <c r="D26" s="135">
        <v>28434.720000000001</v>
      </c>
      <c r="E26" s="135">
        <v>28434.720000000001</v>
      </c>
      <c r="F26" s="135">
        <v>-61163.87</v>
      </c>
    </row>
    <row r="27" spans="1:6" ht="13.9" x14ac:dyDescent="0.25">
      <c r="A27" s="72" t="s">
        <v>3</v>
      </c>
      <c r="B27" s="146" t="s">
        <v>1159</v>
      </c>
      <c r="C27" s="136">
        <v>2666.08</v>
      </c>
      <c r="D27" s="137"/>
      <c r="E27" s="137"/>
      <c r="F27" s="136">
        <v>2666.08</v>
      </c>
    </row>
    <row r="28" spans="1:6" x14ac:dyDescent="0.25">
      <c r="A28" s="72"/>
      <c r="B28" s="164" t="s">
        <v>1160</v>
      </c>
      <c r="C28" s="138">
        <v>2666.08</v>
      </c>
      <c r="D28" s="139"/>
      <c r="E28" s="139"/>
      <c r="F28" s="138">
        <v>2666.08</v>
      </c>
    </row>
    <row r="29" spans="1:6" x14ac:dyDescent="0.25">
      <c r="A29" s="72" t="s">
        <v>3</v>
      </c>
      <c r="B29" s="146" t="s">
        <v>1161</v>
      </c>
      <c r="C29" s="136">
        <v>3073.63</v>
      </c>
      <c r="D29" s="137"/>
      <c r="E29" s="137"/>
      <c r="F29" s="136">
        <v>3073.63</v>
      </c>
    </row>
    <row r="30" spans="1:6" x14ac:dyDescent="0.25">
      <c r="A30" s="72"/>
      <c r="B30" s="164" t="s">
        <v>1162</v>
      </c>
      <c r="C30" s="138">
        <v>37.94</v>
      </c>
      <c r="D30" s="139"/>
      <c r="E30" s="139"/>
      <c r="F30" s="138">
        <v>37.94</v>
      </c>
    </row>
    <row r="31" spans="1:6" x14ac:dyDescent="0.25">
      <c r="A31" s="72"/>
      <c r="B31" s="164" t="s">
        <v>1163</v>
      </c>
      <c r="C31" s="140">
        <v>1125.33</v>
      </c>
      <c r="D31" s="141"/>
      <c r="E31" s="141"/>
      <c r="F31" s="140">
        <v>1125.33</v>
      </c>
    </row>
    <row r="32" spans="1:6" x14ac:dyDescent="0.25">
      <c r="A32" s="72"/>
      <c r="B32" s="164" t="s">
        <v>1225</v>
      </c>
      <c r="C32" s="141"/>
      <c r="D32" s="141"/>
      <c r="E32" s="141"/>
      <c r="F32" s="141"/>
    </row>
    <row r="33" spans="1:6" x14ac:dyDescent="0.25">
      <c r="A33" s="72"/>
      <c r="B33" s="164" t="s">
        <v>1164</v>
      </c>
      <c r="C33" s="140">
        <v>1910.36</v>
      </c>
      <c r="D33" s="141"/>
      <c r="E33" s="141"/>
      <c r="F33" s="140">
        <v>1910.36</v>
      </c>
    </row>
    <row r="34" spans="1:6" x14ac:dyDescent="0.25">
      <c r="A34" s="72" t="s">
        <v>2</v>
      </c>
      <c r="B34" s="146" t="s">
        <v>1165</v>
      </c>
      <c r="C34" s="136">
        <v>8870.84</v>
      </c>
      <c r="D34" s="137"/>
      <c r="E34" s="137"/>
      <c r="F34" s="136">
        <v>8870.84</v>
      </c>
    </row>
    <row r="35" spans="1:6" x14ac:dyDescent="0.25">
      <c r="A35" s="72"/>
      <c r="B35" s="164" t="s">
        <v>1166</v>
      </c>
      <c r="C35" s="138">
        <v>1710</v>
      </c>
      <c r="D35" s="139"/>
      <c r="E35" s="139"/>
      <c r="F35" s="138">
        <v>1710</v>
      </c>
    </row>
    <row r="36" spans="1:6" x14ac:dyDescent="0.25">
      <c r="A36" s="72"/>
      <c r="B36" s="164" t="s">
        <v>1167</v>
      </c>
      <c r="C36" s="140">
        <v>1500</v>
      </c>
      <c r="D36" s="141"/>
      <c r="E36" s="141"/>
      <c r="F36" s="140">
        <v>1500</v>
      </c>
    </row>
    <row r="37" spans="1:6" x14ac:dyDescent="0.25">
      <c r="A37" s="72"/>
      <c r="B37" s="164" t="s">
        <v>1168</v>
      </c>
      <c r="C37" s="140">
        <v>1016.95</v>
      </c>
      <c r="D37" s="141"/>
      <c r="E37" s="141"/>
      <c r="F37" s="140">
        <v>1016.95</v>
      </c>
    </row>
    <row r="38" spans="1:6" x14ac:dyDescent="0.25">
      <c r="A38" s="72"/>
      <c r="B38" s="164" t="s">
        <v>1169</v>
      </c>
      <c r="C38" s="140">
        <v>110</v>
      </c>
      <c r="D38" s="141"/>
      <c r="E38" s="141"/>
      <c r="F38" s="140">
        <v>110</v>
      </c>
    </row>
    <row r="39" spans="1:6" x14ac:dyDescent="0.25">
      <c r="A39" s="72"/>
      <c r="B39" s="164" t="s">
        <v>1170</v>
      </c>
      <c r="C39" s="140">
        <v>2500</v>
      </c>
      <c r="D39" s="141"/>
      <c r="E39" s="141"/>
      <c r="F39" s="140">
        <v>2500</v>
      </c>
    </row>
    <row r="40" spans="1:6" x14ac:dyDescent="0.25">
      <c r="A40" s="72"/>
      <c r="B40" s="164" t="s">
        <v>1171</v>
      </c>
      <c r="C40" s="140">
        <v>2033.89</v>
      </c>
      <c r="D40" s="141"/>
      <c r="E40" s="141"/>
      <c r="F40" s="140">
        <v>2033.89</v>
      </c>
    </row>
    <row r="41" spans="1:6" x14ac:dyDescent="0.25">
      <c r="A41" s="72" t="s">
        <v>2</v>
      </c>
      <c r="B41" s="146" t="s">
        <v>1172</v>
      </c>
      <c r="C41" s="136">
        <v>72853.649999999994</v>
      </c>
      <c r="D41" s="137"/>
      <c r="E41" s="137"/>
      <c r="F41" s="136">
        <v>72853.649999999994</v>
      </c>
    </row>
    <row r="42" spans="1:6" x14ac:dyDescent="0.25">
      <c r="A42" s="72"/>
      <c r="B42" s="163" t="s">
        <v>1173</v>
      </c>
      <c r="C42" s="134">
        <v>4016.07</v>
      </c>
      <c r="D42" s="127"/>
      <c r="E42" s="127"/>
      <c r="F42" s="134">
        <v>4016.07</v>
      </c>
    </row>
    <row r="43" spans="1:6" x14ac:dyDescent="0.25">
      <c r="A43" s="72"/>
      <c r="B43" s="163" t="s">
        <v>1174</v>
      </c>
      <c r="C43" s="135">
        <v>32362.71</v>
      </c>
      <c r="D43" s="116"/>
      <c r="E43" s="116"/>
      <c r="F43" s="135">
        <v>32362.71</v>
      </c>
    </row>
    <row r="44" spans="1:6" x14ac:dyDescent="0.25">
      <c r="A44" s="72"/>
      <c r="B44" s="163" t="s">
        <v>1175</v>
      </c>
      <c r="C44" s="135">
        <v>15674.87</v>
      </c>
      <c r="D44" s="116"/>
      <c r="E44" s="116"/>
      <c r="F44" s="135">
        <v>15674.87</v>
      </c>
    </row>
    <row r="45" spans="1:6" x14ac:dyDescent="0.25">
      <c r="A45" s="72"/>
      <c r="B45" s="164" t="s">
        <v>1176</v>
      </c>
      <c r="C45" s="140">
        <v>20800</v>
      </c>
      <c r="D45" s="141"/>
      <c r="E45" s="141"/>
      <c r="F45" s="140">
        <v>20800</v>
      </c>
    </row>
    <row r="46" spans="1:6" x14ac:dyDescent="0.25">
      <c r="A46" s="72" t="s">
        <v>3</v>
      </c>
      <c r="B46" s="146" t="s">
        <v>1177</v>
      </c>
      <c r="C46" s="136">
        <v>1152097.0900000001</v>
      </c>
      <c r="D46" s="137"/>
      <c r="E46" s="137"/>
      <c r="F46" s="136">
        <v>1152097.0900000001</v>
      </c>
    </row>
    <row r="47" spans="1:6" x14ac:dyDescent="0.25">
      <c r="A47" s="72"/>
      <c r="B47" s="163" t="s">
        <v>1178</v>
      </c>
      <c r="C47" s="134">
        <v>242667.58</v>
      </c>
      <c r="D47" s="127"/>
      <c r="E47" s="127"/>
      <c r="F47" s="134">
        <v>242667.58</v>
      </c>
    </row>
    <row r="48" spans="1:6" x14ac:dyDescent="0.25">
      <c r="A48" s="72"/>
      <c r="B48" s="163" t="s">
        <v>1179</v>
      </c>
      <c r="C48" s="135">
        <v>138060.28</v>
      </c>
      <c r="D48" s="116"/>
      <c r="E48" s="116"/>
      <c r="F48" s="135">
        <v>138060.28</v>
      </c>
    </row>
    <row r="49" spans="1:6" x14ac:dyDescent="0.25">
      <c r="A49" s="72"/>
      <c r="B49" s="163" t="s">
        <v>1180</v>
      </c>
      <c r="C49" s="135">
        <v>-45915.81</v>
      </c>
      <c r="D49" s="116"/>
      <c r="E49" s="116"/>
      <c r="F49" s="135">
        <v>-45915.81</v>
      </c>
    </row>
    <row r="50" spans="1:6" x14ac:dyDescent="0.25">
      <c r="A50" s="72"/>
      <c r="B50" s="163" t="s">
        <v>1181</v>
      </c>
      <c r="C50" s="135">
        <v>388099.94</v>
      </c>
      <c r="D50" s="116"/>
      <c r="E50" s="116"/>
      <c r="F50" s="135">
        <v>388099.94</v>
      </c>
    </row>
    <row r="51" spans="1:6" x14ac:dyDescent="0.25">
      <c r="A51" s="72"/>
      <c r="B51" s="163" t="s">
        <v>1182</v>
      </c>
      <c r="C51" s="135">
        <v>73800</v>
      </c>
      <c r="D51" s="116"/>
      <c r="E51" s="116"/>
      <c r="F51" s="135">
        <v>73800</v>
      </c>
    </row>
    <row r="52" spans="1:6" x14ac:dyDescent="0.25">
      <c r="A52" s="72"/>
      <c r="B52" s="163" t="s">
        <v>1183</v>
      </c>
      <c r="C52" s="135">
        <v>176413.64</v>
      </c>
      <c r="D52" s="116"/>
      <c r="E52" s="116"/>
      <c r="F52" s="135">
        <v>176413.64</v>
      </c>
    </row>
    <row r="53" spans="1:6" x14ac:dyDescent="0.25">
      <c r="A53" s="72"/>
      <c r="B53" s="163" t="s">
        <v>1184</v>
      </c>
      <c r="C53" s="135">
        <v>140262.82999999999</v>
      </c>
      <c r="D53" s="116"/>
      <c r="E53" s="116"/>
      <c r="F53" s="135">
        <v>140262.82999999999</v>
      </c>
    </row>
    <row r="54" spans="1:6" x14ac:dyDescent="0.25">
      <c r="A54" s="72"/>
      <c r="B54" s="163" t="s">
        <v>1185</v>
      </c>
      <c r="C54" s="135">
        <v>38708.629999999997</v>
      </c>
      <c r="D54" s="116"/>
      <c r="E54" s="116"/>
      <c r="F54" s="135">
        <v>38708.629999999997</v>
      </c>
    </row>
    <row r="55" spans="1:6" x14ac:dyDescent="0.25">
      <c r="A55" s="72" t="s">
        <v>2</v>
      </c>
      <c r="B55" s="146" t="s">
        <v>1186</v>
      </c>
      <c r="C55" s="136">
        <v>25968.36</v>
      </c>
      <c r="D55" s="137"/>
      <c r="E55" s="137"/>
      <c r="F55" s="136">
        <v>25968.36</v>
      </c>
    </row>
    <row r="56" spans="1:6" x14ac:dyDescent="0.25">
      <c r="A56" s="72"/>
      <c r="B56" s="164" t="s">
        <v>1187</v>
      </c>
      <c r="C56" s="138">
        <v>17968.32</v>
      </c>
      <c r="D56" s="139"/>
      <c r="E56" s="139"/>
      <c r="F56" s="138">
        <v>17968.32</v>
      </c>
    </row>
    <row r="57" spans="1:6" x14ac:dyDescent="0.25">
      <c r="A57" s="72"/>
      <c r="B57" s="164" t="s">
        <v>1188</v>
      </c>
      <c r="C57" s="140">
        <v>8000.04</v>
      </c>
      <c r="D57" s="141"/>
      <c r="E57" s="141"/>
      <c r="F57" s="140">
        <v>8000.04</v>
      </c>
    </row>
    <row r="58" spans="1:6" x14ac:dyDescent="0.25">
      <c r="A58" s="72" t="s">
        <v>9</v>
      </c>
      <c r="B58" s="146" t="s">
        <v>1189</v>
      </c>
      <c r="C58" s="136">
        <v>27267339.129999999</v>
      </c>
      <c r="D58" s="136">
        <v>48210915.5</v>
      </c>
      <c r="E58" s="136">
        <v>75030496.870000005</v>
      </c>
      <c r="F58" s="136">
        <v>5589254.8700000001</v>
      </c>
    </row>
    <row r="59" spans="1:6" x14ac:dyDescent="0.25">
      <c r="A59" s="72"/>
      <c r="B59" s="163" t="s">
        <v>1268</v>
      </c>
      <c r="C59" s="134">
        <v>3164226.25</v>
      </c>
      <c r="D59" s="134">
        <v>2042431</v>
      </c>
      <c r="E59" s="134">
        <v>5499669.9900000002</v>
      </c>
      <c r="F59" s="134">
        <v>820000</v>
      </c>
    </row>
    <row r="60" spans="1:6" x14ac:dyDescent="0.25">
      <c r="A60" s="72"/>
      <c r="B60" s="152" t="s">
        <v>1269</v>
      </c>
      <c r="C60" s="135">
        <v>10392400.039999999</v>
      </c>
      <c r="D60" s="135">
        <v>12724000</v>
      </c>
      <c r="E60" s="135">
        <v>24416982</v>
      </c>
      <c r="F60" s="116"/>
    </row>
    <row r="61" spans="1:6" x14ac:dyDescent="0.25">
      <c r="A61" s="72"/>
      <c r="B61" s="163" t="s">
        <v>1270</v>
      </c>
      <c r="C61" s="135">
        <v>117497.5</v>
      </c>
      <c r="D61" s="135">
        <v>87338.5</v>
      </c>
      <c r="E61" s="116"/>
      <c r="F61" s="135">
        <v>204836</v>
      </c>
    </row>
    <row r="62" spans="1:6" x14ac:dyDescent="0.25">
      <c r="A62" s="72"/>
      <c r="B62" s="163" t="s">
        <v>1271</v>
      </c>
      <c r="C62" s="135">
        <v>74000</v>
      </c>
      <c r="D62" s="116"/>
      <c r="E62" s="116"/>
      <c r="F62" s="135">
        <v>74000</v>
      </c>
    </row>
    <row r="63" spans="1:6" x14ac:dyDescent="0.25">
      <c r="A63" s="72"/>
      <c r="B63" s="152" t="s">
        <v>1272</v>
      </c>
      <c r="C63" s="135">
        <v>4393632.2300000004</v>
      </c>
      <c r="D63" s="135">
        <v>21863350</v>
      </c>
      <c r="E63" s="135">
        <v>25583499.59</v>
      </c>
      <c r="F63" s="135">
        <v>2731277.22</v>
      </c>
    </row>
    <row r="64" spans="1:6" x14ac:dyDescent="0.25">
      <c r="A64" s="72"/>
      <c r="B64" s="164" t="s">
        <v>1400</v>
      </c>
      <c r="C64" s="141"/>
      <c r="D64" s="140">
        <v>245000</v>
      </c>
      <c r="E64" s="140">
        <v>262379.25</v>
      </c>
      <c r="F64" s="141"/>
    </row>
    <row r="65" spans="2:6" x14ac:dyDescent="0.25">
      <c r="B65" s="164" t="s">
        <v>1336</v>
      </c>
      <c r="C65" s="141"/>
      <c r="D65" s="140">
        <v>124800</v>
      </c>
      <c r="E65" s="140">
        <v>132596.38</v>
      </c>
      <c r="F65" s="141"/>
    </row>
    <row r="66" spans="2:6" x14ac:dyDescent="0.25">
      <c r="B66" s="164" t="s">
        <v>1288</v>
      </c>
      <c r="C66" s="141"/>
      <c r="D66" s="141"/>
      <c r="E66" s="141"/>
      <c r="F66" s="141"/>
    </row>
    <row r="67" spans="2:6" x14ac:dyDescent="0.25">
      <c r="B67" s="164" t="s">
        <v>1337</v>
      </c>
      <c r="C67" s="140">
        <v>196000</v>
      </c>
      <c r="D67" s="140">
        <v>840000</v>
      </c>
      <c r="E67" s="140">
        <v>436022</v>
      </c>
      <c r="F67" s="140">
        <v>828800</v>
      </c>
    </row>
    <row r="68" spans="2:6" x14ac:dyDescent="0.25">
      <c r="B68" s="164" t="s">
        <v>1338</v>
      </c>
      <c r="C68" s="140">
        <v>436450</v>
      </c>
      <c r="D68" s="141"/>
      <c r="E68" s="140">
        <v>478289</v>
      </c>
      <c r="F68" s="141"/>
    </row>
    <row r="69" spans="2:6" x14ac:dyDescent="0.25">
      <c r="B69" s="164" t="s">
        <v>1401</v>
      </c>
      <c r="C69" s="141"/>
      <c r="D69" s="140">
        <v>2835456</v>
      </c>
      <c r="E69" s="140">
        <v>2896128.76</v>
      </c>
      <c r="F69" s="141"/>
    </row>
    <row r="70" spans="2:6" x14ac:dyDescent="0.25">
      <c r="B70" s="164" t="s">
        <v>1402</v>
      </c>
      <c r="C70" s="140">
        <v>2808000</v>
      </c>
      <c r="D70" s="140">
        <v>-161460</v>
      </c>
      <c r="E70" s="140">
        <v>3515140.4</v>
      </c>
      <c r="F70" s="141"/>
    </row>
    <row r="71" spans="2:6" x14ac:dyDescent="0.25">
      <c r="B71" s="164" t="s">
        <v>1403</v>
      </c>
      <c r="C71" s="140">
        <v>327000</v>
      </c>
      <c r="D71" s="140">
        <v>652000</v>
      </c>
      <c r="E71" s="140">
        <v>670554.5</v>
      </c>
      <c r="F71" s="140">
        <v>326333.33</v>
      </c>
    </row>
    <row r="72" spans="2:6" x14ac:dyDescent="0.25">
      <c r="B72" s="190" t="s">
        <v>1339</v>
      </c>
      <c r="C72" s="141"/>
      <c r="D72" s="140">
        <v>2652000</v>
      </c>
      <c r="E72" s="140">
        <v>3939936</v>
      </c>
      <c r="F72" s="141"/>
    </row>
    <row r="73" spans="2:6" x14ac:dyDescent="0.25">
      <c r="B73" s="164" t="s">
        <v>1340</v>
      </c>
      <c r="C73" s="140">
        <v>5358133.1100000003</v>
      </c>
      <c r="D73" s="140">
        <v>4306000</v>
      </c>
      <c r="E73" s="140">
        <v>7199299</v>
      </c>
      <c r="F73" s="140">
        <v>604008.31999999995</v>
      </c>
    </row>
    <row r="74" spans="2:6" x14ac:dyDescent="0.25">
      <c r="B74" s="161" t="s">
        <v>22</v>
      </c>
      <c r="C74" s="119">
        <v>31919796.670000002</v>
      </c>
      <c r="D74" s="119">
        <v>48239350.219999999</v>
      </c>
      <c r="E74" s="119">
        <v>75058931.590000004</v>
      </c>
      <c r="F74" s="119">
        <v>10224846.859999999</v>
      </c>
    </row>
  </sheetData>
  <autoFilter ref="A4:F74" xr:uid="{00000000-0009-0000-0000-000009000000}"/>
  <printOptions horizontalCentered="1"/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0"/>
  <sheetViews>
    <sheetView showGridLines="0" workbookViewId="0">
      <selection activeCell="C6" sqref="C6"/>
    </sheetView>
  </sheetViews>
  <sheetFormatPr defaultColWidth="9.42578125" defaultRowHeight="15" x14ac:dyDescent="0.25"/>
  <cols>
    <col min="1" max="1" width="17.5703125" style="2" bestFit="1" customWidth="1"/>
    <col min="2" max="2" width="38.42578125" style="2" bestFit="1" customWidth="1"/>
    <col min="3" max="3" width="17.5703125" style="18" bestFit="1" customWidth="1"/>
    <col min="4" max="5" width="16.5703125" style="18" bestFit="1" customWidth="1"/>
    <col min="6" max="6" width="14.42578125" style="18" bestFit="1" customWidth="1"/>
    <col min="7" max="7" width="9.42578125" style="2"/>
    <col min="8" max="8" width="12.5703125" style="2" bestFit="1" customWidth="1"/>
    <col min="9" max="16384" width="9.42578125" style="2"/>
  </cols>
  <sheetData>
    <row r="1" spans="1:8" ht="13.9" x14ac:dyDescent="0.25">
      <c r="A1" s="3" t="s">
        <v>96</v>
      </c>
      <c r="C1" s="13">
        <f>C3-C2</f>
        <v>0</v>
      </c>
      <c r="D1" s="13">
        <f>D3-D2</f>
        <v>0</v>
      </c>
      <c r="E1" s="13">
        <f>E3-E2</f>
        <v>0</v>
      </c>
      <c r="F1" s="13">
        <f>F3-F2</f>
        <v>0</v>
      </c>
    </row>
    <row r="2" spans="1:8" ht="13.9" x14ac:dyDescent="0.25">
      <c r="A2" s="66" t="str">
        <f>'TB YTD'!A2</f>
        <v>(April to Mar)</v>
      </c>
      <c r="C2" s="49">
        <f>C90</f>
        <v>21152594.190000001</v>
      </c>
      <c r="D2" s="49">
        <f t="shared" ref="D2:F2" si="0">D90</f>
        <v>206514002.30000001</v>
      </c>
      <c r="E2" s="49">
        <f t="shared" si="0"/>
        <v>229314843.38999999</v>
      </c>
      <c r="F2" s="49">
        <f t="shared" si="0"/>
        <v>10224846.859999999</v>
      </c>
    </row>
    <row r="3" spans="1:8" s="19" customFormat="1" ht="14.25" x14ac:dyDescent="0.2">
      <c r="A3" s="13"/>
      <c r="C3" s="19">
        <f>C5+C9+C14+C17+C24+C26+C38+C43+C45+C50+C57+C62+C71+C74</f>
        <v>21152594.189999998</v>
      </c>
      <c r="D3" s="19">
        <f t="shared" ref="D3:F3" si="1">D5+D9+D14+D17+D24+D26+D38+D43+D45+D50+D57+D62+D71+D74</f>
        <v>206514002.30000001</v>
      </c>
      <c r="E3" s="19">
        <f t="shared" si="1"/>
        <v>229314843.38999999</v>
      </c>
      <c r="F3" s="19">
        <f t="shared" si="1"/>
        <v>10224846.859999999</v>
      </c>
    </row>
    <row r="4" spans="1:8" s="12" customFormat="1" ht="13.9" x14ac:dyDescent="0.25">
      <c r="A4" s="22" t="s">
        <v>98</v>
      </c>
      <c r="B4" s="10" t="s">
        <v>26</v>
      </c>
      <c r="C4" s="11" t="s">
        <v>84</v>
      </c>
      <c r="D4" s="11" t="s">
        <v>1131</v>
      </c>
      <c r="E4" s="11" t="s">
        <v>1132</v>
      </c>
      <c r="F4" s="11" t="s">
        <v>83</v>
      </c>
    </row>
    <row r="5" spans="1:8" s="12" customFormat="1" ht="13.9" x14ac:dyDescent="0.25">
      <c r="A5" s="2" t="s">
        <v>4</v>
      </c>
      <c r="B5" s="142" t="s">
        <v>1190</v>
      </c>
      <c r="C5" s="133"/>
      <c r="D5" s="132">
        <v>75547.8</v>
      </c>
      <c r="E5" s="132">
        <v>125412.5</v>
      </c>
      <c r="F5" s="133"/>
    </row>
    <row r="6" spans="1:8" s="12" customFormat="1" ht="13.9" x14ac:dyDescent="0.25">
      <c r="A6" s="2"/>
      <c r="B6" s="164" t="s">
        <v>1191</v>
      </c>
      <c r="C6" s="139"/>
      <c r="D6" s="138">
        <v>24900</v>
      </c>
      <c r="E6" s="138">
        <v>4007.5</v>
      </c>
      <c r="F6" s="139"/>
    </row>
    <row r="7" spans="1:8" s="12" customFormat="1" ht="13.9" x14ac:dyDescent="0.25">
      <c r="A7" s="2"/>
      <c r="B7" s="164" t="s">
        <v>1192</v>
      </c>
      <c r="C7" s="141"/>
      <c r="D7" s="140">
        <v>3405</v>
      </c>
      <c r="E7" s="140">
        <v>3405</v>
      </c>
      <c r="F7" s="141"/>
    </row>
    <row r="8" spans="1:8" s="12" customFormat="1" ht="13.9" x14ac:dyDescent="0.25">
      <c r="A8" s="2"/>
      <c r="B8" s="164" t="s">
        <v>1193</v>
      </c>
      <c r="C8" s="141"/>
      <c r="D8" s="140">
        <v>47242.8</v>
      </c>
      <c r="E8" s="140">
        <v>118000</v>
      </c>
      <c r="F8" s="141"/>
    </row>
    <row r="9" spans="1:8" ht="13.9" x14ac:dyDescent="0.25">
      <c r="A9" s="2" t="s">
        <v>2</v>
      </c>
      <c r="B9" s="146" t="s">
        <v>1133</v>
      </c>
      <c r="C9" s="136">
        <v>108609.53</v>
      </c>
      <c r="D9" s="137"/>
      <c r="E9" s="136">
        <v>29045.71</v>
      </c>
      <c r="F9" s="136">
        <v>79563.820000000007</v>
      </c>
    </row>
    <row r="10" spans="1:8" ht="13.9" x14ac:dyDescent="0.25">
      <c r="B10" s="163" t="s">
        <v>1194</v>
      </c>
      <c r="C10" s="127"/>
      <c r="D10" s="127"/>
      <c r="E10" s="127"/>
      <c r="F10" s="127"/>
      <c r="H10" s="50"/>
    </row>
    <row r="11" spans="1:8" ht="13.9" x14ac:dyDescent="0.25">
      <c r="B11" s="163" t="s">
        <v>1134</v>
      </c>
      <c r="C11" s="135">
        <v>60685.18</v>
      </c>
      <c r="D11" s="116"/>
      <c r="E11" s="135">
        <v>29045.71</v>
      </c>
      <c r="F11" s="135">
        <v>31639.47</v>
      </c>
    </row>
    <row r="12" spans="1:8" ht="13.9" x14ac:dyDescent="0.25">
      <c r="B12" s="163" t="s">
        <v>1135</v>
      </c>
      <c r="C12" s="135">
        <v>9456.35</v>
      </c>
      <c r="D12" s="116"/>
      <c r="E12" s="116"/>
      <c r="F12" s="135">
        <v>9456.35</v>
      </c>
    </row>
    <row r="13" spans="1:8" ht="13.9" x14ac:dyDescent="0.25">
      <c r="B13" s="163" t="s">
        <v>1136</v>
      </c>
      <c r="C13" s="135">
        <v>38468</v>
      </c>
      <c r="D13" s="116"/>
      <c r="E13" s="116"/>
      <c r="F13" s="135">
        <v>38468</v>
      </c>
    </row>
    <row r="14" spans="1:8" ht="13.9" x14ac:dyDescent="0.25">
      <c r="A14" s="2" t="s">
        <v>2</v>
      </c>
      <c r="B14" s="146" t="s">
        <v>1137</v>
      </c>
      <c r="C14" s="136">
        <v>3317257</v>
      </c>
      <c r="D14" s="136">
        <v>917563.6</v>
      </c>
      <c r="E14" s="136">
        <v>2173653.5099999998</v>
      </c>
      <c r="F14" s="136">
        <v>2577635.6</v>
      </c>
    </row>
    <row r="15" spans="1:8" ht="13.9" x14ac:dyDescent="0.25">
      <c r="B15" s="163" t="s">
        <v>1138</v>
      </c>
      <c r="C15" s="134">
        <v>3060431.3</v>
      </c>
      <c r="D15" s="134">
        <v>901130.91</v>
      </c>
      <c r="E15" s="134">
        <v>2153922.92</v>
      </c>
      <c r="F15" s="134">
        <v>2324217.7000000002</v>
      </c>
    </row>
    <row r="16" spans="1:8" ht="13.9" x14ac:dyDescent="0.25">
      <c r="B16" s="163" t="s">
        <v>1139</v>
      </c>
      <c r="C16" s="135">
        <v>256825.7</v>
      </c>
      <c r="D16" s="135">
        <v>16432.689999999999</v>
      </c>
      <c r="E16" s="135">
        <v>19730.59</v>
      </c>
      <c r="F16" s="135">
        <v>253417.9</v>
      </c>
    </row>
    <row r="17" spans="1:6" ht="13.9" x14ac:dyDescent="0.25">
      <c r="A17" s="2" t="s">
        <v>2</v>
      </c>
      <c r="B17" s="146" t="s">
        <v>1140</v>
      </c>
      <c r="C17" s="136">
        <v>3137.38</v>
      </c>
      <c r="D17" s="137"/>
      <c r="E17" s="137"/>
      <c r="F17" s="136">
        <v>3137.38</v>
      </c>
    </row>
    <row r="18" spans="1:6" ht="13.9" x14ac:dyDescent="0.25">
      <c r="B18" s="164" t="s">
        <v>1141</v>
      </c>
      <c r="C18" s="138">
        <v>576.87</v>
      </c>
      <c r="D18" s="139"/>
      <c r="E18" s="139"/>
      <c r="F18" s="138">
        <v>576.87</v>
      </c>
    </row>
    <row r="19" spans="1:6" ht="13.9" x14ac:dyDescent="0.25">
      <c r="B19" s="164" t="s">
        <v>1142</v>
      </c>
      <c r="C19" s="140">
        <v>825</v>
      </c>
      <c r="D19" s="141"/>
      <c r="E19" s="141"/>
      <c r="F19" s="140">
        <v>825</v>
      </c>
    </row>
    <row r="20" spans="1:6" ht="13.9" x14ac:dyDescent="0.25">
      <c r="B20" s="164" t="s">
        <v>1143</v>
      </c>
      <c r="C20" s="140">
        <v>1345</v>
      </c>
      <c r="D20" s="141"/>
      <c r="E20" s="141"/>
      <c r="F20" s="140">
        <v>1345</v>
      </c>
    </row>
    <row r="21" spans="1:6" ht="13.9" x14ac:dyDescent="0.25">
      <c r="B21" s="164" t="s">
        <v>1144</v>
      </c>
      <c r="C21" s="140">
        <v>227.37</v>
      </c>
      <c r="D21" s="141"/>
      <c r="E21" s="141"/>
      <c r="F21" s="140">
        <v>227.37</v>
      </c>
    </row>
    <row r="22" spans="1:6" ht="13.9" x14ac:dyDescent="0.25">
      <c r="B22" s="164" t="s">
        <v>1145</v>
      </c>
      <c r="C22" s="140">
        <v>163.13999999999999</v>
      </c>
      <c r="D22" s="141"/>
      <c r="E22" s="141"/>
      <c r="F22" s="140">
        <v>163.13999999999999</v>
      </c>
    </row>
    <row r="23" spans="1:6" x14ac:dyDescent="0.25">
      <c r="B23" s="164" t="s">
        <v>1146</v>
      </c>
      <c r="C23" s="141"/>
      <c r="D23" s="141"/>
      <c r="E23" s="141"/>
      <c r="F23" s="141"/>
    </row>
    <row r="24" spans="1:6" x14ac:dyDescent="0.25">
      <c r="A24" s="2" t="s">
        <v>3</v>
      </c>
      <c r="B24" s="146" t="s">
        <v>1147</v>
      </c>
      <c r="C24" s="136">
        <v>60963.6</v>
      </c>
      <c r="D24" s="136">
        <v>25000</v>
      </c>
      <c r="E24" s="136">
        <v>9096.7099999999991</v>
      </c>
      <c r="F24" s="136">
        <v>76866.649999999994</v>
      </c>
    </row>
    <row r="25" spans="1:6" x14ac:dyDescent="0.25">
      <c r="B25" s="163" t="s">
        <v>1148</v>
      </c>
      <c r="C25" s="134">
        <v>60963.6</v>
      </c>
      <c r="D25" s="134">
        <v>25000</v>
      </c>
      <c r="E25" s="134">
        <v>9096.7099999999991</v>
      </c>
      <c r="F25" s="134">
        <v>76866.649999999994</v>
      </c>
    </row>
    <row r="26" spans="1:6" x14ac:dyDescent="0.25">
      <c r="A26" s="2" t="s">
        <v>4</v>
      </c>
      <c r="B26" s="146" t="s">
        <v>1149</v>
      </c>
      <c r="C26" s="136">
        <v>14777042.890000001</v>
      </c>
      <c r="D26" s="136">
        <v>87362052.480000004</v>
      </c>
      <c r="E26" s="136">
        <v>105689916.79000001</v>
      </c>
      <c r="F26" s="137"/>
    </row>
    <row r="27" spans="1:6" x14ac:dyDescent="0.25">
      <c r="B27" s="164" t="s">
        <v>1195</v>
      </c>
      <c r="C27" s="138">
        <v>5752297.6100000003</v>
      </c>
      <c r="D27" s="139"/>
      <c r="E27" s="138">
        <v>5249150.96</v>
      </c>
      <c r="F27" s="139"/>
    </row>
    <row r="28" spans="1:6" x14ac:dyDescent="0.25">
      <c r="B28" s="164" t="s">
        <v>1223</v>
      </c>
      <c r="C28" s="141"/>
      <c r="D28" s="141"/>
      <c r="E28" s="141"/>
      <c r="F28" s="141"/>
    </row>
    <row r="29" spans="1:6" x14ac:dyDescent="0.25">
      <c r="A29" s="72"/>
      <c r="B29" s="164" t="s">
        <v>1196</v>
      </c>
      <c r="C29" s="140">
        <v>3665677.17</v>
      </c>
      <c r="D29" s="141"/>
      <c r="E29" s="140">
        <v>2953389.9</v>
      </c>
      <c r="F29" s="141"/>
    </row>
    <row r="30" spans="1:6" x14ac:dyDescent="0.25">
      <c r="B30" s="164" t="s">
        <v>1150</v>
      </c>
      <c r="C30" s="140">
        <v>5359068.1100000003</v>
      </c>
      <c r="D30" s="140">
        <v>44511191.079999998</v>
      </c>
      <c r="E30" s="140">
        <v>51282554.229999997</v>
      </c>
      <c r="F30" s="141"/>
    </row>
    <row r="31" spans="1:6" x14ac:dyDescent="0.25">
      <c r="B31" s="164" t="s">
        <v>1151</v>
      </c>
      <c r="C31" s="141"/>
      <c r="D31" s="140">
        <v>8718970.5</v>
      </c>
      <c r="E31" s="140">
        <v>9941797.75</v>
      </c>
      <c r="F31" s="141"/>
    </row>
    <row r="32" spans="1:6" x14ac:dyDescent="0.25">
      <c r="B32" s="164" t="s">
        <v>1152</v>
      </c>
      <c r="C32" s="141"/>
      <c r="D32" s="140">
        <v>6647550</v>
      </c>
      <c r="E32" s="140">
        <v>7257654</v>
      </c>
      <c r="F32" s="141"/>
    </row>
    <row r="33" spans="1:6" x14ac:dyDescent="0.25">
      <c r="B33" s="164" t="s">
        <v>1197</v>
      </c>
      <c r="C33" s="141"/>
      <c r="D33" s="140">
        <v>2796610</v>
      </c>
      <c r="E33" s="140">
        <v>2864875</v>
      </c>
      <c r="F33" s="141"/>
    </row>
    <row r="34" spans="1:6" x14ac:dyDescent="0.25">
      <c r="B34" s="164" t="s">
        <v>1224</v>
      </c>
      <c r="C34" s="141"/>
      <c r="D34" s="141"/>
      <c r="E34" s="141"/>
      <c r="F34" s="141"/>
    </row>
    <row r="35" spans="1:6" x14ac:dyDescent="0.25">
      <c r="B35" s="164" t="s">
        <v>1198</v>
      </c>
      <c r="C35" s="141"/>
      <c r="D35" s="140">
        <v>2510593.2999999998</v>
      </c>
      <c r="E35" s="140">
        <v>2637888.75</v>
      </c>
      <c r="F35" s="141"/>
    </row>
    <row r="36" spans="1:6" x14ac:dyDescent="0.25">
      <c r="B36" s="164" t="s">
        <v>1153</v>
      </c>
      <c r="C36" s="141"/>
      <c r="D36" s="140">
        <v>19536043.699999999</v>
      </c>
      <c r="E36" s="140">
        <v>20740866.699999999</v>
      </c>
      <c r="F36" s="141"/>
    </row>
    <row r="37" spans="1:6" x14ac:dyDescent="0.25">
      <c r="B37" s="164" t="s">
        <v>1199</v>
      </c>
      <c r="C37" s="141"/>
      <c r="D37" s="140">
        <v>2641093.9</v>
      </c>
      <c r="E37" s="140">
        <v>2761739.5</v>
      </c>
      <c r="F37" s="141"/>
    </row>
    <row r="38" spans="1:6" x14ac:dyDescent="0.25">
      <c r="A38" s="2" t="s">
        <v>3</v>
      </c>
      <c r="B38" s="146" t="s">
        <v>1154</v>
      </c>
      <c r="C38" s="136">
        <v>852488.03</v>
      </c>
      <c r="D38" s="136">
        <v>733140.96</v>
      </c>
      <c r="E38" s="136">
        <v>909709.41</v>
      </c>
      <c r="F38" s="136">
        <v>632858.89</v>
      </c>
    </row>
    <row r="39" spans="1:6" x14ac:dyDescent="0.25">
      <c r="B39" s="163" t="s">
        <v>1155</v>
      </c>
      <c r="C39" s="134">
        <v>4533.3599999999997</v>
      </c>
      <c r="D39" s="134">
        <v>1260</v>
      </c>
      <c r="E39" s="134">
        <v>1390</v>
      </c>
      <c r="F39" s="134">
        <v>5073.3599999999997</v>
      </c>
    </row>
    <row r="40" spans="1:6" x14ac:dyDescent="0.25">
      <c r="B40" s="163" t="s">
        <v>1156</v>
      </c>
      <c r="C40" s="135">
        <v>352038.82</v>
      </c>
      <c r="D40" s="116"/>
      <c r="E40" s="116"/>
      <c r="F40" s="135">
        <v>352038.82</v>
      </c>
    </row>
    <row r="41" spans="1:6" x14ac:dyDescent="0.25">
      <c r="B41" s="163" t="s">
        <v>1157</v>
      </c>
      <c r="C41" s="135">
        <v>336910.58</v>
      </c>
      <c r="D41" s="116"/>
      <c r="E41" s="116"/>
      <c r="F41" s="135">
        <v>336910.58</v>
      </c>
    </row>
    <row r="42" spans="1:6" x14ac:dyDescent="0.25">
      <c r="B42" s="152" t="s">
        <v>1158</v>
      </c>
      <c r="C42" s="135">
        <v>159005.26999999999</v>
      </c>
      <c r="D42" s="135">
        <v>731880.95999999996</v>
      </c>
      <c r="E42" s="135">
        <v>908319.41</v>
      </c>
      <c r="F42" s="135">
        <v>-61163.87</v>
      </c>
    </row>
    <row r="43" spans="1:6" x14ac:dyDescent="0.25">
      <c r="A43" s="2" t="s">
        <v>3</v>
      </c>
      <c r="B43" s="146" t="s">
        <v>1159</v>
      </c>
      <c r="C43" s="136">
        <v>2666.08</v>
      </c>
      <c r="D43" s="137"/>
      <c r="E43" s="137"/>
      <c r="F43" s="136">
        <v>2666.08</v>
      </c>
    </row>
    <row r="44" spans="1:6" x14ac:dyDescent="0.25">
      <c r="B44" s="164" t="s">
        <v>1160</v>
      </c>
      <c r="C44" s="138">
        <v>2666.08</v>
      </c>
      <c r="D44" s="139"/>
      <c r="E44" s="139"/>
      <c r="F44" s="138">
        <v>2666.08</v>
      </c>
    </row>
    <row r="45" spans="1:6" x14ac:dyDescent="0.25">
      <c r="A45" s="2" t="s">
        <v>3</v>
      </c>
      <c r="B45" s="146" t="s">
        <v>1161</v>
      </c>
      <c r="C45" s="136">
        <v>3073.63</v>
      </c>
      <c r="D45" s="137"/>
      <c r="E45" s="137"/>
      <c r="F45" s="136">
        <v>3073.63</v>
      </c>
    </row>
    <row r="46" spans="1:6" x14ac:dyDescent="0.25">
      <c r="B46" s="164" t="s">
        <v>1162</v>
      </c>
      <c r="C46" s="138">
        <v>37.94</v>
      </c>
      <c r="D46" s="139"/>
      <c r="E46" s="139"/>
      <c r="F46" s="138">
        <v>37.94</v>
      </c>
    </row>
    <row r="47" spans="1:6" x14ac:dyDescent="0.25">
      <c r="B47" s="164" t="s">
        <v>1163</v>
      </c>
      <c r="C47" s="140">
        <v>1125.33</v>
      </c>
      <c r="D47" s="141"/>
      <c r="E47" s="141"/>
      <c r="F47" s="140">
        <v>1125.33</v>
      </c>
    </row>
    <row r="48" spans="1:6" x14ac:dyDescent="0.25">
      <c r="B48" s="164" t="s">
        <v>1225</v>
      </c>
      <c r="C48" s="141"/>
      <c r="D48" s="141"/>
      <c r="E48" s="141"/>
      <c r="F48" s="141"/>
    </row>
    <row r="49" spans="1:6" x14ac:dyDescent="0.25">
      <c r="B49" s="164" t="s">
        <v>1164</v>
      </c>
      <c r="C49" s="140">
        <v>1910.36</v>
      </c>
      <c r="D49" s="141"/>
      <c r="E49" s="141"/>
      <c r="F49" s="140">
        <v>1910.36</v>
      </c>
    </row>
    <row r="50" spans="1:6" x14ac:dyDescent="0.25">
      <c r="A50" s="2" t="s">
        <v>2</v>
      </c>
      <c r="B50" s="146" t="s">
        <v>1165</v>
      </c>
      <c r="C50" s="136">
        <v>8870.84</v>
      </c>
      <c r="D50" s="137"/>
      <c r="E50" s="137"/>
      <c r="F50" s="136">
        <v>8870.84</v>
      </c>
    </row>
    <row r="51" spans="1:6" x14ac:dyDescent="0.25">
      <c r="B51" s="164" t="s">
        <v>1166</v>
      </c>
      <c r="C51" s="138">
        <v>1710</v>
      </c>
      <c r="D51" s="139"/>
      <c r="E51" s="139"/>
      <c r="F51" s="138">
        <v>1710</v>
      </c>
    </row>
    <row r="52" spans="1:6" x14ac:dyDescent="0.25">
      <c r="B52" s="164" t="s">
        <v>1167</v>
      </c>
      <c r="C52" s="140">
        <v>1500</v>
      </c>
      <c r="D52" s="141"/>
      <c r="E52" s="141"/>
      <c r="F52" s="140">
        <v>1500</v>
      </c>
    </row>
    <row r="53" spans="1:6" x14ac:dyDescent="0.25">
      <c r="B53" s="164" t="s">
        <v>1168</v>
      </c>
      <c r="C53" s="140">
        <v>1016.95</v>
      </c>
      <c r="D53" s="141"/>
      <c r="E53" s="141"/>
      <c r="F53" s="140">
        <v>1016.95</v>
      </c>
    </row>
    <row r="54" spans="1:6" x14ac:dyDescent="0.25">
      <c r="B54" s="164" t="s">
        <v>1169</v>
      </c>
      <c r="C54" s="140">
        <v>110</v>
      </c>
      <c r="D54" s="141"/>
      <c r="E54" s="141"/>
      <c r="F54" s="140">
        <v>110</v>
      </c>
    </row>
    <row r="55" spans="1:6" x14ac:dyDescent="0.25">
      <c r="B55" s="164" t="s">
        <v>1170</v>
      </c>
      <c r="C55" s="140">
        <v>2500</v>
      </c>
      <c r="D55" s="141"/>
      <c r="E55" s="141"/>
      <c r="F55" s="140">
        <v>2500</v>
      </c>
    </row>
    <row r="56" spans="1:6" x14ac:dyDescent="0.25">
      <c r="A56" s="72"/>
      <c r="B56" s="164" t="s">
        <v>1171</v>
      </c>
      <c r="C56" s="140">
        <v>2033.89</v>
      </c>
      <c r="D56" s="141"/>
      <c r="E56" s="141"/>
      <c r="F56" s="140">
        <v>2033.89</v>
      </c>
    </row>
    <row r="57" spans="1:6" x14ac:dyDescent="0.25">
      <c r="A57" s="2" t="s">
        <v>2</v>
      </c>
      <c r="B57" s="146" t="s">
        <v>1172</v>
      </c>
      <c r="C57" s="136">
        <v>809847.91</v>
      </c>
      <c r="D57" s="136">
        <v>427874.27</v>
      </c>
      <c r="E57" s="136">
        <v>328291.44</v>
      </c>
      <c r="F57" s="136">
        <v>72853.649999999994</v>
      </c>
    </row>
    <row r="58" spans="1:6" x14ac:dyDescent="0.25">
      <c r="B58" s="163" t="s">
        <v>1173</v>
      </c>
      <c r="C58" s="134">
        <v>742111.09</v>
      </c>
      <c r="D58" s="134">
        <v>394003.01</v>
      </c>
      <c r="E58" s="134">
        <v>254217.44</v>
      </c>
      <c r="F58" s="134">
        <v>4016.07</v>
      </c>
    </row>
    <row r="59" spans="1:6" x14ac:dyDescent="0.25">
      <c r="B59" s="163" t="s">
        <v>1174</v>
      </c>
      <c r="C59" s="135">
        <v>32362.71</v>
      </c>
      <c r="D59" s="116"/>
      <c r="E59" s="116"/>
      <c r="F59" s="135">
        <v>32362.71</v>
      </c>
    </row>
    <row r="60" spans="1:6" x14ac:dyDescent="0.25">
      <c r="B60" s="163" t="s">
        <v>1175</v>
      </c>
      <c r="C60" s="135">
        <v>14574.11</v>
      </c>
      <c r="D60" s="135">
        <v>33871.26</v>
      </c>
      <c r="E60" s="135">
        <v>74074</v>
      </c>
      <c r="F60" s="135">
        <v>15674.87</v>
      </c>
    </row>
    <row r="61" spans="1:6" x14ac:dyDescent="0.25">
      <c r="B61" s="164" t="s">
        <v>1176</v>
      </c>
      <c r="C61" s="140">
        <v>20800</v>
      </c>
      <c r="D61" s="141"/>
      <c r="E61" s="141"/>
      <c r="F61" s="140">
        <v>20800</v>
      </c>
    </row>
    <row r="62" spans="1:6" x14ac:dyDescent="0.25">
      <c r="A62" s="2" t="s">
        <v>3</v>
      </c>
      <c r="B62" s="146" t="s">
        <v>1177</v>
      </c>
      <c r="C62" s="136">
        <v>1182668.94</v>
      </c>
      <c r="D62" s="136">
        <v>44078.86</v>
      </c>
      <c r="E62" s="136">
        <v>69861.289999999994</v>
      </c>
      <c r="F62" s="136">
        <v>1152097.0900000001</v>
      </c>
    </row>
    <row r="63" spans="1:6" x14ac:dyDescent="0.25">
      <c r="B63" s="163" t="s">
        <v>1178</v>
      </c>
      <c r="C63" s="134">
        <v>257670.1</v>
      </c>
      <c r="D63" s="134">
        <v>425</v>
      </c>
      <c r="E63" s="134">
        <v>18342.68</v>
      </c>
      <c r="F63" s="134">
        <v>242667.58</v>
      </c>
    </row>
    <row r="64" spans="1:6" x14ac:dyDescent="0.25">
      <c r="B64" s="163" t="s">
        <v>1179</v>
      </c>
      <c r="C64" s="135">
        <v>151075.45000000001</v>
      </c>
      <c r="D64" s="135">
        <v>2331.2600000000002</v>
      </c>
      <c r="E64" s="135">
        <v>15346.49</v>
      </c>
      <c r="F64" s="135">
        <v>138060.28</v>
      </c>
    </row>
    <row r="65" spans="1:6" x14ac:dyDescent="0.25">
      <c r="B65" s="163" t="s">
        <v>1180</v>
      </c>
      <c r="C65" s="135">
        <v>-33283.97</v>
      </c>
      <c r="D65" s="116"/>
      <c r="E65" s="135">
        <v>12652.2</v>
      </c>
      <c r="F65" s="135">
        <v>-45915.81</v>
      </c>
    </row>
    <row r="66" spans="1:6" x14ac:dyDescent="0.25">
      <c r="B66" s="163" t="s">
        <v>1181</v>
      </c>
      <c r="C66" s="135">
        <v>369944.02</v>
      </c>
      <c r="D66" s="135">
        <v>28560</v>
      </c>
      <c r="E66" s="135">
        <v>10404.08</v>
      </c>
      <c r="F66" s="135">
        <v>388099.94</v>
      </c>
    </row>
    <row r="67" spans="1:6" x14ac:dyDescent="0.25">
      <c r="B67" s="163" t="s">
        <v>1182</v>
      </c>
      <c r="C67" s="135">
        <v>73800</v>
      </c>
      <c r="D67" s="116"/>
      <c r="E67" s="116"/>
      <c r="F67" s="135">
        <v>73800</v>
      </c>
    </row>
    <row r="68" spans="1:6" x14ac:dyDescent="0.25">
      <c r="B68" s="163" t="s">
        <v>1183</v>
      </c>
      <c r="C68" s="135">
        <v>184491.88</v>
      </c>
      <c r="D68" s="135">
        <v>12762.6</v>
      </c>
      <c r="E68" s="135">
        <v>13115.84</v>
      </c>
      <c r="F68" s="135">
        <v>176413.64</v>
      </c>
    </row>
    <row r="69" spans="1:6" x14ac:dyDescent="0.25">
      <c r="B69" s="163" t="s">
        <v>1184</v>
      </c>
      <c r="C69" s="135">
        <v>140262.82999999999</v>
      </c>
      <c r="D69" s="116"/>
      <c r="E69" s="116"/>
      <c r="F69" s="135">
        <v>140262.82999999999</v>
      </c>
    </row>
    <row r="70" spans="1:6" x14ac:dyDescent="0.25">
      <c r="B70" s="163" t="s">
        <v>1185</v>
      </c>
      <c r="C70" s="135">
        <v>38708.629999999997</v>
      </c>
      <c r="D70" s="116"/>
      <c r="E70" s="116"/>
      <c r="F70" s="135">
        <v>38708.629999999997</v>
      </c>
    </row>
    <row r="71" spans="1:6" x14ac:dyDescent="0.25">
      <c r="A71" s="2" t="s">
        <v>2</v>
      </c>
      <c r="B71" s="146" t="s">
        <v>1186</v>
      </c>
      <c r="C71" s="136">
        <v>25968.36</v>
      </c>
      <c r="D71" s="137"/>
      <c r="E71" s="137"/>
      <c r="F71" s="136">
        <v>25968.36</v>
      </c>
    </row>
    <row r="72" spans="1:6" x14ac:dyDescent="0.25">
      <c r="B72" s="164" t="s">
        <v>1187</v>
      </c>
      <c r="C72" s="138">
        <v>17968.32</v>
      </c>
      <c r="D72" s="139"/>
      <c r="E72" s="139"/>
      <c r="F72" s="138">
        <v>17968.32</v>
      </c>
    </row>
    <row r="73" spans="1:6" x14ac:dyDescent="0.25">
      <c r="B73" s="164" t="s">
        <v>1188</v>
      </c>
      <c r="C73" s="140">
        <v>8000.04</v>
      </c>
      <c r="D73" s="141"/>
      <c r="E73" s="141"/>
      <c r="F73" s="140">
        <v>8000.04</v>
      </c>
    </row>
    <row r="74" spans="1:6" x14ac:dyDescent="0.25">
      <c r="A74" s="2" t="s">
        <v>9</v>
      </c>
      <c r="B74" s="146" t="s">
        <v>1189</v>
      </c>
      <c r="C74" s="137"/>
      <c r="D74" s="136">
        <v>116928744.33</v>
      </c>
      <c r="E74" s="136">
        <v>119979856.03</v>
      </c>
      <c r="F74" s="136">
        <v>5589254.8700000001</v>
      </c>
    </row>
    <row r="75" spans="1:6" x14ac:dyDescent="0.25">
      <c r="B75" s="163" t="s">
        <v>1268</v>
      </c>
      <c r="C75" s="127"/>
      <c r="D75" s="134">
        <v>13687331</v>
      </c>
      <c r="E75" s="134">
        <v>16322484.32</v>
      </c>
      <c r="F75" s="134">
        <v>820000</v>
      </c>
    </row>
    <row r="76" spans="1:6" x14ac:dyDescent="0.25">
      <c r="B76" s="152" t="s">
        <v>1269</v>
      </c>
      <c r="C76" s="116"/>
      <c r="D76" s="135">
        <v>48246565</v>
      </c>
      <c r="E76" s="135">
        <v>50447475.340000004</v>
      </c>
      <c r="F76" s="116"/>
    </row>
    <row r="77" spans="1:6" x14ac:dyDescent="0.25">
      <c r="B77" s="163" t="s">
        <v>1270</v>
      </c>
      <c r="C77" s="116"/>
      <c r="D77" s="135">
        <v>204836</v>
      </c>
      <c r="E77" s="116"/>
      <c r="F77" s="135">
        <v>204836</v>
      </c>
    </row>
    <row r="78" spans="1:6" x14ac:dyDescent="0.25">
      <c r="B78" s="163" t="s">
        <v>1271</v>
      </c>
      <c r="C78" s="116"/>
      <c r="D78" s="135">
        <v>146520</v>
      </c>
      <c r="E78" s="135">
        <v>77753.45</v>
      </c>
      <c r="F78" s="135">
        <v>74000</v>
      </c>
    </row>
    <row r="79" spans="1:6" x14ac:dyDescent="0.25">
      <c r="B79" s="152" t="s">
        <v>1272</v>
      </c>
      <c r="C79" s="116"/>
      <c r="D79" s="135">
        <v>33900129</v>
      </c>
      <c r="E79" s="135">
        <v>33474705.829999998</v>
      </c>
      <c r="F79" s="135">
        <v>2731277.22</v>
      </c>
    </row>
    <row r="80" spans="1:6" x14ac:dyDescent="0.25">
      <c r="B80" s="164" t="s">
        <v>1400</v>
      </c>
      <c r="C80" s="141"/>
      <c r="D80" s="140">
        <v>245000</v>
      </c>
      <c r="E80" s="140">
        <v>262379.25</v>
      </c>
      <c r="F80" s="141"/>
    </row>
    <row r="81" spans="2:6" x14ac:dyDescent="0.25">
      <c r="B81" s="164" t="s">
        <v>1336</v>
      </c>
      <c r="C81" s="141"/>
      <c r="D81" s="140">
        <v>248784</v>
      </c>
      <c r="E81" s="140">
        <v>259688.18</v>
      </c>
      <c r="F81" s="141"/>
    </row>
    <row r="82" spans="2:6" x14ac:dyDescent="0.25">
      <c r="B82" s="164" t="s">
        <v>1288</v>
      </c>
      <c r="C82" s="141"/>
      <c r="D82" s="141"/>
      <c r="E82" s="141"/>
      <c r="F82" s="141"/>
    </row>
    <row r="83" spans="2:6" x14ac:dyDescent="0.25">
      <c r="B83" s="164" t="s">
        <v>1337</v>
      </c>
      <c r="C83" s="141"/>
      <c r="D83" s="140">
        <v>1036000</v>
      </c>
      <c r="E83" s="140">
        <v>436022</v>
      </c>
      <c r="F83" s="140">
        <v>828800</v>
      </c>
    </row>
    <row r="84" spans="2:6" x14ac:dyDescent="0.25">
      <c r="B84" s="164" t="s">
        <v>1338</v>
      </c>
      <c r="C84" s="141"/>
      <c r="D84" s="140">
        <v>436450</v>
      </c>
      <c r="E84" s="140">
        <v>478289</v>
      </c>
      <c r="F84" s="141"/>
    </row>
    <row r="85" spans="2:6" x14ac:dyDescent="0.25">
      <c r="B85" s="164" t="s">
        <v>1401</v>
      </c>
      <c r="C85" s="141"/>
      <c r="D85" s="140">
        <v>2835456</v>
      </c>
      <c r="E85" s="140">
        <v>2896128.76</v>
      </c>
      <c r="F85" s="141"/>
    </row>
    <row r="86" spans="2:6" x14ac:dyDescent="0.25">
      <c r="B86" s="164" t="s">
        <v>1402</v>
      </c>
      <c r="C86" s="141"/>
      <c r="D86" s="140">
        <v>2646540</v>
      </c>
      <c r="E86" s="140">
        <v>3515140.4</v>
      </c>
      <c r="F86" s="141"/>
    </row>
    <row r="87" spans="2:6" x14ac:dyDescent="0.25">
      <c r="B87" s="164" t="s">
        <v>1403</v>
      </c>
      <c r="C87" s="141"/>
      <c r="D87" s="140">
        <v>979000</v>
      </c>
      <c r="E87" s="140">
        <v>670554.5</v>
      </c>
      <c r="F87" s="140">
        <v>326333.33</v>
      </c>
    </row>
    <row r="88" spans="2:6" x14ac:dyDescent="0.25">
      <c r="B88" s="190" t="s">
        <v>1339</v>
      </c>
      <c r="C88" s="141"/>
      <c r="D88" s="140">
        <v>2652000</v>
      </c>
      <c r="E88" s="140">
        <v>3939936</v>
      </c>
      <c r="F88" s="141"/>
    </row>
    <row r="89" spans="2:6" x14ac:dyDescent="0.25">
      <c r="B89" s="164" t="s">
        <v>1340</v>
      </c>
      <c r="C89" s="141"/>
      <c r="D89" s="140">
        <v>9664133.3300000001</v>
      </c>
      <c r="E89" s="140">
        <v>7199299</v>
      </c>
      <c r="F89" s="140">
        <v>604008.31999999995</v>
      </c>
    </row>
    <row r="90" spans="2:6" x14ac:dyDescent="0.25">
      <c r="B90" s="161" t="s">
        <v>22</v>
      </c>
      <c r="C90" s="119">
        <v>21152594.190000001</v>
      </c>
      <c r="D90" s="119">
        <v>206514002.30000001</v>
      </c>
      <c r="E90" s="119">
        <v>229314843.38999999</v>
      </c>
      <c r="F90" s="119">
        <v>10224846.859999999</v>
      </c>
    </row>
  </sheetData>
  <autoFilter ref="A4:F90" xr:uid="{00000000-0001-0000-0A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9"/>
  <sheetViews>
    <sheetView showGridLines="0" workbookViewId="0">
      <pane ySplit="7" topLeftCell="A8" activePane="bottomLeft" state="frozen"/>
      <selection activeCell="P13" sqref="P13"/>
      <selection pane="bottomLeft" activeCell="P8" sqref="P8"/>
    </sheetView>
  </sheetViews>
  <sheetFormatPr defaultColWidth="9.42578125" defaultRowHeight="15" x14ac:dyDescent="0.25"/>
  <cols>
    <col min="1" max="1" width="42.5703125" style="2" bestFit="1" customWidth="1"/>
    <col min="2" max="2" width="9.42578125" style="24" bestFit="1" customWidth="1"/>
    <col min="3" max="3" width="5.5703125" style="24" bestFit="1" customWidth="1"/>
    <col min="4" max="4" width="10.42578125" style="24" bestFit="1" customWidth="1"/>
    <col min="5" max="5" width="9.42578125" style="24" bestFit="1" customWidth="1"/>
    <col min="6" max="6" width="5.5703125" style="24" bestFit="1" customWidth="1"/>
    <col min="7" max="7" width="6.5703125" style="24" bestFit="1" customWidth="1"/>
    <col min="8" max="8" width="9.42578125" style="24" bestFit="1" customWidth="1"/>
    <col min="9" max="9" width="5.5703125" style="24" bestFit="1" customWidth="1"/>
    <col min="10" max="10" width="6.5703125" style="24" bestFit="1" customWidth="1"/>
    <col min="11" max="11" width="13.42578125" style="24" bestFit="1" customWidth="1"/>
    <col min="12" max="12" width="12.42578125" style="24" bestFit="1" customWidth="1"/>
    <col min="13" max="13" width="8.42578125" style="18" bestFit="1" customWidth="1"/>
    <col min="14" max="14" width="9.42578125" style="24" bestFit="1" customWidth="1"/>
    <col min="15" max="15" width="5.5703125" style="24" bestFit="1" customWidth="1"/>
    <col min="16" max="16" width="10.42578125" style="24" bestFit="1" customWidth="1"/>
    <col min="17" max="17" width="9.42578125" style="18"/>
    <col min="18" max="16384" width="9.42578125" style="2"/>
  </cols>
  <sheetData>
    <row r="1" spans="1:17" x14ac:dyDescent="0.25">
      <c r="A1" s="8" t="s">
        <v>1200</v>
      </c>
    </row>
    <row r="2" spans="1:17" ht="15" customHeight="1" x14ac:dyDescent="0.25">
      <c r="A2" s="3" t="s">
        <v>1201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25"/>
      <c r="N2" s="39"/>
      <c r="O2" s="39"/>
      <c r="P2" s="39"/>
    </row>
    <row r="3" spans="1:17" ht="15" customHeight="1" x14ac:dyDescent="0.25">
      <c r="A3" s="66" t="str">
        <f>'TB YTD'!A2</f>
        <v>(April to Mar)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26"/>
      <c r="N3" s="40"/>
      <c r="O3" s="40"/>
      <c r="P3" s="40"/>
    </row>
    <row r="4" spans="1:17" ht="15" customHeight="1" x14ac:dyDescent="0.25">
      <c r="A4" s="8" t="s">
        <v>1202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25"/>
      <c r="N4" s="39"/>
      <c r="O4" s="39"/>
      <c r="P4" s="39"/>
    </row>
    <row r="5" spans="1:17" x14ac:dyDescent="0.25">
      <c r="A5" s="27"/>
      <c r="B5" s="24">
        <f t="shared" ref="B5:O5" si="0">SUBTOTAL(9,B8:B9)</f>
        <v>25951</v>
      </c>
      <c r="C5" s="24">
        <f t="shared" si="0"/>
        <v>191.61</v>
      </c>
      <c r="D5" s="24">
        <f>SUBTOTAL(9,D8:D9)</f>
        <v>4972396.53</v>
      </c>
      <c r="E5" s="24">
        <f t="shared" si="0"/>
        <v>0</v>
      </c>
      <c r="F5" s="24">
        <f t="shared" si="0"/>
        <v>0</v>
      </c>
      <c r="G5" s="24">
        <f t="shared" si="0"/>
        <v>0</v>
      </c>
      <c r="H5" s="24">
        <f t="shared" si="0"/>
        <v>0</v>
      </c>
      <c r="I5" s="24">
        <f t="shared" si="0"/>
        <v>0</v>
      </c>
      <c r="J5" s="24">
        <f t="shared" si="0"/>
        <v>0</v>
      </c>
      <c r="K5" s="24">
        <f t="shared" si="0"/>
        <v>0</v>
      </c>
      <c r="L5" s="24">
        <f t="shared" si="0"/>
        <v>0</v>
      </c>
      <c r="M5" s="24">
        <f t="shared" si="0"/>
        <v>0</v>
      </c>
      <c r="N5" s="24">
        <f t="shared" si="0"/>
        <v>25951</v>
      </c>
      <c r="O5" s="24">
        <f t="shared" si="0"/>
        <v>191.61</v>
      </c>
      <c r="P5" s="24">
        <f>SUBTOTAL(9,P8:P9)</f>
        <v>4972396.53</v>
      </c>
    </row>
    <row r="6" spans="1:17" x14ac:dyDescent="0.25">
      <c r="A6" s="10" t="s">
        <v>26</v>
      </c>
      <c r="B6" s="223" t="s">
        <v>99</v>
      </c>
      <c r="C6" s="223"/>
      <c r="D6" s="223"/>
      <c r="E6" s="223" t="s">
        <v>1131</v>
      </c>
      <c r="F6" s="223"/>
      <c r="G6" s="223"/>
      <c r="H6" s="224" t="s">
        <v>1132</v>
      </c>
      <c r="I6" s="224"/>
      <c r="J6" s="224"/>
      <c r="K6" s="224"/>
      <c r="L6" s="224"/>
      <c r="M6" s="224"/>
      <c r="N6" s="223" t="s">
        <v>102</v>
      </c>
      <c r="O6" s="223"/>
      <c r="P6" s="223"/>
    </row>
    <row r="7" spans="1:17" x14ac:dyDescent="0.25">
      <c r="A7" s="10" t="s">
        <v>1203</v>
      </c>
      <c r="B7" s="16" t="s">
        <v>1204</v>
      </c>
      <c r="C7" s="16" t="s">
        <v>1205</v>
      </c>
      <c r="D7" s="16" t="s">
        <v>1206</v>
      </c>
      <c r="E7" s="16" t="s">
        <v>1204</v>
      </c>
      <c r="F7" s="16" t="s">
        <v>1205</v>
      </c>
      <c r="G7" s="16" t="s">
        <v>1206</v>
      </c>
      <c r="H7" s="16" t="s">
        <v>1204</v>
      </c>
      <c r="I7" s="16" t="s">
        <v>1205</v>
      </c>
      <c r="J7" s="16" t="s">
        <v>1206</v>
      </c>
      <c r="K7" s="16" t="s">
        <v>1207</v>
      </c>
      <c r="L7" s="16" t="s">
        <v>1208</v>
      </c>
      <c r="M7" s="11" t="s">
        <v>1209</v>
      </c>
      <c r="N7" s="16" t="s">
        <v>1204</v>
      </c>
      <c r="O7" s="16" t="s">
        <v>1205</v>
      </c>
      <c r="P7" s="16" t="s">
        <v>1206</v>
      </c>
    </row>
    <row r="8" spans="1:17" x14ac:dyDescent="0.25">
      <c r="A8" s="146" t="s">
        <v>1200</v>
      </c>
      <c r="B8" s="147">
        <v>25951</v>
      </c>
      <c r="C8" s="148">
        <v>191.61</v>
      </c>
      <c r="D8" s="149">
        <v>4972396.53</v>
      </c>
      <c r="E8" s="147"/>
      <c r="F8" s="148"/>
      <c r="G8" s="150"/>
      <c r="H8" s="147"/>
      <c r="I8" s="148"/>
      <c r="J8" s="150"/>
      <c r="K8" s="150"/>
      <c r="L8" s="150"/>
      <c r="M8" s="150"/>
      <c r="N8" s="147">
        <v>25951</v>
      </c>
      <c r="O8" s="148">
        <v>191.61</v>
      </c>
      <c r="P8" s="149">
        <v>4972396.53</v>
      </c>
      <c r="Q8" s="2"/>
    </row>
    <row r="9" spans="1:17" x14ac:dyDescent="0.25">
      <c r="A9" s="107"/>
      <c r="B9" s="114"/>
      <c r="C9" s="109"/>
      <c r="D9" s="115"/>
      <c r="E9" s="116"/>
      <c r="F9" s="108"/>
      <c r="G9" s="110"/>
      <c r="H9" s="116"/>
      <c r="I9" s="108"/>
      <c r="J9" s="110"/>
      <c r="K9" s="110"/>
      <c r="L9" s="110"/>
      <c r="M9" s="110"/>
      <c r="N9" s="114"/>
      <c r="O9" s="109"/>
      <c r="P9" s="115"/>
      <c r="Q9" s="2"/>
    </row>
    <row r="10" spans="1:17" x14ac:dyDescent="0.25">
      <c r="A10" s="128" t="s">
        <v>22</v>
      </c>
      <c r="B10" s="117">
        <v>7284</v>
      </c>
      <c r="C10" s="118"/>
      <c r="D10" s="119">
        <v>5122389.0199999996</v>
      </c>
      <c r="E10" s="112"/>
      <c r="F10" s="118"/>
      <c r="G10" s="112"/>
      <c r="H10" s="112"/>
      <c r="I10" s="118"/>
      <c r="J10" s="112"/>
      <c r="K10" s="112"/>
      <c r="L10" s="112"/>
      <c r="M10" s="112"/>
      <c r="N10" s="117">
        <v>7284</v>
      </c>
      <c r="O10" s="118"/>
      <c r="P10" s="119">
        <v>5122389.0199999996</v>
      </c>
      <c r="Q10" s="2"/>
    </row>
    <row r="11" spans="1:17" x14ac:dyDescent="0.25">
      <c r="A11" s="107"/>
      <c r="B11" s="114"/>
      <c r="C11" s="109"/>
      <c r="D11" s="115"/>
      <c r="E11" s="116"/>
      <c r="F11" s="108"/>
      <c r="G11" s="110"/>
      <c r="H11" s="116"/>
      <c r="I11" s="108"/>
      <c r="J11" s="110"/>
      <c r="K11" s="110"/>
      <c r="L11" s="110"/>
      <c r="M11" s="110"/>
      <c r="N11" s="114"/>
      <c r="O11" s="109"/>
      <c r="P11" s="115"/>
      <c r="Q11" s="2"/>
    </row>
    <row r="12" spans="1:17" x14ac:dyDescent="0.25">
      <c r="A12" s="107"/>
      <c r="B12" s="114"/>
      <c r="C12" s="109"/>
      <c r="D12" s="115"/>
      <c r="E12" s="116"/>
      <c r="F12" s="108"/>
      <c r="G12" s="110"/>
      <c r="H12" s="116"/>
      <c r="I12" s="108"/>
      <c r="J12" s="110"/>
      <c r="K12" s="110"/>
      <c r="L12" s="110"/>
      <c r="M12" s="110"/>
      <c r="N12" s="114"/>
      <c r="O12" s="109"/>
      <c r="P12" s="115"/>
      <c r="Q12" s="2"/>
    </row>
    <row r="13" spans="1:17" x14ac:dyDescent="0.25">
      <c r="A13" s="107"/>
      <c r="B13" s="114"/>
      <c r="C13" s="109"/>
      <c r="D13" s="115"/>
      <c r="E13" s="116"/>
      <c r="F13" s="108"/>
      <c r="G13" s="110"/>
      <c r="H13" s="116"/>
      <c r="I13" s="108"/>
      <c r="J13" s="110"/>
      <c r="K13" s="110"/>
      <c r="L13" s="110"/>
      <c r="M13" s="110"/>
      <c r="N13" s="114"/>
      <c r="O13" s="109"/>
      <c r="P13" s="115"/>
      <c r="Q13" s="2"/>
    </row>
    <row r="14" spans="1:17" x14ac:dyDescent="0.25">
      <c r="A14" s="107"/>
      <c r="B14" s="114"/>
      <c r="C14" s="109"/>
      <c r="D14" s="115"/>
      <c r="E14" s="116"/>
      <c r="F14" s="108"/>
      <c r="G14" s="110"/>
      <c r="H14" s="116"/>
      <c r="I14" s="108"/>
      <c r="J14" s="110"/>
      <c r="K14" s="110"/>
      <c r="L14" s="110"/>
      <c r="M14" s="110"/>
      <c r="N14" s="114"/>
      <c r="O14" s="109"/>
      <c r="P14" s="115"/>
      <c r="Q14" s="2"/>
    </row>
    <row r="15" spans="1:17" x14ac:dyDescent="0.25">
      <c r="A15" s="107"/>
      <c r="B15" s="114"/>
      <c r="C15" s="109"/>
      <c r="D15" s="115"/>
      <c r="E15" s="116"/>
      <c r="F15" s="108"/>
      <c r="G15" s="110"/>
      <c r="H15" s="116"/>
      <c r="I15" s="108"/>
      <c r="J15" s="110"/>
      <c r="K15" s="110"/>
      <c r="L15" s="110"/>
      <c r="M15" s="110"/>
      <c r="N15" s="114"/>
      <c r="O15" s="109"/>
      <c r="P15" s="115"/>
      <c r="Q15" s="2"/>
    </row>
    <row r="16" spans="1:17" x14ac:dyDescent="0.25">
      <c r="A16" s="107"/>
      <c r="B16" s="114"/>
      <c r="C16" s="109"/>
      <c r="D16" s="115"/>
      <c r="E16" s="116"/>
      <c r="F16" s="108"/>
      <c r="G16" s="110"/>
      <c r="H16" s="116"/>
      <c r="I16" s="108"/>
      <c r="J16" s="110"/>
      <c r="K16" s="110"/>
      <c r="L16" s="110"/>
      <c r="M16" s="110"/>
      <c r="N16" s="114"/>
      <c r="O16" s="109"/>
      <c r="P16" s="115"/>
      <c r="Q16" s="2"/>
    </row>
    <row r="17" spans="1:16" s="2" customFormat="1" x14ac:dyDescent="0.25">
      <c r="A17" s="107"/>
      <c r="B17" s="114"/>
      <c r="C17" s="109"/>
      <c r="D17" s="115"/>
      <c r="E17" s="116"/>
      <c r="F17" s="108"/>
      <c r="G17" s="110"/>
      <c r="H17" s="116"/>
      <c r="I17" s="108"/>
      <c r="J17" s="110"/>
      <c r="K17" s="110"/>
      <c r="L17" s="110"/>
      <c r="M17" s="110"/>
      <c r="N17" s="114"/>
      <c r="O17" s="109"/>
      <c r="P17" s="115"/>
    </row>
    <row r="18" spans="1:16" s="2" customFormat="1" x14ac:dyDescent="0.25">
      <c r="A18" s="107"/>
      <c r="B18" s="114"/>
      <c r="C18" s="109"/>
      <c r="D18" s="115"/>
      <c r="E18" s="116"/>
      <c r="F18" s="108"/>
      <c r="G18" s="110"/>
      <c r="H18" s="116"/>
      <c r="I18" s="108"/>
      <c r="J18" s="110"/>
      <c r="K18" s="110"/>
      <c r="L18" s="110"/>
      <c r="M18" s="110"/>
      <c r="N18" s="114"/>
      <c r="O18" s="109"/>
      <c r="P18" s="115"/>
    </row>
    <row r="19" spans="1:16" s="2" customFormat="1" x14ac:dyDescent="0.25">
      <c r="A19" s="107"/>
      <c r="B19" s="114"/>
      <c r="C19" s="109"/>
      <c r="D19" s="115"/>
      <c r="E19" s="116"/>
      <c r="F19" s="108"/>
      <c r="G19" s="110"/>
      <c r="H19" s="116"/>
      <c r="I19" s="108"/>
      <c r="J19" s="110"/>
      <c r="K19" s="110"/>
      <c r="L19" s="110"/>
      <c r="M19" s="110"/>
      <c r="N19" s="114"/>
      <c r="O19" s="109"/>
      <c r="P19" s="115"/>
    </row>
    <row r="20" spans="1:16" s="2" customFormat="1" x14ac:dyDescent="0.25">
      <c r="A20" s="107"/>
      <c r="B20" s="114"/>
      <c r="C20" s="109"/>
      <c r="D20" s="115"/>
      <c r="E20" s="116"/>
      <c r="F20" s="108"/>
      <c r="G20" s="110"/>
      <c r="H20" s="116"/>
      <c r="I20" s="108"/>
      <c r="J20" s="110"/>
      <c r="K20" s="110"/>
      <c r="L20" s="110"/>
      <c r="M20" s="110"/>
      <c r="N20" s="114"/>
      <c r="O20" s="109"/>
      <c r="P20" s="115"/>
    </row>
    <row r="21" spans="1:16" s="2" customFormat="1" x14ac:dyDescent="0.25">
      <c r="A21" s="107"/>
      <c r="B21" s="114"/>
      <c r="C21" s="109"/>
      <c r="D21" s="115"/>
      <c r="E21" s="116"/>
      <c r="F21" s="108"/>
      <c r="G21" s="110"/>
      <c r="H21" s="116"/>
      <c r="I21" s="108"/>
      <c r="J21" s="110"/>
      <c r="K21" s="110"/>
      <c r="L21" s="110"/>
      <c r="M21" s="110"/>
      <c r="N21" s="114"/>
      <c r="O21" s="109"/>
      <c r="P21" s="115"/>
    </row>
    <row r="22" spans="1:16" s="2" customFormat="1" x14ac:dyDescent="0.25">
      <c r="A22" s="107"/>
      <c r="B22" s="114"/>
      <c r="C22" s="109"/>
      <c r="D22" s="115"/>
      <c r="E22" s="116"/>
      <c r="F22" s="108"/>
      <c r="G22" s="110"/>
      <c r="H22" s="116"/>
      <c r="I22" s="108"/>
      <c r="J22" s="110"/>
      <c r="K22" s="110"/>
      <c r="L22" s="110"/>
      <c r="M22" s="110"/>
      <c r="N22" s="114"/>
      <c r="O22" s="109"/>
      <c r="P22" s="115"/>
    </row>
    <row r="23" spans="1:16" s="2" customFormat="1" x14ac:dyDescent="0.25">
      <c r="A23" s="107"/>
      <c r="B23" s="114"/>
      <c r="C23" s="109"/>
      <c r="D23" s="115"/>
      <c r="E23" s="116"/>
      <c r="F23" s="108"/>
      <c r="G23" s="110"/>
      <c r="H23" s="116"/>
      <c r="I23" s="108"/>
      <c r="J23" s="110"/>
      <c r="K23" s="110"/>
      <c r="L23" s="110"/>
      <c r="M23" s="110"/>
      <c r="N23" s="114"/>
      <c r="O23" s="109"/>
      <c r="P23" s="115"/>
    </row>
    <row r="24" spans="1:16" s="2" customFormat="1" x14ac:dyDescent="0.25">
      <c r="A24" s="107"/>
      <c r="B24" s="114"/>
      <c r="C24" s="109"/>
      <c r="D24" s="115"/>
      <c r="E24" s="116"/>
      <c r="F24" s="108"/>
      <c r="G24" s="110"/>
      <c r="H24" s="116"/>
      <c r="I24" s="108"/>
      <c r="J24" s="110"/>
      <c r="K24" s="110"/>
      <c r="L24" s="110"/>
      <c r="M24" s="110"/>
      <c r="N24" s="114"/>
      <c r="O24" s="109"/>
      <c r="P24" s="115"/>
    </row>
    <row r="25" spans="1:16" s="2" customFormat="1" x14ac:dyDescent="0.25">
      <c r="A25" s="107"/>
      <c r="B25" s="114"/>
      <c r="C25" s="109"/>
      <c r="D25" s="115"/>
      <c r="E25" s="116"/>
      <c r="F25" s="108"/>
      <c r="G25" s="110"/>
      <c r="H25" s="116"/>
      <c r="I25" s="108"/>
      <c r="J25" s="110"/>
      <c r="K25" s="110"/>
      <c r="L25" s="110"/>
      <c r="M25" s="110"/>
      <c r="N25" s="114"/>
      <c r="O25" s="109"/>
      <c r="P25" s="115"/>
    </row>
    <row r="26" spans="1:16" s="2" customFormat="1" x14ac:dyDescent="0.25">
      <c r="A26" s="107"/>
      <c r="B26" s="114"/>
      <c r="C26" s="109"/>
      <c r="D26" s="115"/>
      <c r="E26" s="116"/>
      <c r="F26" s="108"/>
      <c r="G26" s="110"/>
      <c r="H26" s="116"/>
      <c r="I26" s="108"/>
      <c r="J26" s="110"/>
      <c r="K26" s="110"/>
      <c r="L26" s="110"/>
      <c r="M26" s="110"/>
      <c r="N26" s="114"/>
      <c r="O26" s="109"/>
      <c r="P26" s="115"/>
    </row>
    <row r="27" spans="1:16" s="2" customFormat="1" x14ac:dyDescent="0.25">
      <c r="A27" s="107"/>
      <c r="B27" s="114"/>
      <c r="C27" s="109"/>
      <c r="D27" s="115"/>
      <c r="E27" s="116"/>
      <c r="F27" s="108"/>
      <c r="G27" s="110"/>
      <c r="H27" s="116"/>
      <c r="I27" s="108"/>
      <c r="J27" s="110"/>
      <c r="K27" s="110"/>
      <c r="L27" s="110"/>
      <c r="M27" s="110"/>
      <c r="N27" s="114"/>
      <c r="O27" s="109"/>
      <c r="P27" s="115"/>
    </row>
    <row r="28" spans="1:16" s="2" customFormat="1" x14ac:dyDescent="0.25">
      <c r="A28" s="107"/>
      <c r="B28" s="114"/>
      <c r="C28" s="109"/>
      <c r="D28" s="115"/>
      <c r="E28" s="116"/>
      <c r="F28" s="108"/>
      <c r="G28" s="110"/>
      <c r="H28" s="116"/>
      <c r="I28" s="108"/>
      <c r="J28" s="110"/>
      <c r="K28" s="110"/>
      <c r="L28" s="110"/>
      <c r="M28" s="110"/>
      <c r="N28" s="114"/>
      <c r="O28" s="109"/>
      <c r="P28" s="115"/>
    </row>
    <row r="29" spans="1:16" s="2" customFormat="1" x14ac:dyDescent="0.25">
      <c r="A29" s="107"/>
      <c r="B29" s="114"/>
      <c r="C29" s="109"/>
      <c r="D29" s="115"/>
      <c r="E29" s="116"/>
      <c r="F29" s="108"/>
      <c r="G29" s="110"/>
      <c r="H29" s="116"/>
      <c r="I29" s="108"/>
      <c r="J29" s="110"/>
      <c r="K29" s="110"/>
      <c r="L29" s="110"/>
      <c r="M29" s="110"/>
      <c r="N29" s="114"/>
      <c r="O29" s="109"/>
      <c r="P29" s="115"/>
    </row>
    <row r="30" spans="1:16" s="2" customFormat="1" x14ac:dyDescent="0.25">
      <c r="A30" s="107"/>
      <c r="B30" s="114"/>
      <c r="C30" s="109"/>
      <c r="D30" s="115"/>
      <c r="E30" s="116"/>
      <c r="F30" s="108"/>
      <c r="G30" s="110"/>
      <c r="H30" s="116"/>
      <c r="I30" s="108"/>
      <c r="J30" s="110"/>
      <c r="K30" s="110"/>
      <c r="L30" s="110"/>
      <c r="M30" s="110"/>
      <c r="N30" s="114"/>
      <c r="O30" s="109"/>
      <c r="P30" s="115"/>
    </row>
    <row r="31" spans="1:16" s="2" customFormat="1" x14ac:dyDescent="0.25">
      <c r="A31" s="107"/>
      <c r="B31" s="114"/>
      <c r="C31" s="109"/>
      <c r="D31" s="115"/>
      <c r="E31" s="116"/>
      <c r="F31" s="108"/>
      <c r="G31" s="110"/>
      <c r="H31" s="116"/>
      <c r="I31" s="108"/>
      <c r="J31" s="110"/>
      <c r="K31" s="110"/>
      <c r="L31" s="110"/>
      <c r="M31" s="110"/>
      <c r="N31" s="114"/>
      <c r="O31" s="109"/>
      <c r="P31" s="115"/>
    </row>
    <row r="32" spans="1:16" s="2" customFormat="1" x14ac:dyDescent="0.25">
      <c r="A32" s="107"/>
      <c r="B32" s="114"/>
      <c r="C32" s="109"/>
      <c r="D32" s="115"/>
      <c r="E32" s="116"/>
      <c r="F32" s="108"/>
      <c r="G32" s="110"/>
      <c r="H32" s="116"/>
      <c r="I32" s="108"/>
      <c r="J32" s="110"/>
      <c r="K32" s="110"/>
      <c r="L32" s="110"/>
      <c r="M32" s="110"/>
      <c r="N32" s="114"/>
      <c r="O32" s="109"/>
      <c r="P32" s="115"/>
    </row>
    <row r="33" spans="1:16" s="2" customFormat="1" x14ac:dyDescent="0.25">
      <c r="A33" s="107"/>
      <c r="B33" s="114"/>
      <c r="C33" s="109"/>
      <c r="D33" s="115"/>
      <c r="E33" s="116"/>
      <c r="F33" s="108"/>
      <c r="G33" s="110"/>
      <c r="H33" s="116"/>
      <c r="I33" s="108"/>
      <c r="J33" s="110"/>
      <c r="K33" s="110"/>
      <c r="L33" s="110"/>
      <c r="M33" s="110"/>
      <c r="N33" s="114"/>
      <c r="O33" s="109"/>
      <c r="P33" s="115"/>
    </row>
    <row r="34" spans="1:16" s="2" customFormat="1" x14ac:dyDescent="0.25">
      <c r="A34" s="107"/>
      <c r="B34" s="114"/>
      <c r="C34" s="109"/>
      <c r="D34" s="115"/>
      <c r="E34" s="116"/>
      <c r="F34" s="108"/>
      <c r="G34" s="110"/>
      <c r="H34" s="116"/>
      <c r="I34" s="108"/>
      <c r="J34" s="110"/>
      <c r="K34" s="110"/>
      <c r="L34" s="110"/>
      <c r="M34" s="110"/>
      <c r="N34" s="114"/>
      <c r="O34" s="109"/>
      <c r="P34" s="115"/>
    </row>
    <row r="35" spans="1:16" s="2" customFormat="1" x14ac:dyDescent="0.25">
      <c r="A35" s="107"/>
      <c r="B35" s="114"/>
      <c r="C35" s="109"/>
      <c r="D35" s="115"/>
      <c r="E35" s="116"/>
      <c r="F35" s="108"/>
      <c r="G35" s="110"/>
      <c r="H35" s="116"/>
      <c r="I35" s="108"/>
      <c r="J35" s="110"/>
      <c r="K35" s="110"/>
      <c r="L35" s="110"/>
      <c r="M35" s="110"/>
      <c r="N35" s="114"/>
      <c r="O35" s="109"/>
      <c r="P35" s="115"/>
    </row>
    <row r="36" spans="1:16" s="2" customFormat="1" x14ac:dyDescent="0.25">
      <c r="A36" s="107"/>
      <c r="B36" s="114"/>
      <c r="C36" s="109"/>
      <c r="D36" s="115"/>
      <c r="E36" s="116"/>
      <c r="F36" s="108"/>
      <c r="G36" s="110"/>
      <c r="H36" s="116"/>
      <c r="I36" s="108"/>
      <c r="J36" s="110"/>
      <c r="K36" s="110"/>
      <c r="L36" s="110"/>
      <c r="M36" s="110"/>
      <c r="N36" s="114"/>
      <c r="O36" s="109"/>
      <c r="P36" s="115"/>
    </row>
    <row r="37" spans="1:16" s="2" customFormat="1" x14ac:dyDescent="0.25">
      <c r="A37" s="107"/>
      <c r="B37" s="114"/>
      <c r="C37" s="109"/>
      <c r="D37" s="115"/>
      <c r="E37" s="116"/>
      <c r="F37" s="108"/>
      <c r="G37" s="110"/>
      <c r="H37" s="116"/>
      <c r="I37" s="108"/>
      <c r="J37" s="110"/>
      <c r="K37" s="110"/>
      <c r="L37" s="110"/>
      <c r="M37" s="110"/>
      <c r="N37" s="114"/>
      <c r="O37" s="109"/>
      <c r="P37" s="115"/>
    </row>
    <row r="38" spans="1:16" s="2" customFormat="1" x14ac:dyDescent="0.25">
      <c r="A38" s="128"/>
      <c r="B38" s="117"/>
      <c r="C38" s="118"/>
      <c r="D38" s="119"/>
      <c r="E38" s="112"/>
      <c r="F38" s="118"/>
      <c r="G38" s="112"/>
      <c r="H38" s="112"/>
      <c r="I38" s="118"/>
      <c r="J38" s="112"/>
      <c r="K38" s="112"/>
      <c r="L38" s="112"/>
      <c r="M38" s="112"/>
      <c r="N38" s="117"/>
      <c r="O38" s="118"/>
      <c r="P38" s="119"/>
    </row>
    <row r="39" spans="1:16" s="2" customFormat="1" x14ac:dyDescent="0.25">
      <c r="A39" s="107"/>
      <c r="B39" s="114"/>
      <c r="C39" s="109"/>
      <c r="D39" s="115"/>
      <c r="E39" s="116"/>
      <c r="F39" s="108"/>
      <c r="G39" s="110"/>
      <c r="H39" s="116"/>
      <c r="I39" s="108"/>
      <c r="J39" s="110"/>
      <c r="K39" s="114"/>
      <c r="L39" s="109"/>
      <c r="M39" s="115"/>
      <c r="N39" s="114"/>
      <c r="O39" s="109"/>
      <c r="P39" s="115"/>
    </row>
    <row r="40" spans="1:16" s="2" customFormat="1" x14ac:dyDescent="0.25">
      <c r="A40" s="107"/>
      <c r="B40" s="116"/>
      <c r="C40" s="108"/>
      <c r="D40" s="110"/>
      <c r="E40" s="116"/>
      <c r="F40" s="108"/>
      <c r="G40" s="110"/>
      <c r="H40" s="116"/>
      <c r="I40" s="108"/>
      <c r="J40" s="110"/>
      <c r="K40" s="116"/>
      <c r="L40" s="108"/>
      <c r="M40" s="110"/>
      <c r="N40" s="116"/>
      <c r="O40" s="108"/>
      <c r="P40" s="110"/>
    </row>
    <row r="41" spans="1:16" s="2" customFormat="1" x14ac:dyDescent="0.25">
      <c r="A41" s="107"/>
      <c r="B41" s="114"/>
      <c r="C41" s="109"/>
      <c r="D41" s="115"/>
      <c r="E41" s="116"/>
      <c r="F41" s="108"/>
      <c r="G41" s="110"/>
      <c r="H41" s="116"/>
      <c r="I41" s="108"/>
      <c r="J41" s="110"/>
      <c r="K41" s="114"/>
      <c r="L41" s="109"/>
      <c r="M41" s="115"/>
      <c r="N41" s="114"/>
      <c r="O41" s="109"/>
      <c r="P41" s="115"/>
    </row>
    <row r="42" spans="1:16" s="2" customFormat="1" x14ac:dyDescent="0.25">
      <c r="A42" s="107"/>
      <c r="B42" s="114"/>
      <c r="C42" s="109"/>
      <c r="D42" s="115"/>
      <c r="E42" s="116"/>
      <c r="F42" s="108"/>
      <c r="G42" s="110"/>
      <c r="H42" s="116"/>
      <c r="I42" s="108"/>
      <c r="J42" s="110"/>
      <c r="K42" s="114"/>
      <c r="L42" s="109"/>
      <c r="M42" s="115"/>
      <c r="N42" s="114"/>
      <c r="O42" s="109"/>
      <c r="P42" s="115"/>
    </row>
    <row r="43" spans="1:16" s="2" customFormat="1" x14ac:dyDescent="0.25">
      <c r="A43" s="107"/>
      <c r="B43" s="116"/>
      <c r="C43" s="108"/>
      <c r="D43" s="110"/>
      <c r="E43" s="116"/>
      <c r="F43" s="108"/>
      <c r="G43" s="110"/>
      <c r="H43" s="116"/>
      <c r="I43" s="108"/>
      <c r="J43" s="110"/>
      <c r="K43" s="116"/>
      <c r="L43" s="108"/>
      <c r="M43" s="110"/>
      <c r="N43" s="116"/>
      <c r="O43" s="108"/>
      <c r="P43" s="110"/>
    </row>
    <row r="44" spans="1:16" s="2" customFormat="1" x14ac:dyDescent="0.25">
      <c r="A44" s="107"/>
      <c r="B44" s="114"/>
      <c r="C44" s="109"/>
      <c r="D44" s="115"/>
      <c r="E44" s="116"/>
      <c r="F44" s="108"/>
      <c r="G44" s="110"/>
      <c r="H44" s="116"/>
      <c r="I44" s="108"/>
      <c r="J44" s="110"/>
      <c r="K44" s="114"/>
      <c r="L44" s="109"/>
      <c r="M44" s="115"/>
      <c r="N44" s="114"/>
      <c r="O44" s="109"/>
      <c r="P44" s="115"/>
    </row>
    <row r="45" spans="1:16" s="2" customFormat="1" x14ac:dyDescent="0.25">
      <c r="A45" s="107"/>
      <c r="B45" s="114"/>
      <c r="C45" s="109"/>
      <c r="D45" s="115"/>
      <c r="E45" s="116"/>
      <c r="F45" s="108"/>
      <c r="G45" s="110"/>
      <c r="H45" s="116"/>
      <c r="I45" s="108"/>
      <c r="J45" s="110"/>
      <c r="K45" s="114"/>
      <c r="L45" s="109"/>
      <c r="M45" s="115"/>
      <c r="N45" s="114"/>
      <c r="O45" s="109"/>
      <c r="P45" s="115"/>
    </row>
    <row r="46" spans="1:16" s="2" customFormat="1" x14ac:dyDescent="0.25">
      <c r="A46" s="107"/>
      <c r="B46" s="114"/>
      <c r="C46" s="109"/>
      <c r="D46" s="115"/>
      <c r="E46" s="116"/>
      <c r="F46" s="108"/>
      <c r="G46" s="110"/>
      <c r="H46" s="116"/>
      <c r="I46" s="108"/>
      <c r="J46" s="110"/>
      <c r="K46" s="114"/>
      <c r="L46" s="109"/>
      <c r="M46" s="115"/>
      <c r="N46" s="114"/>
      <c r="O46" s="109"/>
      <c r="P46" s="115"/>
    </row>
    <row r="47" spans="1:16" s="2" customFormat="1" x14ac:dyDescent="0.25">
      <c r="A47" s="107"/>
      <c r="B47" s="114"/>
      <c r="C47" s="109"/>
      <c r="D47" s="115"/>
      <c r="E47" s="116"/>
      <c r="F47" s="108"/>
      <c r="G47" s="110"/>
      <c r="H47" s="116"/>
      <c r="I47" s="108"/>
      <c r="J47" s="110"/>
      <c r="K47" s="114"/>
      <c r="L47" s="109"/>
      <c r="M47" s="115"/>
      <c r="N47" s="114"/>
      <c r="O47" s="109"/>
      <c r="P47" s="115"/>
    </row>
    <row r="48" spans="1:16" s="2" customFormat="1" x14ac:dyDescent="0.25">
      <c r="A48" s="107"/>
      <c r="B48" s="114"/>
      <c r="C48" s="109"/>
      <c r="D48" s="115"/>
      <c r="E48" s="116"/>
      <c r="F48" s="108"/>
      <c r="G48" s="110"/>
      <c r="H48" s="116"/>
      <c r="I48" s="108"/>
      <c r="J48" s="110"/>
      <c r="K48" s="114"/>
      <c r="L48" s="109"/>
      <c r="M48" s="115"/>
      <c r="N48" s="114"/>
      <c r="O48" s="109"/>
      <c r="P48" s="115"/>
    </row>
    <row r="49" spans="1:16" s="2" customFormat="1" x14ac:dyDescent="0.25">
      <c r="A49" s="111"/>
      <c r="B49" s="117"/>
      <c r="C49" s="118"/>
      <c r="D49" s="119"/>
      <c r="E49" s="112"/>
      <c r="F49" s="118"/>
      <c r="G49" s="112"/>
      <c r="H49" s="112"/>
      <c r="I49" s="118"/>
      <c r="J49" s="112"/>
      <c r="K49" s="117"/>
      <c r="L49" s="118"/>
      <c r="M49" s="119"/>
      <c r="N49" s="117"/>
      <c r="O49" s="118"/>
      <c r="P49" s="119"/>
    </row>
  </sheetData>
  <mergeCells count="4">
    <mergeCell ref="B6:D6"/>
    <mergeCell ref="E6:G6"/>
    <mergeCell ref="H6:M6"/>
    <mergeCell ref="N6:P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8"/>
  <sheetViews>
    <sheetView topLeftCell="A5" workbookViewId="0">
      <pane ySplit="3" topLeftCell="A8" activePane="bottomLeft" state="frozen"/>
      <selection activeCell="P13" sqref="P13"/>
      <selection pane="bottomLeft" activeCell="J13" sqref="J13"/>
    </sheetView>
  </sheetViews>
  <sheetFormatPr defaultColWidth="9.42578125" defaultRowHeight="15" x14ac:dyDescent="0.25"/>
  <cols>
    <col min="1" max="1" width="46.5703125" style="2" bestFit="1" customWidth="1"/>
    <col min="2" max="2" width="10.42578125" style="18" bestFit="1" customWidth="1"/>
    <col min="3" max="3" width="7.5703125" style="18" bestFit="1" customWidth="1"/>
    <col min="4" max="4" width="12.5703125" style="18" bestFit="1" customWidth="1"/>
    <col min="5" max="5" width="9.42578125" style="18" bestFit="1" customWidth="1"/>
    <col min="6" max="6" width="5.5703125" style="18" bestFit="1" customWidth="1"/>
    <col min="7" max="7" width="6.5703125" style="18" bestFit="1" customWidth="1"/>
    <col min="8" max="8" width="9.42578125" style="24" bestFit="1" customWidth="1"/>
    <col min="9" max="9" width="5.5703125" style="24" bestFit="1" customWidth="1"/>
    <col min="10" max="10" width="6.5703125" style="24" bestFit="1" customWidth="1"/>
    <col min="11" max="11" width="13.42578125" style="24" bestFit="1" customWidth="1"/>
    <col min="12" max="12" width="12.42578125" style="24" bestFit="1" customWidth="1"/>
    <col min="13" max="13" width="8.42578125" style="18" bestFit="1" customWidth="1"/>
    <col min="14" max="14" width="10.42578125" style="24" bestFit="1" customWidth="1"/>
    <col min="15" max="15" width="7.5703125" style="24" bestFit="1" customWidth="1"/>
    <col min="16" max="16" width="12.5703125" style="24" bestFit="1" customWidth="1"/>
    <col min="17" max="17" width="9.42578125" style="18"/>
    <col min="18" max="18" width="12.5703125" style="2" bestFit="1" customWidth="1"/>
    <col min="19" max="16384" width="9.42578125" style="2"/>
  </cols>
  <sheetData>
    <row r="1" spans="1:18" x14ac:dyDescent="0.25">
      <c r="A1" s="8" t="s">
        <v>1200</v>
      </c>
    </row>
    <row r="2" spans="1:18" ht="15" customHeight="1" x14ac:dyDescent="0.25">
      <c r="A2" s="3" t="s">
        <v>1201</v>
      </c>
      <c r="C2" s="25"/>
      <c r="D2" s="25"/>
      <c r="E2" s="25"/>
      <c r="F2" s="25"/>
      <c r="G2" s="25"/>
      <c r="H2" s="39"/>
      <c r="I2" s="39"/>
      <c r="J2" s="39"/>
      <c r="K2" s="39"/>
      <c r="L2" s="39"/>
      <c r="M2" s="25"/>
      <c r="N2" s="39"/>
      <c r="O2" s="39"/>
      <c r="P2" s="39"/>
    </row>
    <row r="3" spans="1:18" ht="15" customHeight="1" x14ac:dyDescent="0.25">
      <c r="A3" s="8" t="s">
        <v>1210</v>
      </c>
      <c r="C3" s="26"/>
      <c r="D3" s="26"/>
      <c r="E3" s="26"/>
      <c r="F3" s="26"/>
      <c r="G3" s="26"/>
      <c r="H3" s="40"/>
      <c r="I3" s="40"/>
      <c r="J3" s="40"/>
      <c r="K3" s="40"/>
      <c r="L3" s="40"/>
      <c r="M3" s="26"/>
      <c r="N3" s="40"/>
      <c r="O3" s="40"/>
      <c r="P3" s="40"/>
    </row>
    <row r="4" spans="1:18" ht="15" customHeight="1" x14ac:dyDescent="0.25">
      <c r="A4" s="8" t="s">
        <v>1202</v>
      </c>
      <c r="C4" s="25"/>
      <c r="D4" s="25"/>
      <c r="E4" s="25"/>
      <c r="F4" s="25"/>
      <c r="G4" s="25"/>
      <c r="H4" s="39"/>
      <c r="I4" s="39"/>
      <c r="J4" s="39"/>
      <c r="K4" s="39"/>
      <c r="L4" s="39"/>
      <c r="M4" s="25"/>
      <c r="N4" s="39"/>
      <c r="O4" s="39"/>
      <c r="P4" s="39"/>
    </row>
    <row r="5" spans="1:18" x14ac:dyDescent="0.25">
      <c r="A5" s="27" t="str">
        <f>'List of Ledgers '!A3</f>
        <v>Mar'26</v>
      </c>
      <c r="B5" s="18">
        <f>SUBTOTAL(9,B8:B8)</f>
        <v>25951</v>
      </c>
      <c r="C5" s="18">
        <f>SUBTOTAL(9,C8:C8)</f>
        <v>191.61</v>
      </c>
      <c r="D5" s="18">
        <f>SUBTOTAL(9,D8:D8)</f>
        <v>4972396.53</v>
      </c>
      <c r="E5" s="18">
        <f t="shared" ref="E5:P5" si="0">SUBTOTAL(9,E8:E8)</f>
        <v>0</v>
      </c>
      <c r="F5" s="18">
        <f t="shared" si="0"/>
        <v>0</v>
      </c>
      <c r="G5" s="18">
        <f t="shared" si="0"/>
        <v>0</v>
      </c>
      <c r="H5" s="18">
        <f t="shared" si="0"/>
        <v>0</v>
      </c>
      <c r="I5" s="18">
        <f t="shared" si="0"/>
        <v>0</v>
      </c>
      <c r="J5" s="18">
        <f t="shared" si="0"/>
        <v>0</v>
      </c>
      <c r="K5" s="18">
        <f t="shared" si="0"/>
        <v>0</v>
      </c>
      <c r="L5" s="18">
        <f t="shared" si="0"/>
        <v>0</v>
      </c>
      <c r="M5" s="18">
        <f t="shared" si="0"/>
        <v>0</v>
      </c>
      <c r="N5" s="18">
        <f>SUBTOTAL(9,N8:N8)</f>
        <v>25951</v>
      </c>
      <c r="O5" s="18">
        <f>SUBTOTAL(9,O8:O8)</f>
        <v>191.61</v>
      </c>
      <c r="P5" s="18">
        <f t="shared" si="0"/>
        <v>4972396.53</v>
      </c>
      <c r="R5" s="50">
        <f>D5+G5-P5</f>
        <v>0</v>
      </c>
    </row>
    <row r="6" spans="1:18" x14ac:dyDescent="0.25">
      <c r="A6" s="10" t="s">
        <v>26</v>
      </c>
      <c r="B6" s="224" t="s">
        <v>99</v>
      </c>
      <c r="C6" s="224"/>
      <c r="D6" s="224"/>
      <c r="E6" s="224" t="s">
        <v>1131</v>
      </c>
      <c r="F6" s="224"/>
      <c r="G6" s="224"/>
      <c r="H6" s="224" t="s">
        <v>1132</v>
      </c>
      <c r="I6" s="224"/>
      <c r="J6" s="224"/>
      <c r="K6" s="224"/>
      <c r="L6" s="224"/>
      <c r="M6" s="224"/>
      <c r="N6" s="223" t="s">
        <v>102</v>
      </c>
      <c r="O6" s="223"/>
      <c r="P6" s="223"/>
    </row>
    <row r="7" spans="1:18" x14ac:dyDescent="0.25">
      <c r="A7" s="10" t="s">
        <v>1203</v>
      </c>
      <c r="B7" s="11" t="s">
        <v>1204</v>
      </c>
      <c r="C7" s="11" t="s">
        <v>1205</v>
      </c>
      <c r="D7" s="11" t="s">
        <v>1206</v>
      </c>
      <c r="E7" s="11" t="s">
        <v>1204</v>
      </c>
      <c r="F7" s="11" t="s">
        <v>1205</v>
      </c>
      <c r="G7" s="11" t="s">
        <v>1206</v>
      </c>
      <c r="H7" s="16" t="s">
        <v>1204</v>
      </c>
      <c r="I7" s="16" t="s">
        <v>1205</v>
      </c>
      <c r="J7" s="16" t="s">
        <v>1206</v>
      </c>
      <c r="K7" s="16" t="s">
        <v>1207</v>
      </c>
      <c r="L7" s="16" t="s">
        <v>1208</v>
      </c>
      <c r="M7" s="11" t="s">
        <v>1209</v>
      </c>
      <c r="N7" s="16" t="s">
        <v>1204</v>
      </c>
      <c r="O7" s="16" t="s">
        <v>1205</v>
      </c>
      <c r="P7" s="16" t="s">
        <v>1206</v>
      </c>
    </row>
    <row r="8" spans="1:18" customFormat="1" x14ac:dyDescent="0.25">
      <c r="A8" s="146" t="s">
        <v>1200</v>
      </c>
      <c r="B8" s="173">
        <v>25951</v>
      </c>
      <c r="C8" s="174">
        <v>191.61</v>
      </c>
      <c r="D8" s="149">
        <v>4972396.53</v>
      </c>
      <c r="E8" s="147"/>
      <c r="F8" s="148"/>
      <c r="G8" s="150"/>
      <c r="H8" s="147"/>
      <c r="I8" s="148"/>
      <c r="J8" s="150"/>
      <c r="K8" s="24"/>
      <c r="L8" s="24"/>
      <c r="M8" s="18"/>
      <c r="N8" s="173">
        <v>25951</v>
      </c>
      <c r="O8" s="174">
        <v>191.61</v>
      </c>
      <c r="P8" s="149">
        <v>4972396.53</v>
      </c>
    </row>
    <row r="9" spans="1:18" customFormat="1" x14ac:dyDescent="0.25">
      <c r="A9" s="161" t="s">
        <v>22</v>
      </c>
      <c r="B9" s="117">
        <v>25951</v>
      </c>
      <c r="C9" s="118"/>
      <c r="D9" s="119">
        <v>4972396.53</v>
      </c>
      <c r="E9" s="112"/>
      <c r="F9" s="118"/>
      <c r="G9" s="112"/>
      <c r="H9" s="112"/>
      <c r="I9" s="118"/>
      <c r="J9" s="112"/>
      <c r="K9" s="118"/>
      <c r="L9" s="118"/>
      <c r="M9" s="118"/>
      <c r="N9" s="117">
        <v>25951</v>
      </c>
      <c r="O9" s="118"/>
      <c r="P9" s="119">
        <v>4972396.53</v>
      </c>
    </row>
    <row r="10" spans="1:18" customFormat="1" x14ac:dyDescent="0.25">
      <c r="A10" s="107"/>
      <c r="B10" s="114"/>
      <c r="C10" s="109"/>
      <c r="D10" s="115"/>
      <c r="E10" s="116"/>
      <c r="F10" s="108"/>
      <c r="G10" s="110"/>
      <c r="H10" s="116"/>
      <c r="I10" s="108"/>
      <c r="J10" s="110"/>
      <c r="K10" s="110"/>
      <c r="L10" s="110"/>
      <c r="M10" s="110"/>
      <c r="N10" s="114"/>
      <c r="O10" s="109"/>
      <c r="P10" s="115"/>
    </row>
    <row r="11" spans="1:18" customFormat="1" x14ac:dyDescent="0.25">
      <c r="A11" s="107"/>
      <c r="B11" s="114"/>
      <c r="C11" s="109"/>
      <c r="D11" s="115"/>
      <c r="E11" s="116"/>
      <c r="F11" s="108"/>
      <c r="G11" s="110"/>
      <c r="H11" s="116"/>
      <c r="I11" s="108"/>
      <c r="J11" s="110"/>
      <c r="K11" s="110"/>
      <c r="L11" s="110"/>
      <c r="M11" s="110"/>
      <c r="N11" s="114"/>
      <c r="O11" s="109"/>
      <c r="P11" s="115"/>
    </row>
    <row r="12" spans="1:18" customFormat="1" x14ac:dyDescent="0.25">
      <c r="A12" s="107"/>
      <c r="B12" s="114"/>
      <c r="C12" s="109"/>
      <c r="D12" s="115"/>
      <c r="E12" s="116"/>
      <c r="F12" s="108"/>
      <c r="G12" s="110"/>
      <c r="H12" s="116"/>
      <c r="I12" s="108"/>
      <c r="J12" s="110"/>
      <c r="K12" s="110"/>
      <c r="L12" s="110"/>
      <c r="M12" s="110"/>
      <c r="N12" s="114"/>
      <c r="O12" s="109"/>
      <c r="P12" s="115"/>
    </row>
    <row r="13" spans="1:18" customFormat="1" x14ac:dyDescent="0.25">
      <c r="A13" s="107"/>
      <c r="B13" s="114"/>
      <c r="C13" s="109"/>
      <c r="D13" s="115"/>
      <c r="E13" s="116"/>
      <c r="F13" s="108"/>
      <c r="G13" s="110"/>
      <c r="H13" s="116"/>
      <c r="I13" s="108"/>
      <c r="J13" s="110"/>
      <c r="K13" s="110"/>
      <c r="L13" s="110"/>
      <c r="M13" s="110"/>
      <c r="N13" s="114"/>
      <c r="O13" s="109"/>
      <c r="P13" s="115"/>
    </row>
    <row r="14" spans="1:18" customFormat="1" x14ac:dyDescent="0.25">
      <c r="A14" s="107"/>
      <c r="B14" s="114"/>
      <c r="C14" s="109"/>
      <c r="D14" s="115"/>
      <c r="E14" s="116"/>
      <c r="F14" s="108"/>
      <c r="G14" s="110"/>
      <c r="H14" s="116"/>
      <c r="I14" s="108"/>
      <c r="J14" s="110"/>
      <c r="K14" s="110"/>
      <c r="L14" s="110"/>
      <c r="M14" s="110"/>
      <c r="N14" s="114"/>
      <c r="O14" s="109"/>
      <c r="P14" s="115"/>
    </row>
    <row r="15" spans="1:18" customFormat="1" x14ac:dyDescent="0.25">
      <c r="A15" s="107"/>
      <c r="B15" s="114"/>
      <c r="C15" s="109"/>
      <c r="D15" s="115"/>
      <c r="E15" s="116"/>
      <c r="F15" s="108"/>
      <c r="G15" s="110"/>
      <c r="H15" s="116"/>
      <c r="I15" s="108"/>
      <c r="J15" s="110"/>
      <c r="K15" s="110"/>
      <c r="L15" s="110"/>
      <c r="M15" s="110"/>
      <c r="N15" s="114"/>
      <c r="O15" s="109"/>
      <c r="P15" s="115"/>
    </row>
    <row r="16" spans="1:18" customFormat="1" x14ac:dyDescent="0.25">
      <c r="A16" s="107"/>
      <c r="B16" s="114"/>
      <c r="C16" s="109"/>
      <c r="D16" s="115"/>
      <c r="E16" s="116"/>
      <c r="F16" s="108"/>
      <c r="G16" s="110"/>
      <c r="H16" s="116"/>
      <c r="I16" s="108"/>
      <c r="J16" s="110"/>
      <c r="K16" s="110"/>
      <c r="L16" s="110"/>
      <c r="M16" s="110"/>
      <c r="N16" s="114"/>
      <c r="O16" s="109"/>
      <c r="P16" s="115"/>
    </row>
    <row r="17" spans="1:16" customFormat="1" x14ac:dyDescent="0.25">
      <c r="A17" s="107"/>
      <c r="B17" s="114"/>
      <c r="C17" s="109"/>
      <c r="D17" s="115"/>
      <c r="E17" s="116"/>
      <c r="F17" s="108"/>
      <c r="G17" s="110"/>
      <c r="H17" s="116"/>
      <c r="I17" s="108"/>
      <c r="J17" s="110"/>
      <c r="K17" s="110"/>
      <c r="L17" s="110"/>
      <c r="M17" s="110"/>
      <c r="N17" s="114"/>
      <c r="O17" s="109"/>
      <c r="P17" s="115"/>
    </row>
    <row r="18" spans="1:16" customFormat="1" x14ac:dyDescent="0.25">
      <c r="A18" s="107"/>
      <c r="B18" s="114"/>
      <c r="C18" s="109"/>
      <c r="D18" s="115"/>
      <c r="E18" s="116"/>
      <c r="F18" s="108"/>
      <c r="G18" s="110"/>
      <c r="H18" s="116"/>
      <c r="I18" s="108"/>
      <c r="J18" s="110"/>
      <c r="K18" s="110"/>
      <c r="L18" s="110"/>
      <c r="M18" s="110"/>
      <c r="N18" s="114"/>
      <c r="O18" s="109"/>
      <c r="P18" s="115"/>
    </row>
    <row r="19" spans="1:16" customFormat="1" x14ac:dyDescent="0.25">
      <c r="A19" s="107"/>
      <c r="B19" s="114"/>
      <c r="C19" s="109"/>
      <c r="D19" s="115"/>
      <c r="E19" s="116"/>
      <c r="F19" s="108"/>
      <c r="G19" s="110"/>
      <c r="H19" s="116"/>
      <c r="I19" s="108"/>
      <c r="J19" s="110"/>
      <c r="K19" s="110"/>
      <c r="L19" s="110"/>
      <c r="M19" s="110"/>
      <c r="N19" s="114"/>
      <c r="O19" s="109"/>
      <c r="P19" s="115"/>
    </row>
    <row r="20" spans="1:16" customFormat="1" x14ac:dyDescent="0.25">
      <c r="A20" s="107"/>
      <c r="B20" s="114"/>
      <c r="C20" s="109"/>
      <c r="D20" s="115"/>
      <c r="E20" s="116"/>
      <c r="F20" s="108"/>
      <c r="G20" s="110"/>
      <c r="H20" s="116"/>
      <c r="I20" s="108"/>
      <c r="J20" s="110"/>
      <c r="K20" s="110"/>
      <c r="L20" s="110"/>
      <c r="M20" s="110"/>
      <c r="N20" s="114"/>
      <c r="O20" s="109"/>
      <c r="P20" s="115"/>
    </row>
    <row r="21" spans="1:16" customFormat="1" x14ac:dyDescent="0.25">
      <c r="A21" s="107"/>
      <c r="B21" s="114"/>
      <c r="C21" s="109"/>
      <c r="D21" s="115"/>
      <c r="E21" s="116"/>
      <c r="F21" s="108"/>
      <c r="G21" s="110"/>
      <c r="H21" s="116"/>
      <c r="I21" s="108"/>
      <c r="J21" s="110"/>
      <c r="K21" s="110"/>
      <c r="L21" s="110"/>
      <c r="M21" s="110"/>
      <c r="N21" s="114"/>
      <c r="O21" s="109"/>
      <c r="P21" s="115"/>
    </row>
    <row r="22" spans="1:16" customFormat="1" x14ac:dyDescent="0.25">
      <c r="A22" s="107"/>
      <c r="B22" s="114"/>
      <c r="C22" s="109"/>
      <c r="D22" s="115"/>
      <c r="E22" s="116"/>
      <c r="F22" s="108"/>
      <c r="G22" s="110"/>
      <c r="H22" s="116"/>
      <c r="I22" s="108"/>
      <c r="J22" s="110"/>
      <c r="K22" s="110"/>
      <c r="L22" s="110"/>
      <c r="M22" s="110"/>
      <c r="N22" s="114"/>
      <c r="O22" s="109"/>
      <c r="P22" s="115"/>
    </row>
    <row r="23" spans="1:16" customFormat="1" x14ac:dyDescent="0.25">
      <c r="A23" s="107"/>
      <c r="B23" s="114"/>
      <c r="C23" s="109"/>
      <c r="D23" s="115"/>
      <c r="E23" s="116"/>
      <c r="F23" s="108"/>
      <c r="G23" s="110"/>
      <c r="H23" s="116"/>
      <c r="I23" s="108"/>
      <c r="J23" s="110"/>
      <c r="K23" s="110"/>
      <c r="L23" s="110"/>
      <c r="M23" s="110"/>
      <c r="N23" s="114"/>
      <c r="O23" s="109"/>
      <c r="P23" s="115"/>
    </row>
    <row r="24" spans="1:16" customFormat="1" x14ac:dyDescent="0.25">
      <c r="A24" s="107"/>
      <c r="B24" s="114"/>
      <c r="C24" s="109"/>
      <c r="D24" s="115"/>
      <c r="E24" s="116"/>
      <c r="F24" s="108"/>
      <c r="G24" s="110"/>
      <c r="H24" s="116"/>
      <c r="I24" s="108"/>
      <c r="J24" s="110"/>
      <c r="K24" s="110"/>
      <c r="L24" s="110"/>
      <c r="M24" s="110"/>
      <c r="N24" s="114"/>
      <c r="O24" s="109"/>
      <c r="P24" s="115"/>
    </row>
    <row r="25" spans="1:16" customFormat="1" x14ac:dyDescent="0.25">
      <c r="A25" s="107"/>
      <c r="B25" s="114"/>
      <c r="C25" s="109"/>
      <c r="D25" s="115"/>
      <c r="E25" s="116"/>
      <c r="F25" s="108"/>
      <c r="G25" s="110"/>
      <c r="H25" s="116"/>
      <c r="I25" s="108"/>
      <c r="J25" s="110"/>
      <c r="K25" s="110"/>
      <c r="L25" s="110"/>
      <c r="M25" s="110"/>
      <c r="N25" s="114"/>
      <c r="O25" s="109"/>
      <c r="P25" s="115"/>
    </row>
    <row r="26" spans="1:16" customFormat="1" x14ac:dyDescent="0.25">
      <c r="A26" s="107"/>
      <c r="B26" s="114"/>
      <c r="C26" s="109"/>
      <c r="D26" s="115"/>
      <c r="E26" s="116"/>
      <c r="F26" s="108"/>
      <c r="G26" s="110"/>
      <c r="H26" s="116"/>
      <c r="I26" s="108"/>
      <c r="J26" s="110"/>
      <c r="K26" s="110"/>
      <c r="L26" s="110"/>
      <c r="M26" s="110"/>
      <c r="N26" s="114"/>
      <c r="O26" s="109"/>
      <c r="P26" s="115"/>
    </row>
    <row r="27" spans="1:16" customFormat="1" x14ac:dyDescent="0.25">
      <c r="A27" s="107"/>
      <c r="B27" s="114"/>
      <c r="C27" s="109"/>
      <c r="D27" s="115"/>
      <c r="E27" s="116"/>
      <c r="F27" s="108"/>
      <c r="G27" s="110"/>
      <c r="H27" s="116"/>
      <c r="I27" s="108"/>
      <c r="J27" s="110"/>
      <c r="K27" s="110"/>
      <c r="L27" s="110"/>
      <c r="M27" s="110"/>
      <c r="N27" s="114"/>
      <c r="O27" s="109"/>
      <c r="P27" s="115"/>
    </row>
    <row r="28" spans="1:16" customFormat="1" x14ac:dyDescent="0.25">
      <c r="A28" s="107"/>
      <c r="B28" s="114"/>
      <c r="C28" s="109"/>
      <c r="D28" s="115"/>
      <c r="E28" s="116"/>
      <c r="F28" s="108"/>
      <c r="G28" s="110"/>
      <c r="H28" s="116"/>
      <c r="I28" s="108"/>
      <c r="J28" s="110"/>
      <c r="K28" s="110"/>
      <c r="L28" s="110"/>
      <c r="M28" s="110"/>
      <c r="N28" s="114"/>
      <c r="O28" s="109"/>
      <c r="P28" s="115"/>
    </row>
    <row r="29" spans="1:16" customFormat="1" x14ac:dyDescent="0.25">
      <c r="A29" s="107"/>
      <c r="B29" s="114"/>
      <c r="C29" s="109"/>
      <c r="D29" s="115"/>
      <c r="E29" s="116"/>
      <c r="F29" s="108"/>
      <c r="G29" s="110"/>
      <c r="H29" s="116"/>
      <c r="I29" s="108"/>
      <c r="J29" s="110"/>
      <c r="K29" s="110"/>
      <c r="L29" s="110"/>
      <c r="M29" s="110"/>
      <c r="N29" s="114"/>
      <c r="O29" s="109"/>
      <c r="P29" s="115"/>
    </row>
    <row r="30" spans="1:16" customFormat="1" x14ac:dyDescent="0.25">
      <c r="A30" s="107"/>
      <c r="B30" s="114"/>
      <c r="C30" s="109"/>
      <c r="D30" s="115"/>
      <c r="E30" s="116"/>
      <c r="F30" s="108"/>
      <c r="G30" s="110"/>
      <c r="H30" s="116"/>
      <c r="I30" s="108"/>
      <c r="J30" s="110"/>
      <c r="K30" s="110"/>
      <c r="L30" s="110"/>
      <c r="M30" s="110"/>
      <c r="N30" s="114"/>
      <c r="O30" s="109"/>
      <c r="P30" s="115"/>
    </row>
    <row r="31" spans="1:16" customFormat="1" x14ac:dyDescent="0.25">
      <c r="A31" s="107"/>
      <c r="B31" s="114"/>
      <c r="C31" s="109"/>
      <c r="D31" s="115"/>
      <c r="E31" s="116"/>
      <c r="F31" s="108"/>
      <c r="G31" s="110"/>
      <c r="H31" s="116"/>
      <c r="I31" s="108"/>
      <c r="J31" s="110"/>
      <c r="K31" s="110"/>
      <c r="L31" s="110"/>
      <c r="M31" s="110"/>
      <c r="N31" s="114"/>
      <c r="O31" s="109"/>
      <c r="P31" s="115"/>
    </row>
    <row r="32" spans="1:16" customFormat="1" x14ac:dyDescent="0.25">
      <c r="A32" s="107"/>
      <c r="B32" s="114"/>
      <c r="C32" s="109"/>
      <c r="D32" s="115"/>
      <c r="E32" s="116"/>
      <c r="F32" s="108"/>
      <c r="G32" s="110"/>
      <c r="H32" s="116"/>
      <c r="I32" s="108"/>
      <c r="J32" s="110"/>
      <c r="K32" s="110"/>
      <c r="L32" s="110"/>
      <c r="M32" s="110"/>
      <c r="N32" s="114"/>
      <c r="O32" s="109"/>
      <c r="P32" s="115"/>
    </row>
    <row r="33" spans="1:16" customFormat="1" x14ac:dyDescent="0.25">
      <c r="A33" s="107"/>
      <c r="B33" s="114"/>
      <c r="C33" s="109"/>
      <c r="D33" s="115"/>
      <c r="E33" s="116"/>
      <c r="F33" s="108"/>
      <c r="G33" s="110"/>
      <c r="H33" s="116"/>
      <c r="I33" s="108"/>
      <c r="J33" s="110"/>
      <c r="K33" s="110"/>
      <c r="L33" s="110"/>
      <c r="M33" s="110"/>
      <c r="N33" s="114"/>
      <c r="O33" s="109"/>
      <c r="P33" s="115"/>
    </row>
    <row r="34" spans="1:16" customFormat="1" x14ac:dyDescent="0.25">
      <c r="A34" s="107"/>
      <c r="B34" s="114"/>
      <c r="C34" s="109"/>
      <c r="D34" s="115"/>
      <c r="E34" s="116"/>
      <c r="F34" s="108"/>
      <c r="G34" s="110"/>
      <c r="H34" s="116"/>
      <c r="I34" s="108"/>
      <c r="J34" s="110"/>
      <c r="K34" s="110"/>
      <c r="L34" s="110"/>
      <c r="M34" s="110"/>
      <c r="N34" s="114"/>
      <c r="O34" s="109"/>
      <c r="P34" s="115"/>
    </row>
    <row r="35" spans="1:16" customFormat="1" x14ac:dyDescent="0.25">
      <c r="A35" s="107"/>
      <c r="B35" s="114"/>
      <c r="C35" s="109"/>
      <c r="D35" s="115"/>
      <c r="E35" s="116"/>
      <c r="F35" s="108"/>
      <c r="G35" s="110"/>
      <c r="H35" s="116"/>
      <c r="I35" s="108"/>
      <c r="J35" s="110"/>
      <c r="K35" s="110"/>
      <c r="L35" s="110"/>
      <c r="M35" s="110"/>
      <c r="N35" s="114"/>
      <c r="O35" s="109"/>
      <c r="P35" s="115"/>
    </row>
    <row r="36" spans="1:16" customFormat="1" x14ac:dyDescent="0.25">
      <c r="A36" s="107"/>
      <c r="B36" s="114"/>
      <c r="C36" s="109"/>
      <c r="D36" s="115"/>
      <c r="E36" s="116"/>
      <c r="F36" s="108"/>
      <c r="G36" s="110"/>
      <c r="H36" s="116"/>
      <c r="I36" s="108"/>
      <c r="J36" s="110"/>
      <c r="K36" s="110"/>
      <c r="L36" s="110"/>
      <c r="M36" s="110"/>
      <c r="N36" s="114"/>
      <c r="O36" s="109"/>
      <c r="P36" s="115"/>
    </row>
    <row r="37" spans="1:16" customFormat="1" x14ac:dyDescent="0.25">
      <c r="A37" s="128"/>
      <c r="B37" s="117"/>
      <c r="C37" s="118"/>
      <c r="D37" s="119"/>
      <c r="E37" s="112"/>
      <c r="F37" s="118"/>
      <c r="G37" s="112"/>
      <c r="H37" s="112"/>
      <c r="I37" s="118"/>
      <c r="J37" s="112"/>
      <c r="K37" s="112"/>
      <c r="L37" s="112"/>
      <c r="M37" s="112"/>
      <c r="N37" s="117"/>
      <c r="O37" s="118"/>
      <c r="P37" s="119"/>
    </row>
    <row r="38" spans="1:16" customFormat="1" x14ac:dyDescent="0.25">
      <c r="A38" s="107"/>
      <c r="B38" s="114"/>
      <c r="C38" s="109"/>
      <c r="D38" s="115"/>
      <c r="E38" s="116"/>
      <c r="F38" s="108"/>
      <c r="G38" s="110"/>
      <c r="H38" s="116"/>
      <c r="I38" s="108"/>
      <c r="J38" s="110"/>
      <c r="K38" s="114"/>
      <c r="L38" s="109"/>
      <c r="M38" s="115"/>
      <c r="N38" s="114"/>
      <c r="O38" s="109"/>
      <c r="P38" s="115"/>
    </row>
    <row r="39" spans="1:16" customFormat="1" x14ac:dyDescent="0.25">
      <c r="A39" s="107"/>
      <c r="B39" s="116"/>
      <c r="C39" s="108"/>
      <c r="D39" s="110"/>
      <c r="E39" s="116"/>
      <c r="F39" s="108"/>
      <c r="G39" s="110"/>
      <c r="H39" s="116"/>
      <c r="I39" s="108"/>
      <c r="J39" s="110"/>
      <c r="K39" s="116"/>
      <c r="L39" s="108"/>
      <c r="M39" s="110"/>
      <c r="N39" s="116"/>
      <c r="O39" s="108"/>
      <c r="P39" s="110"/>
    </row>
    <row r="40" spans="1:16" customFormat="1" x14ac:dyDescent="0.25">
      <c r="A40" s="107"/>
      <c r="B40" s="114"/>
      <c r="C40" s="109"/>
      <c r="D40" s="115"/>
      <c r="E40" s="116"/>
      <c r="F40" s="108"/>
      <c r="G40" s="110"/>
      <c r="H40" s="116"/>
      <c r="I40" s="108"/>
      <c r="J40" s="110"/>
      <c r="K40" s="114"/>
      <c r="L40" s="109"/>
      <c r="M40" s="115"/>
      <c r="N40" s="114"/>
      <c r="O40" s="109"/>
      <c r="P40" s="115"/>
    </row>
    <row r="41" spans="1:16" customFormat="1" x14ac:dyDescent="0.25">
      <c r="A41" s="107"/>
      <c r="B41" s="114"/>
      <c r="C41" s="109"/>
      <c r="D41" s="115"/>
      <c r="E41" s="116"/>
      <c r="F41" s="108"/>
      <c r="G41" s="110"/>
      <c r="H41" s="116"/>
      <c r="I41" s="108"/>
      <c r="J41" s="110"/>
      <c r="K41" s="114"/>
      <c r="L41" s="109"/>
      <c r="M41" s="115"/>
      <c r="N41" s="114"/>
      <c r="O41" s="109"/>
      <c r="P41" s="115"/>
    </row>
    <row r="42" spans="1:16" customFormat="1" x14ac:dyDescent="0.25">
      <c r="A42" s="107"/>
      <c r="B42" s="116"/>
      <c r="C42" s="108"/>
      <c r="D42" s="110"/>
      <c r="E42" s="116"/>
      <c r="F42" s="108"/>
      <c r="G42" s="110"/>
      <c r="H42" s="116"/>
      <c r="I42" s="108"/>
      <c r="J42" s="110"/>
      <c r="K42" s="116"/>
      <c r="L42" s="108"/>
      <c r="M42" s="110"/>
      <c r="N42" s="116"/>
      <c r="O42" s="108"/>
      <c r="P42" s="110"/>
    </row>
    <row r="43" spans="1:16" customFormat="1" x14ac:dyDescent="0.25">
      <c r="A43" s="107"/>
      <c r="B43" s="114"/>
      <c r="C43" s="109"/>
      <c r="D43" s="115"/>
      <c r="E43" s="116"/>
      <c r="F43" s="108"/>
      <c r="G43" s="110"/>
      <c r="H43" s="116"/>
      <c r="I43" s="108"/>
      <c r="J43" s="110"/>
      <c r="K43" s="114"/>
      <c r="L43" s="109"/>
      <c r="M43" s="115"/>
      <c r="N43" s="114"/>
      <c r="O43" s="109"/>
      <c r="P43" s="115"/>
    </row>
    <row r="44" spans="1:16" customFormat="1" x14ac:dyDescent="0.25">
      <c r="A44" s="107"/>
      <c r="B44" s="114"/>
      <c r="C44" s="109"/>
      <c r="D44" s="115"/>
      <c r="E44" s="116"/>
      <c r="F44" s="108"/>
      <c r="G44" s="110"/>
      <c r="H44" s="116"/>
      <c r="I44" s="108"/>
      <c r="J44" s="110"/>
      <c r="K44" s="114"/>
      <c r="L44" s="109"/>
      <c r="M44" s="115"/>
      <c r="N44" s="114"/>
      <c r="O44" s="109"/>
      <c r="P44" s="115"/>
    </row>
    <row r="45" spans="1:16" customFormat="1" x14ac:dyDescent="0.25">
      <c r="A45" s="107"/>
      <c r="B45" s="114"/>
      <c r="C45" s="109"/>
      <c r="D45" s="115"/>
      <c r="E45" s="116"/>
      <c r="F45" s="108"/>
      <c r="G45" s="110"/>
      <c r="H45" s="116"/>
      <c r="I45" s="108"/>
      <c r="J45" s="110"/>
      <c r="K45" s="114"/>
      <c r="L45" s="109"/>
      <c r="M45" s="115"/>
      <c r="N45" s="114"/>
      <c r="O45" s="109"/>
      <c r="P45" s="115"/>
    </row>
    <row r="46" spans="1:16" customFormat="1" x14ac:dyDescent="0.25">
      <c r="A46" s="107"/>
      <c r="B46" s="114"/>
      <c r="C46" s="109"/>
      <c r="D46" s="115"/>
      <c r="E46" s="116"/>
      <c r="F46" s="108"/>
      <c r="G46" s="110"/>
      <c r="H46" s="116"/>
      <c r="I46" s="108"/>
      <c r="J46" s="110"/>
      <c r="K46" s="114"/>
      <c r="L46" s="109"/>
      <c r="M46" s="115"/>
      <c r="N46" s="114"/>
      <c r="O46" s="109"/>
      <c r="P46" s="115"/>
    </row>
    <row r="47" spans="1:16" customFormat="1" x14ac:dyDescent="0.25">
      <c r="A47" s="107"/>
      <c r="B47" s="114"/>
      <c r="C47" s="109"/>
      <c r="D47" s="115"/>
      <c r="E47" s="116"/>
      <c r="F47" s="108"/>
      <c r="G47" s="110"/>
      <c r="H47" s="116"/>
      <c r="I47" s="108"/>
      <c r="J47" s="110"/>
      <c r="K47" s="114"/>
      <c r="L47" s="109"/>
      <c r="M47" s="115"/>
      <c r="N47" s="114"/>
      <c r="O47" s="109"/>
      <c r="P47" s="115"/>
    </row>
    <row r="48" spans="1:16" customFormat="1" x14ac:dyDescent="0.25">
      <c r="A48" s="111"/>
      <c r="B48" s="117"/>
      <c r="C48" s="118"/>
      <c r="D48" s="119"/>
      <c r="E48" s="112"/>
      <c r="F48" s="118"/>
      <c r="G48" s="112"/>
      <c r="H48" s="112"/>
      <c r="I48" s="118"/>
      <c r="J48" s="112"/>
      <c r="K48" s="117"/>
      <c r="L48" s="118"/>
      <c r="M48" s="119"/>
      <c r="N48" s="117"/>
      <c r="O48" s="118"/>
      <c r="P48" s="119"/>
    </row>
  </sheetData>
  <mergeCells count="4">
    <mergeCell ref="B6:D6"/>
    <mergeCell ref="E6:G6"/>
    <mergeCell ref="H6:M6"/>
    <mergeCell ref="N6:P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5"/>
  <sheetViews>
    <sheetView showGridLines="0" workbookViewId="0">
      <selection activeCell="C5" sqref="C5"/>
    </sheetView>
  </sheetViews>
  <sheetFormatPr defaultColWidth="9.42578125" defaultRowHeight="15" x14ac:dyDescent="0.25"/>
  <cols>
    <col min="1" max="1" width="8.5703125" style="2" bestFit="1" customWidth="1"/>
    <col min="2" max="3" width="13.42578125" style="2" bestFit="1" customWidth="1"/>
    <col min="4" max="4" width="14.42578125" style="2" bestFit="1" customWidth="1"/>
    <col min="5" max="5" width="13.42578125" style="2" bestFit="1" customWidth="1"/>
    <col min="6" max="8" width="14.42578125" style="2" bestFit="1" customWidth="1"/>
    <col min="9" max="9" width="16" style="2" bestFit="1" customWidth="1"/>
    <col min="10" max="10" width="13.42578125" style="2" bestFit="1" customWidth="1"/>
    <col min="11" max="14" width="14.42578125" style="2" bestFit="1" customWidth="1"/>
    <col min="15" max="15" width="13.42578125" style="2" bestFit="1" customWidth="1"/>
    <col min="16" max="16" width="9.42578125" style="2"/>
    <col min="17" max="17" width="14.42578125" style="2" bestFit="1" customWidth="1"/>
    <col min="18" max="16384" width="9.42578125" style="2"/>
  </cols>
  <sheetData>
    <row r="1" spans="1:16" ht="13.9" x14ac:dyDescent="0.25">
      <c r="A1" s="1" t="s">
        <v>23</v>
      </c>
    </row>
    <row r="2" spans="1:16" ht="13.9" x14ac:dyDescent="0.25">
      <c r="A2" s="1" t="s">
        <v>24</v>
      </c>
    </row>
    <row r="3" spans="1:16" ht="13.9" x14ac:dyDescent="0.25">
      <c r="K3" s="225" t="s">
        <v>1211</v>
      </c>
      <c r="L3" s="225"/>
      <c r="M3" s="225"/>
      <c r="N3" s="225"/>
    </row>
    <row r="4" spans="1:16" s="38" customFormat="1" ht="14.25" x14ac:dyDescent="0.2">
      <c r="A4" s="82" t="s">
        <v>1212</v>
      </c>
      <c r="B4" s="82" t="s">
        <v>2</v>
      </c>
      <c r="C4" s="82" t="s">
        <v>3</v>
      </c>
      <c r="D4" s="82" t="s">
        <v>82</v>
      </c>
      <c r="E4" s="82" t="s">
        <v>27</v>
      </c>
      <c r="F4" s="82" t="s">
        <v>5</v>
      </c>
      <c r="G4" s="82" t="s">
        <v>6</v>
      </c>
      <c r="H4" s="82" t="s">
        <v>7</v>
      </c>
      <c r="I4" s="82" t="s">
        <v>103</v>
      </c>
      <c r="K4" s="82" t="s">
        <v>2</v>
      </c>
      <c r="L4" s="82" t="s">
        <v>1213</v>
      </c>
      <c r="M4" s="82" t="s">
        <v>82</v>
      </c>
      <c r="N4" s="82" t="s">
        <v>103</v>
      </c>
    </row>
    <row r="5" spans="1:16" ht="13.9" x14ac:dyDescent="0.25">
      <c r="A5" s="91">
        <v>45748</v>
      </c>
      <c r="B5" s="113">
        <v>7300</v>
      </c>
      <c r="C5" s="113">
        <v>21250</v>
      </c>
      <c r="D5" s="113">
        <v>472534</v>
      </c>
      <c r="E5" s="113">
        <v>0</v>
      </c>
      <c r="F5" s="113">
        <v>105864</v>
      </c>
      <c r="G5" s="113">
        <v>308369</v>
      </c>
      <c r="H5" s="113">
        <v>252.89000000000001</v>
      </c>
      <c r="I5" s="113">
        <f>SUM(B5:H5)</f>
        <v>915569.89</v>
      </c>
      <c r="J5" s="41"/>
      <c r="K5" s="89">
        <f t="shared" ref="K5:K15" si="0">SUM(E5:H5)/3</f>
        <v>138161.96333333335</v>
      </c>
      <c r="L5" s="89">
        <f t="shared" ref="L5:L15" si="1">SUM(E5:H5)/3</f>
        <v>138161.96333333335</v>
      </c>
      <c r="M5" s="89">
        <f t="shared" ref="M5:M15" si="2">SUM(E5:H5)/3</f>
        <v>138161.96333333335</v>
      </c>
      <c r="N5" s="89">
        <f t="shared" ref="N5:N15" si="3">SUM(K5:M5)</f>
        <v>414485.89</v>
      </c>
      <c r="O5" s="41"/>
      <c r="P5" s="41"/>
    </row>
    <row r="6" spans="1:16" ht="13.9" x14ac:dyDescent="0.25">
      <c r="A6" s="91">
        <v>45778</v>
      </c>
      <c r="B6" s="113"/>
      <c r="C6" s="113"/>
      <c r="D6" s="113"/>
      <c r="E6" s="113"/>
      <c r="F6" s="113"/>
      <c r="G6" s="113"/>
      <c r="H6" s="113"/>
      <c r="I6" s="113">
        <f t="shared" ref="I6:I16" si="4">SUM(B6:H6)</f>
        <v>0</v>
      </c>
      <c r="J6" s="41"/>
      <c r="K6" s="89">
        <f t="shared" si="0"/>
        <v>0</v>
      </c>
      <c r="L6" s="89">
        <f t="shared" si="1"/>
        <v>0</v>
      </c>
      <c r="M6" s="89">
        <f t="shared" si="2"/>
        <v>0</v>
      </c>
      <c r="N6" s="89">
        <f t="shared" si="3"/>
        <v>0</v>
      </c>
      <c r="O6" s="41"/>
      <c r="P6" s="41"/>
    </row>
    <row r="7" spans="1:16" ht="13.9" x14ac:dyDescent="0.25">
      <c r="A7" s="91">
        <v>45809</v>
      </c>
      <c r="B7" s="113"/>
      <c r="C7" s="113"/>
      <c r="D7" s="113"/>
      <c r="E7" s="113"/>
      <c r="F7" s="113"/>
      <c r="G7" s="113"/>
      <c r="H7" s="113"/>
      <c r="I7" s="113">
        <f t="shared" si="4"/>
        <v>0</v>
      </c>
      <c r="J7" s="41"/>
      <c r="K7" s="89">
        <f t="shared" si="0"/>
        <v>0</v>
      </c>
      <c r="L7" s="89">
        <f t="shared" si="1"/>
        <v>0</v>
      </c>
      <c r="M7" s="89">
        <f t="shared" si="2"/>
        <v>0</v>
      </c>
      <c r="N7" s="89">
        <f t="shared" si="3"/>
        <v>0</v>
      </c>
      <c r="O7" s="41"/>
      <c r="P7" s="41"/>
    </row>
    <row r="8" spans="1:16" ht="13.9" x14ac:dyDescent="0.25">
      <c r="A8" s="91">
        <v>45839</v>
      </c>
      <c r="B8" s="113"/>
      <c r="C8" s="113"/>
      <c r="D8" s="113"/>
      <c r="E8" s="113"/>
      <c r="F8" s="113"/>
      <c r="G8" s="113"/>
      <c r="H8" s="113"/>
      <c r="I8" s="113">
        <f t="shared" si="4"/>
        <v>0</v>
      </c>
      <c r="J8" s="41"/>
      <c r="K8" s="89">
        <f t="shared" si="0"/>
        <v>0</v>
      </c>
      <c r="L8" s="89">
        <f t="shared" si="1"/>
        <v>0</v>
      </c>
      <c r="M8" s="89">
        <f t="shared" si="2"/>
        <v>0</v>
      </c>
      <c r="N8" s="89">
        <f t="shared" si="3"/>
        <v>0</v>
      </c>
      <c r="O8" s="41"/>
      <c r="P8" s="41"/>
    </row>
    <row r="9" spans="1:16" ht="13.9" x14ac:dyDescent="0.25">
      <c r="A9" s="91">
        <v>45870</v>
      </c>
      <c r="B9" s="113"/>
      <c r="C9" s="113"/>
      <c r="D9" s="113"/>
      <c r="E9" s="113"/>
      <c r="F9" s="113"/>
      <c r="G9" s="113"/>
      <c r="H9" s="113"/>
      <c r="I9" s="113">
        <f t="shared" si="4"/>
        <v>0</v>
      </c>
      <c r="J9" s="41"/>
      <c r="K9" s="89">
        <f t="shared" si="0"/>
        <v>0</v>
      </c>
      <c r="L9" s="89">
        <f t="shared" si="1"/>
        <v>0</v>
      </c>
      <c r="M9" s="89">
        <f t="shared" si="2"/>
        <v>0</v>
      </c>
      <c r="N9" s="89">
        <f t="shared" si="3"/>
        <v>0</v>
      </c>
      <c r="O9" s="41"/>
      <c r="P9" s="41"/>
    </row>
    <row r="10" spans="1:16" ht="13.9" x14ac:dyDescent="0.25">
      <c r="A10" s="91">
        <v>45901</v>
      </c>
      <c r="B10" s="113"/>
      <c r="C10" s="113"/>
      <c r="D10" s="113"/>
      <c r="E10" s="113"/>
      <c r="F10" s="113"/>
      <c r="G10" s="113"/>
      <c r="H10" s="113"/>
      <c r="I10" s="113">
        <f t="shared" si="4"/>
        <v>0</v>
      </c>
      <c r="J10" s="41"/>
      <c r="K10" s="89">
        <f t="shared" si="0"/>
        <v>0</v>
      </c>
      <c r="L10" s="89">
        <f t="shared" si="1"/>
        <v>0</v>
      </c>
      <c r="M10" s="89">
        <f t="shared" si="2"/>
        <v>0</v>
      </c>
      <c r="N10" s="89">
        <f t="shared" si="3"/>
        <v>0</v>
      </c>
      <c r="O10" s="41"/>
      <c r="P10" s="41"/>
    </row>
    <row r="11" spans="1:16" ht="13.9" x14ac:dyDescent="0.25">
      <c r="A11" s="91">
        <v>45931</v>
      </c>
      <c r="B11" s="113"/>
      <c r="C11" s="113"/>
      <c r="D11" s="113"/>
      <c r="E11" s="113"/>
      <c r="F11" s="113"/>
      <c r="G11" s="113"/>
      <c r="H11" s="113"/>
      <c r="I11" s="113">
        <f t="shared" si="4"/>
        <v>0</v>
      </c>
      <c r="J11" s="41"/>
      <c r="K11" s="89">
        <f t="shared" si="0"/>
        <v>0</v>
      </c>
      <c r="L11" s="89">
        <f t="shared" si="1"/>
        <v>0</v>
      </c>
      <c r="M11" s="89">
        <f t="shared" si="2"/>
        <v>0</v>
      </c>
      <c r="N11" s="89">
        <f t="shared" si="3"/>
        <v>0</v>
      </c>
      <c r="O11" s="41"/>
      <c r="P11" s="41"/>
    </row>
    <row r="12" spans="1:16" ht="13.9" x14ac:dyDescent="0.25">
      <c r="A12" s="91">
        <v>45962</v>
      </c>
      <c r="B12" s="113"/>
      <c r="C12" s="113"/>
      <c r="D12" s="113"/>
      <c r="E12" s="113"/>
      <c r="F12" s="113"/>
      <c r="G12" s="113"/>
      <c r="H12" s="113"/>
      <c r="I12" s="113">
        <f t="shared" si="4"/>
        <v>0</v>
      </c>
      <c r="J12" s="41"/>
      <c r="K12" s="89">
        <f t="shared" si="0"/>
        <v>0</v>
      </c>
      <c r="L12" s="89">
        <f t="shared" si="1"/>
        <v>0</v>
      </c>
      <c r="M12" s="89">
        <f t="shared" si="2"/>
        <v>0</v>
      </c>
      <c r="N12" s="89">
        <f t="shared" si="3"/>
        <v>0</v>
      </c>
      <c r="O12" s="41"/>
      <c r="P12" s="41"/>
    </row>
    <row r="13" spans="1:16" ht="13.9" x14ac:dyDescent="0.25">
      <c r="A13" s="91">
        <v>45992</v>
      </c>
      <c r="B13" s="113"/>
      <c r="C13" s="113"/>
      <c r="D13" s="113"/>
      <c r="E13" s="113"/>
      <c r="F13" s="113"/>
      <c r="G13" s="113"/>
      <c r="H13" s="113"/>
      <c r="I13" s="113">
        <f>SUM(B13:H13)</f>
        <v>0</v>
      </c>
      <c r="J13" s="41"/>
      <c r="K13" s="89">
        <f t="shared" si="0"/>
        <v>0</v>
      </c>
      <c r="L13" s="89">
        <f t="shared" si="1"/>
        <v>0</v>
      </c>
      <c r="M13" s="89">
        <f t="shared" si="2"/>
        <v>0</v>
      </c>
      <c r="N13" s="89">
        <f t="shared" si="3"/>
        <v>0</v>
      </c>
      <c r="O13" s="41"/>
      <c r="P13" s="41"/>
    </row>
    <row r="14" spans="1:16" ht="13.9" x14ac:dyDescent="0.25">
      <c r="A14" s="91">
        <v>46023</v>
      </c>
      <c r="B14" s="113"/>
      <c r="C14" s="113"/>
      <c r="D14" s="113"/>
      <c r="E14" s="113"/>
      <c r="F14" s="113"/>
      <c r="G14" s="113"/>
      <c r="H14" s="113"/>
      <c r="I14" s="113">
        <f t="shared" si="4"/>
        <v>0</v>
      </c>
      <c r="J14" s="41"/>
      <c r="K14" s="89">
        <f t="shared" si="0"/>
        <v>0</v>
      </c>
      <c r="L14" s="89">
        <f t="shared" si="1"/>
        <v>0</v>
      </c>
      <c r="M14" s="89">
        <f t="shared" si="2"/>
        <v>0</v>
      </c>
      <c r="N14" s="89">
        <f t="shared" si="3"/>
        <v>0</v>
      </c>
      <c r="O14" s="41"/>
      <c r="P14" s="41"/>
    </row>
    <row r="15" spans="1:16" ht="13.9" x14ac:dyDescent="0.25">
      <c r="A15" s="91">
        <v>46054</v>
      </c>
      <c r="B15" s="113"/>
      <c r="C15" s="113"/>
      <c r="D15" s="113"/>
      <c r="E15" s="113"/>
      <c r="F15" s="113"/>
      <c r="G15" s="113"/>
      <c r="H15" s="113"/>
      <c r="I15" s="113">
        <f t="shared" si="4"/>
        <v>0</v>
      </c>
      <c r="J15" s="41"/>
      <c r="K15" s="89">
        <f t="shared" si="0"/>
        <v>0</v>
      </c>
      <c r="L15" s="89">
        <f t="shared" si="1"/>
        <v>0</v>
      </c>
      <c r="M15" s="89">
        <f t="shared" si="2"/>
        <v>0</v>
      </c>
      <c r="N15" s="89">
        <f t="shared" si="3"/>
        <v>0</v>
      </c>
      <c r="O15" s="41"/>
      <c r="P15" s="41"/>
    </row>
    <row r="16" spans="1:16" ht="13.9" x14ac:dyDescent="0.25">
      <c r="A16" s="91">
        <v>46082</v>
      </c>
      <c r="B16" s="89"/>
      <c r="C16" s="89"/>
      <c r="D16" s="89"/>
      <c r="E16" s="89"/>
      <c r="F16" s="89"/>
      <c r="G16" s="89"/>
      <c r="H16" s="89"/>
      <c r="I16" s="89">
        <f t="shared" si="4"/>
        <v>0</v>
      </c>
      <c r="J16" s="41"/>
      <c r="K16" s="89">
        <f>SUM(E16:H16)/3</f>
        <v>0</v>
      </c>
      <c r="L16" s="89">
        <f>SUM(E16:H16)/3</f>
        <v>0</v>
      </c>
      <c r="M16" s="89">
        <f>SUM(E16:H16)/3</f>
        <v>0</v>
      </c>
      <c r="N16" s="89">
        <f>SUM(K16:M16)</f>
        <v>0</v>
      </c>
      <c r="O16" s="41"/>
      <c r="P16" s="41"/>
    </row>
    <row r="17" spans="1:16" s="1" customFormat="1" ht="14.25" x14ac:dyDescent="0.2">
      <c r="A17" s="6" t="s">
        <v>103</v>
      </c>
      <c r="B17" s="90">
        <f t="shared" ref="B17:G17" si="5">SUM(B5:B16)</f>
        <v>7300</v>
      </c>
      <c r="C17" s="90">
        <f t="shared" si="5"/>
        <v>21250</v>
      </c>
      <c r="D17" s="90">
        <f t="shared" si="5"/>
        <v>472534</v>
      </c>
      <c r="E17" s="90">
        <f t="shared" si="5"/>
        <v>0</v>
      </c>
      <c r="F17" s="90">
        <f t="shared" si="5"/>
        <v>105864</v>
      </c>
      <c r="G17" s="90">
        <f t="shared" si="5"/>
        <v>308369</v>
      </c>
      <c r="H17" s="90">
        <f>SUM(H5:H16)</f>
        <v>252.89000000000001</v>
      </c>
      <c r="I17" s="90">
        <f>SUM(I5:I16)</f>
        <v>915569.89</v>
      </c>
      <c r="J17" s="31"/>
      <c r="K17" s="90">
        <f>SUM(K5:K16)</f>
        <v>138161.96333333335</v>
      </c>
      <c r="L17" s="90">
        <f>SUM(L5:L16)</f>
        <v>138161.96333333335</v>
      </c>
      <c r="M17" s="90">
        <f>SUM(M5:M16)</f>
        <v>138161.96333333335</v>
      </c>
      <c r="N17" s="90">
        <f>SUM(N5:N16)</f>
        <v>414485.89</v>
      </c>
      <c r="O17" s="31"/>
      <c r="P17" s="31"/>
    </row>
    <row r="18" spans="1:16" ht="13.9" x14ac:dyDescent="0.25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spans="1:16" ht="13.9" x14ac:dyDescent="0.25">
      <c r="B19" s="50"/>
      <c r="C19" s="50"/>
      <c r="D19" s="50"/>
      <c r="E19" s="50"/>
      <c r="F19" s="50"/>
      <c r="G19" s="50"/>
      <c r="H19" s="50"/>
      <c r="I19" s="50">
        <f>I18-I17</f>
        <v>-915569.89</v>
      </c>
    </row>
    <row r="20" spans="1:16" s="1" customFormat="1" ht="14.25" x14ac:dyDescent="0.2">
      <c r="B20" s="225" t="s">
        <v>2</v>
      </c>
      <c r="C20" s="225"/>
      <c r="D20" s="225"/>
      <c r="E20" s="225"/>
      <c r="G20" s="225" t="s">
        <v>3</v>
      </c>
      <c r="H20" s="225"/>
      <c r="I20" s="225"/>
      <c r="J20" s="225"/>
      <c r="L20" s="225" t="s">
        <v>82</v>
      </c>
      <c r="M20" s="225"/>
      <c r="N20" s="225"/>
      <c r="O20" s="225"/>
    </row>
    <row r="21" spans="1:16" ht="13.9" x14ac:dyDescent="0.25">
      <c r="A21" s="82" t="s">
        <v>1212</v>
      </c>
      <c r="B21" s="82" t="s">
        <v>27</v>
      </c>
      <c r="C21" s="82" t="s">
        <v>5</v>
      </c>
      <c r="D21" s="82" t="s">
        <v>6</v>
      </c>
      <c r="E21" s="82" t="s">
        <v>7</v>
      </c>
      <c r="G21" s="82" t="s">
        <v>27</v>
      </c>
      <c r="H21" s="82" t="s">
        <v>5</v>
      </c>
      <c r="I21" s="82" t="s">
        <v>6</v>
      </c>
      <c r="J21" s="82" t="s">
        <v>7</v>
      </c>
      <c r="L21" s="82" t="s">
        <v>27</v>
      </c>
      <c r="M21" s="82" t="s">
        <v>5</v>
      </c>
      <c r="N21" s="82" t="s">
        <v>6</v>
      </c>
      <c r="O21" s="82" t="s">
        <v>7</v>
      </c>
    </row>
    <row r="22" spans="1:16" ht="13.9" x14ac:dyDescent="0.25">
      <c r="A22" s="91">
        <v>45748</v>
      </c>
      <c r="B22" s="92">
        <f t="shared" ref="B22:B30" si="6">E5/3</f>
        <v>0</v>
      </c>
      <c r="C22" s="92">
        <f t="shared" ref="C22:C30" si="7">F5/3</f>
        <v>35288</v>
      </c>
      <c r="D22" s="92">
        <f t="shared" ref="D22:D30" si="8">G5/3</f>
        <v>102789.66666666667</v>
      </c>
      <c r="E22" s="92">
        <f t="shared" ref="E22:E30" si="9">H5/3</f>
        <v>84.296666666666667</v>
      </c>
      <c r="G22" s="92">
        <f t="shared" ref="G22:G32" si="10">E5/3</f>
        <v>0</v>
      </c>
      <c r="H22" s="92">
        <f t="shared" ref="H22:H32" si="11">F5/3</f>
        <v>35288</v>
      </c>
      <c r="I22" s="92">
        <f t="shared" ref="I22:I32" si="12">G5/3</f>
        <v>102789.66666666667</v>
      </c>
      <c r="J22" s="92">
        <f t="shared" ref="J22:J32" si="13">H5/3</f>
        <v>84.296666666666667</v>
      </c>
      <c r="L22" s="92">
        <f t="shared" ref="L22:L32" si="14">E5/3</f>
        <v>0</v>
      </c>
      <c r="M22" s="92">
        <f t="shared" ref="M22:M32" si="15">F5/3</f>
        <v>35288</v>
      </c>
      <c r="N22" s="92">
        <f t="shared" ref="N22:N32" si="16">G5/3</f>
        <v>102789.66666666667</v>
      </c>
      <c r="O22" s="92">
        <f t="shared" ref="O22:O32" si="17">H5/3</f>
        <v>84.296666666666667</v>
      </c>
    </row>
    <row r="23" spans="1:16" x14ac:dyDescent="0.25">
      <c r="A23" s="91">
        <v>45778</v>
      </c>
      <c r="B23" s="92">
        <f t="shared" si="6"/>
        <v>0</v>
      </c>
      <c r="C23" s="92">
        <f t="shared" si="7"/>
        <v>0</v>
      </c>
      <c r="D23" s="92">
        <f t="shared" si="8"/>
        <v>0</v>
      </c>
      <c r="E23" s="92">
        <f t="shared" si="9"/>
        <v>0</v>
      </c>
      <c r="G23" s="92">
        <f t="shared" si="10"/>
        <v>0</v>
      </c>
      <c r="H23" s="92">
        <f t="shared" si="11"/>
        <v>0</v>
      </c>
      <c r="I23" s="92">
        <f t="shared" si="12"/>
        <v>0</v>
      </c>
      <c r="J23" s="92">
        <f t="shared" si="13"/>
        <v>0</v>
      </c>
      <c r="L23" s="92">
        <f t="shared" si="14"/>
        <v>0</v>
      </c>
      <c r="M23" s="92">
        <f t="shared" si="15"/>
        <v>0</v>
      </c>
      <c r="N23" s="92">
        <f t="shared" si="16"/>
        <v>0</v>
      </c>
      <c r="O23" s="92">
        <f t="shared" si="17"/>
        <v>0</v>
      </c>
    </row>
    <row r="24" spans="1:16" x14ac:dyDescent="0.25">
      <c r="A24" s="91">
        <v>45809</v>
      </c>
      <c r="B24" s="92">
        <f t="shared" si="6"/>
        <v>0</v>
      </c>
      <c r="C24" s="92">
        <f t="shared" si="7"/>
        <v>0</v>
      </c>
      <c r="D24" s="92">
        <f t="shared" si="8"/>
        <v>0</v>
      </c>
      <c r="E24" s="92">
        <f t="shared" si="9"/>
        <v>0</v>
      </c>
      <c r="G24" s="92">
        <f t="shared" si="10"/>
        <v>0</v>
      </c>
      <c r="H24" s="92">
        <f t="shared" si="11"/>
        <v>0</v>
      </c>
      <c r="I24" s="92">
        <f t="shared" si="12"/>
        <v>0</v>
      </c>
      <c r="J24" s="92">
        <f t="shared" si="13"/>
        <v>0</v>
      </c>
      <c r="L24" s="92">
        <f t="shared" si="14"/>
        <v>0</v>
      </c>
      <c r="M24" s="92">
        <f t="shared" si="15"/>
        <v>0</v>
      </c>
      <c r="N24" s="92">
        <f t="shared" si="16"/>
        <v>0</v>
      </c>
      <c r="O24" s="92">
        <f t="shared" si="17"/>
        <v>0</v>
      </c>
    </row>
    <row r="25" spans="1:16" x14ac:dyDescent="0.25">
      <c r="A25" s="91">
        <v>45839</v>
      </c>
      <c r="B25" s="92">
        <f t="shared" si="6"/>
        <v>0</v>
      </c>
      <c r="C25" s="92">
        <f t="shared" si="7"/>
        <v>0</v>
      </c>
      <c r="D25" s="92">
        <f t="shared" si="8"/>
        <v>0</v>
      </c>
      <c r="E25" s="92">
        <f t="shared" si="9"/>
        <v>0</v>
      </c>
      <c r="G25" s="92">
        <f t="shared" si="10"/>
        <v>0</v>
      </c>
      <c r="H25" s="92">
        <f t="shared" si="11"/>
        <v>0</v>
      </c>
      <c r="I25" s="92">
        <f t="shared" si="12"/>
        <v>0</v>
      </c>
      <c r="J25" s="92">
        <f t="shared" si="13"/>
        <v>0</v>
      </c>
      <c r="L25" s="92">
        <f t="shared" si="14"/>
        <v>0</v>
      </c>
      <c r="M25" s="92">
        <f t="shared" si="15"/>
        <v>0</v>
      </c>
      <c r="N25" s="92">
        <f t="shared" si="16"/>
        <v>0</v>
      </c>
      <c r="O25" s="92">
        <f t="shared" si="17"/>
        <v>0</v>
      </c>
    </row>
    <row r="26" spans="1:16" x14ac:dyDescent="0.25">
      <c r="A26" s="91">
        <v>45870</v>
      </c>
      <c r="B26" s="92">
        <f t="shared" si="6"/>
        <v>0</v>
      </c>
      <c r="C26" s="92">
        <f t="shared" si="7"/>
        <v>0</v>
      </c>
      <c r="D26" s="92">
        <f t="shared" si="8"/>
        <v>0</v>
      </c>
      <c r="E26" s="92">
        <f t="shared" si="9"/>
        <v>0</v>
      </c>
      <c r="G26" s="92">
        <f t="shared" si="10"/>
        <v>0</v>
      </c>
      <c r="H26" s="92">
        <f t="shared" si="11"/>
        <v>0</v>
      </c>
      <c r="I26" s="92">
        <f t="shared" si="12"/>
        <v>0</v>
      </c>
      <c r="J26" s="92">
        <f t="shared" si="13"/>
        <v>0</v>
      </c>
      <c r="L26" s="92">
        <f t="shared" si="14"/>
        <v>0</v>
      </c>
      <c r="M26" s="92">
        <f t="shared" si="15"/>
        <v>0</v>
      </c>
      <c r="N26" s="92">
        <f t="shared" si="16"/>
        <v>0</v>
      </c>
      <c r="O26" s="92">
        <f t="shared" si="17"/>
        <v>0</v>
      </c>
    </row>
    <row r="27" spans="1:16" x14ac:dyDescent="0.25">
      <c r="A27" s="91">
        <v>45901</v>
      </c>
      <c r="B27" s="92">
        <f t="shared" si="6"/>
        <v>0</v>
      </c>
      <c r="C27" s="92">
        <f t="shared" si="7"/>
        <v>0</v>
      </c>
      <c r="D27" s="92">
        <f t="shared" si="8"/>
        <v>0</v>
      </c>
      <c r="E27" s="92">
        <f t="shared" si="9"/>
        <v>0</v>
      </c>
      <c r="G27" s="92">
        <f t="shared" si="10"/>
        <v>0</v>
      </c>
      <c r="H27" s="92">
        <f t="shared" si="11"/>
        <v>0</v>
      </c>
      <c r="I27" s="92">
        <f t="shared" si="12"/>
        <v>0</v>
      </c>
      <c r="J27" s="92">
        <f t="shared" si="13"/>
        <v>0</v>
      </c>
      <c r="L27" s="92">
        <f t="shared" si="14"/>
        <v>0</v>
      </c>
      <c r="M27" s="92">
        <f t="shared" si="15"/>
        <v>0</v>
      </c>
      <c r="N27" s="92">
        <f t="shared" si="16"/>
        <v>0</v>
      </c>
      <c r="O27" s="92">
        <f t="shared" si="17"/>
        <v>0</v>
      </c>
    </row>
    <row r="28" spans="1:16" x14ac:dyDescent="0.25">
      <c r="A28" s="91">
        <v>45931</v>
      </c>
      <c r="B28" s="92">
        <f t="shared" si="6"/>
        <v>0</v>
      </c>
      <c r="C28" s="92">
        <f t="shared" si="7"/>
        <v>0</v>
      </c>
      <c r="D28" s="92">
        <f t="shared" si="8"/>
        <v>0</v>
      </c>
      <c r="E28" s="92">
        <f t="shared" si="9"/>
        <v>0</v>
      </c>
      <c r="G28" s="92">
        <f t="shared" si="10"/>
        <v>0</v>
      </c>
      <c r="H28" s="92">
        <f t="shared" si="11"/>
        <v>0</v>
      </c>
      <c r="I28" s="92">
        <f t="shared" si="12"/>
        <v>0</v>
      </c>
      <c r="J28" s="92">
        <f t="shared" si="13"/>
        <v>0</v>
      </c>
      <c r="L28" s="92">
        <f t="shared" si="14"/>
        <v>0</v>
      </c>
      <c r="M28" s="92">
        <f t="shared" si="15"/>
        <v>0</v>
      </c>
      <c r="N28" s="92">
        <f t="shared" si="16"/>
        <v>0</v>
      </c>
      <c r="O28" s="92">
        <f t="shared" si="17"/>
        <v>0</v>
      </c>
    </row>
    <row r="29" spans="1:16" x14ac:dyDescent="0.25">
      <c r="A29" s="91">
        <v>45962</v>
      </c>
      <c r="B29" s="92">
        <f t="shared" si="6"/>
        <v>0</v>
      </c>
      <c r="C29" s="92">
        <f t="shared" si="7"/>
        <v>0</v>
      </c>
      <c r="D29" s="92">
        <f t="shared" si="8"/>
        <v>0</v>
      </c>
      <c r="E29" s="92">
        <f t="shared" si="9"/>
        <v>0</v>
      </c>
      <c r="G29" s="92">
        <f t="shared" si="10"/>
        <v>0</v>
      </c>
      <c r="H29" s="92">
        <f t="shared" si="11"/>
        <v>0</v>
      </c>
      <c r="I29" s="92">
        <f t="shared" si="12"/>
        <v>0</v>
      </c>
      <c r="J29" s="92">
        <f t="shared" si="13"/>
        <v>0</v>
      </c>
      <c r="L29" s="92">
        <f t="shared" si="14"/>
        <v>0</v>
      </c>
      <c r="M29" s="92">
        <f t="shared" si="15"/>
        <v>0</v>
      </c>
      <c r="N29" s="92">
        <f t="shared" si="16"/>
        <v>0</v>
      </c>
      <c r="O29" s="92">
        <f t="shared" si="17"/>
        <v>0</v>
      </c>
    </row>
    <row r="30" spans="1:16" x14ac:dyDescent="0.25">
      <c r="A30" s="91">
        <v>45992</v>
      </c>
      <c r="B30" s="92">
        <f t="shared" si="6"/>
        <v>0</v>
      </c>
      <c r="C30" s="92">
        <f t="shared" si="7"/>
        <v>0</v>
      </c>
      <c r="D30" s="92">
        <f t="shared" si="8"/>
        <v>0</v>
      </c>
      <c r="E30" s="92">
        <f t="shared" si="9"/>
        <v>0</v>
      </c>
      <c r="G30" s="92">
        <f t="shared" si="10"/>
        <v>0</v>
      </c>
      <c r="H30" s="92">
        <f t="shared" si="11"/>
        <v>0</v>
      </c>
      <c r="I30" s="92">
        <f t="shared" si="12"/>
        <v>0</v>
      </c>
      <c r="J30" s="92">
        <f t="shared" si="13"/>
        <v>0</v>
      </c>
      <c r="L30" s="92">
        <f t="shared" si="14"/>
        <v>0</v>
      </c>
      <c r="M30" s="92">
        <f t="shared" si="15"/>
        <v>0</v>
      </c>
      <c r="N30" s="92">
        <f t="shared" si="16"/>
        <v>0</v>
      </c>
      <c r="O30" s="92">
        <f t="shared" si="17"/>
        <v>0</v>
      </c>
    </row>
    <row r="31" spans="1:16" x14ac:dyDescent="0.25">
      <c r="A31" s="91">
        <v>46023</v>
      </c>
      <c r="B31" s="92">
        <f t="shared" ref="B31:E33" si="18">E14/3</f>
        <v>0</v>
      </c>
      <c r="C31" s="92">
        <f t="shared" si="18"/>
        <v>0</v>
      </c>
      <c r="D31" s="92">
        <f t="shared" si="18"/>
        <v>0</v>
      </c>
      <c r="E31" s="92">
        <f t="shared" si="18"/>
        <v>0</v>
      </c>
      <c r="G31" s="92">
        <f t="shared" si="10"/>
        <v>0</v>
      </c>
      <c r="H31" s="92">
        <f t="shared" si="11"/>
        <v>0</v>
      </c>
      <c r="I31" s="92">
        <f t="shared" si="12"/>
        <v>0</v>
      </c>
      <c r="J31" s="92">
        <f t="shared" si="13"/>
        <v>0</v>
      </c>
      <c r="L31" s="92">
        <f t="shared" si="14"/>
        <v>0</v>
      </c>
      <c r="M31" s="92">
        <f t="shared" si="15"/>
        <v>0</v>
      </c>
      <c r="N31" s="92">
        <f t="shared" si="16"/>
        <v>0</v>
      </c>
      <c r="O31" s="92">
        <f t="shared" si="17"/>
        <v>0</v>
      </c>
    </row>
    <row r="32" spans="1:16" x14ac:dyDescent="0.25">
      <c r="A32" s="91">
        <v>46054</v>
      </c>
      <c r="B32" s="92">
        <f t="shared" si="18"/>
        <v>0</v>
      </c>
      <c r="C32" s="92">
        <f t="shared" si="18"/>
        <v>0</v>
      </c>
      <c r="D32" s="92">
        <f t="shared" si="18"/>
        <v>0</v>
      </c>
      <c r="E32" s="92">
        <f t="shared" si="18"/>
        <v>0</v>
      </c>
      <c r="G32" s="92">
        <f t="shared" si="10"/>
        <v>0</v>
      </c>
      <c r="H32" s="92">
        <f t="shared" si="11"/>
        <v>0</v>
      </c>
      <c r="I32" s="92">
        <f t="shared" si="12"/>
        <v>0</v>
      </c>
      <c r="J32" s="92">
        <f t="shared" si="13"/>
        <v>0</v>
      </c>
      <c r="L32" s="92">
        <f t="shared" si="14"/>
        <v>0</v>
      </c>
      <c r="M32" s="92">
        <f t="shared" si="15"/>
        <v>0</v>
      </c>
      <c r="N32" s="92">
        <f t="shared" si="16"/>
        <v>0</v>
      </c>
      <c r="O32" s="92">
        <f t="shared" si="17"/>
        <v>0</v>
      </c>
    </row>
    <row r="33" spans="1:17" x14ac:dyDescent="0.25">
      <c r="A33" s="91">
        <v>46082</v>
      </c>
      <c r="B33" s="92">
        <f t="shared" si="18"/>
        <v>0</v>
      </c>
      <c r="C33" s="92">
        <f t="shared" si="18"/>
        <v>0</v>
      </c>
      <c r="D33" s="92">
        <f t="shared" si="18"/>
        <v>0</v>
      </c>
      <c r="E33" s="92">
        <f t="shared" si="18"/>
        <v>0</v>
      </c>
      <c r="G33" s="92">
        <f>E16/3</f>
        <v>0</v>
      </c>
      <c r="H33" s="92">
        <f>F16/3</f>
        <v>0</v>
      </c>
      <c r="I33" s="92">
        <f>G16/3</f>
        <v>0</v>
      </c>
      <c r="J33" s="92">
        <f>H16/3</f>
        <v>0</v>
      </c>
      <c r="L33" s="92">
        <f>E16/3</f>
        <v>0</v>
      </c>
      <c r="M33" s="92">
        <f>F16/3</f>
        <v>0</v>
      </c>
      <c r="N33" s="92">
        <f>G16/3</f>
        <v>0</v>
      </c>
      <c r="O33" s="92">
        <f>H16/3</f>
        <v>0</v>
      </c>
    </row>
    <row r="34" spans="1:17" s="1" customFormat="1" ht="14.25" x14ac:dyDescent="0.2">
      <c r="A34" s="6" t="s">
        <v>103</v>
      </c>
      <c r="B34" s="90">
        <f>SUM(B22:B33)</f>
        <v>0</v>
      </c>
      <c r="C34" s="90">
        <f>SUM(C22:C33)</f>
        <v>35288</v>
      </c>
      <c r="D34" s="90">
        <f>SUM(D22:D33)</f>
        <v>102789.66666666667</v>
      </c>
      <c r="E34" s="90">
        <f>SUM(E22:E33)</f>
        <v>84.296666666666667</v>
      </c>
      <c r="F34" s="19"/>
      <c r="G34" s="90">
        <f>SUM(G22:G33)</f>
        <v>0</v>
      </c>
      <c r="H34" s="90">
        <f>SUM(H22:H33)</f>
        <v>35288</v>
      </c>
      <c r="I34" s="90">
        <f>SUM(I22:I33)</f>
        <v>102789.66666666667</v>
      </c>
      <c r="J34" s="90">
        <f>SUM(J22:J33)</f>
        <v>84.296666666666667</v>
      </c>
      <c r="K34" s="19"/>
      <c r="L34" s="90">
        <f>SUM(L22:L33)</f>
        <v>0</v>
      </c>
      <c r="M34" s="90">
        <f>SUM(M22:M33)</f>
        <v>35288</v>
      </c>
      <c r="N34" s="90">
        <f>SUM(N22:N33)</f>
        <v>102789.66666666667</v>
      </c>
      <c r="O34" s="90">
        <f>SUM(O22:O33)</f>
        <v>84.296666666666667</v>
      </c>
      <c r="P34" s="19"/>
      <c r="Q34" s="93">
        <f>SUM(B34:O34)</f>
        <v>414485.89000000007</v>
      </c>
    </row>
    <row r="35" spans="1:17" x14ac:dyDescent="0.25">
      <c r="C35" s="50">
        <f>C34+H34+M34</f>
        <v>105864</v>
      </c>
      <c r="D35" s="50">
        <f>D34+I34+N34</f>
        <v>308369</v>
      </c>
      <c r="E35" s="50">
        <f>E34+J34+O34</f>
        <v>252.89</v>
      </c>
    </row>
  </sheetData>
  <mergeCells count="4">
    <mergeCell ref="K3:N3"/>
    <mergeCell ref="B20:E20"/>
    <mergeCell ref="G20:J20"/>
    <mergeCell ref="L20:O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c50397-bb3d-4d32-ae88-6e4e4a652eb9">
      <Terms xmlns="http://schemas.microsoft.com/office/infopath/2007/PartnerControls"/>
    </lcf76f155ced4ddcb4097134ff3c332f>
    <TaxCatchAll xmlns="5cf57810-d0f9-4e65-b386-e7bea199dd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2E98D13095F42B5C90BCFF4E200DB" ma:contentTypeVersion="12" ma:contentTypeDescription="Create a new document." ma:contentTypeScope="" ma:versionID="bc617ebdaf0e7dc97e6573ef892c4fb9">
  <xsd:schema xmlns:xsd="http://www.w3.org/2001/XMLSchema" xmlns:xs="http://www.w3.org/2001/XMLSchema" xmlns:p="http://schemas.microsoft.com/office/2006/metadata/properties" xmlns:ns2="d2c50397-bb3d-4d32-ae88-6e4e4a652eb9" xmlns:ns3="5cf57810-d0f9-4e65-b386-e7bea199dde5" targetNamespace="http://schemas.microsoft.com/office/2006/metadata/properties" ma:root="true" ma:fieldsID="83a309d2155915cf62d14f273212f258" ns2:_="" ns3:_="">
    <xsd:import namespace="d2c50397-bb3d-4d32-ae88-6e4e4a652eb9"/>
    <xsd:import namespace="5cf57810-d0f9-4e65-b386-e7bea199dd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50397-bb3d-4d32-ae88-6e4e4a652e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8c0bab-946d-4bb4-a85b-ab67ec95c7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57810-d0f9-4e65-b386-e7bea199dde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9ec843-a083-40b9-8653-75fd3ca48de3}" ma:internalName="TaxCatchAll" ma:showField="CatchAllData" ma:web="5cf57810-d0f9-4e65-b386-e7bea199d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F4DA25-FC34-468F-BF15-F5794A82C9CC}">
  <ds:schemaRefs>
    <ds:schemaRef ds:uri="http://schemas.microsoft.com/office/2006/metadata/properties"/>
    <ds:schemaRef ds:uri="http://schemas.microsoft.com/office/infopath/2007/PartnerControls"/>
    <ds:schemaRef ds:uri="d2c50397-bb3d-4d32-ae88-6e4e4a652eb9"/>
    <ds:schemaRef ds:uri="5cf57810-d0f9-4e65-b386-e7bea199dde5"/>
  </ds:schemaRefs>
</ds:datastoreItem>
</file>

<file path=customXml/itemProps2.xml><?xml version="1.0" encoding="utf-8"?>
<ds:datastoreItem xmlns:ds="http://schemas.openxmlformats.org/officeDocument/2006/customXml" ds:itemID="{20B98CFC-6C4C-4E8D-8654-1A7FE0511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c50397-bb3d-4d32-ae88-6e4e4a652eb9"/>
    <ds:schemaRef ds:uri="5cf57810-d0f9-4e65-b386-e7bea199dd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127A07-1569-4E79-A951-2F676EFB3D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P&amp;L</vt:lpstr>
      <vt:lpstr>Marketing Expenses</vt:lpstr>
      <vt:lpstr>Stock</vt:lpstr>
      <vt:lpstr>Drs_Crs</vt:lpstr>
      <vt:lpstr>COGS</vt:lpstr>
      <vt:lpstr>P&amp;L Summary</vt:lpstr>
      <vt:lpstr>List of Ledgers </vt:lpstr>
      <vt:lpstr>Pivot</vt:lpstr>
      <vt:lpstr>TB </vt:lpstr>
      <vt:lpstr>TB YTD</vt:lpstr>
      <vt:lpstr>Stk </vt:lpstr>
      <vt:lpstr>Stk YTD</vt:lpstr>
      <vt:lpstr>Shares FIFO YTD</vt:lpstr>
      <vt:lpstr>Shares(FIFO) </vt:lpstr>
      <vt:lpstr>Expense</vt:lpstr>
      <vt:lpstr>'List of Ledgers '!Print_Area</vt:lpstr>
      <vt:lpstr>'P&amp;L'!Print_Area</vt:lpstr>
      <vt:lpstr>'Stk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GST MJPT</cp:lastModifiedBy>
  <cp:revision/>
  <cp:lastPrinted>2026-03-16T14:20:03Z</cp:lastPrinted>
  <dcterms:created xsi:type="dcterms:W3CDTF">2015-06-05T18:17:20Z</dcterms:created>
  <dcterms:modified xsi:type="dcterms:W3CDTF">2026-04-07T14:09:05Z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0x0101009132E98D13095F42B5C90BCFF4E200DB</vt:lpwstr>
  </property>
  <property fmtid="{D5CDD505-2E9C-101B-9397-08002B2CF9AE}" pid="3" name="MediaServiceImageTags">
    <vt:lpwstr/>
  </property>
</Properties>
</file>